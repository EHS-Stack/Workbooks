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Weekly Activation Log" sheetId="2" state="visible" r:id="rId4"/>
    <sheet name="Annual Inspection Log" sheetId="3" state="visible" r:id="rId5"/>
    <sheet name="Station Master List" sheetId="4" state="visible" r:id="rId6"/>
    <sheet name="Regulatory Reference" sheetId="5" state="visible" r:id="rId7"/>
    <sheet name="Audit Lo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<sst xmlns="http://schemas.openxmlformats.org/spreadsheetml/2006/main" count="110" uniqueCount="101">
  <si>
    <t xml:space="preserve">EYEWASH STATION TRACKING WORKBOOK</t>
  </si>
  <si>
    <t xml:space="preserve">ANSI/ISEA Z358.1 Compliance Dashboard  |  Update Station Master List before first use</t>
  </si>
  <si>
    <t xml:space="preserve">Total
Stations</t>
  </si>
  <si>
    <t xml:space="preserve">Weekly Checks
This Month</t>
  </si>
  <si>
    <t xml:space="preserve">Weekly %
Complete</t>
  </si>
  <si>
    <t xml:space="preserve">Annual Insp.
Due/Overdue</t>
  </si>
  <si>
    <t xml:space="preserve">Open
Deficiencies</t>
  </si>
  <si>
    <t xml:space="preserve">WEEKLY ACTIVATION COMPLIANCE — TRAILING 6 WEEKS</t>
  </si>
  <si>
    <t xml:space="preserve">Metric</t>
  </si>
  <si>
    <t xml:space="preserve">Week -5</t>
  </si>
  <si>
    <t xml:space="preserve">Week -4</t>
  </si>
  <si>
    <t xml:space="preserve">Week -3</t>
  </si>
  <si>
    <t xml:space="preserve">Week -2</t>
  </si>
  <si>
    <t xml:space="preserve">Week -1</t>
  </si>
  <si>
    <t xml:space="preserve">Week -0</t>
  </si>
  <si>
    <t xml:space="preserve">Stations Checked</t>
  </si>
  <si>
    <t xml:space="preserve">Failures Logged</t>
  </si>
  <si>
    <t xml:space="preserve">ANNUAL INSPECTION STATUS</t>
  </si>
  <si>
    <t xml:space="preserve">Pass</t>
  </si>
  <si>
    <t xml:space="preserve">Fail</t>
  </si>
  <si>
    <t xml:space="preserve">Due (within 30 days)</t>
  </si>
  <si>
    <t xml:space="preserve">Overdue</t>
  </si>
  <si>
    <t xml:space="preserve">Not Yet Inspected</t>
  </si>
  <si>
    <t xml:space="preserve">WEEKLY EYEWASH/EMERGENCY SHOWER ACTIVATION LOG</t>
  </si>
  <si>
    <t xml:space="preserve">ANSI/ISEA Z358.1 requires plumbed eyewash/shower units be activated weekly to verify flow, flush sediment, and confirm proper operation.</t>
  </si>
  <si>
    <t xml:space="preserve">Enter Station ID from Station Master List. Activate for &gt;=3 seconds, check flow/clarity/temp, record result.</t>
  </si>
  <si>
    <t xml:space="preserve">Station ID</t>
  </si>
  <si>
    <t xml:space="preserve">Inspector Name</t>
  </si>
  <si>
    <t xml:space="preserve">Date Checked</t>
  </si>
  <si>
    <t xml:space="preserve">Flow/Activation
(Pass/Fail)</t>
  </si>
  <si>
    <t xml:space="preserve">Water Clarity
(Pass/Fail)</t>
  </si>
  <si>
    <t xml:space="preserve">Tepid Temp
(Pass/Fail)</t>
  </si>
  <si>
    <t xml:space="preserve">Overall Result</t>
  </si>
  <si>
    <t xml:space="preserve">Deficiency Notes</t>
  </si>
  <si>
    <t xml:space="preserve">Corrective Action / Date Resolved</t>
  </si>
  <si>
    <t xml:space="preserve">ANNUAL EYEWASH/EMERGENCY SHOWER INSPECTION LOG</t>
  </si>
  <si>
    <t xml:space="preserve">ANSI/ISEA Z358.1 requires a full annual inspection of each unit beyond the weekly activation check. Record results for each checkpoint below.</t>
  </si>
  <si>
    <t xml:space="preserve">Inspection Date</t>
  </si>
  <si>
    <t xml:space="preserve">Next Due Date</t>
  </si>
  <si>
    <t xml:space="preserve">Flow Pattern
Covers Eyes (P/F)</t>
  </si>
  <si>
    <t xml:space="preserve">Flush Duration
&gt;=15 min Capable (P/F)</t>
  </si>
  <si>
    <t xml:space="preserve">Water Temp
Tepid 60-100F (P/F)</t>
  </si>
  <si>
    <t xml:space="preserve">Valve Activation
&lt;=1 sec, Stays Open (P/F)</t>
  </si>
  <si>
    <t xml:space="preserve">Hands-Free
Operation (P/F)</t>
  </si>
  <si>
    <t xml:space="preserve">Unobstructed
Access (P/F)</t>
  </si>
  <si>
    <t xml:space="preserve">Signage
Visible (P/F)</t>
  </si>
  <si>
    <t xml:space="preserve">No Corrosion/
Leaks (P/F)</t>
  </si>
  <si>
    <t xml:space="preserve">Travel Distance
&lt;=10 sec/55ft (P/F)</t>
  </si>
  <si>
    <t xml:space="preserve">Status</t>
  </si>
  <si>
    <t xml:space="preserve">Corrective Action</t>
  </si>
  <si>
    <t xml:space="preserve">Date Resolved</t>
  </si>
  <si>
    <t xml:space="preserve">EYEWASH / EMERGENCY SHOWER STATION MASTER LIST</t>
  </si>
  <si>
    <t xml:space="preserve">Maintain one row per station. Station ID values here drive dropdowns on the log tabs.</t>
  </si>
  <si>
    <t xml:space="preserve">Station Type</t>
  </si>
  <si>
    <t xml:space="preserve">Building/Area</t>
  </si>
  <si>
    <t xml:space="preserve">Specific Location
(Room/Bay)</t>
  </si>
  <si>
    <t xml:space="preserve">Manufacturer</t>
  </si>
  <si>
    <t xml:space="preserve">Model #</t>
  </si>
  <si>
    <t xml:space="preserve">Install Date</t>
  </si>
  <si>
    <t xml:space="preserve">Plumbed or
Self-Contained</t>
  </si>
  <si>
    <t xml:space="preserve">Responsible
Department</t>
  </si>
  <si>
    <t xml:space="preserve">Notes</t>
  </si>
  <si>
    <t xml:space="preserve">REGULATORY REFERENCE — EYEWASH &amp; EMERGENCY SHOWER STATIONS</t>
  </si>
  <si>
    <t xml:space="preserve">Citations provided for reference only. Verify current requirements against the source document.</t>
  </si>
  <si>
    <t xml:space="preserve">Standard/Regulation</t>
  </si>
  <si>
    <t xml:space="preserve">Citation</t>
  </si>
  <si>
    <t xml:space="preserve">Summary</t>
  </si>
  <si>
    <t xml:space="preserve">Link/Source</t>
  </si>
  <si>
    <t xml:space="preserve">ANSI/ISEA Z358.1</t>
  </si>
  <si>
    <t xml:space="preserve">Z358.1-2014 (current edition referenced; check for updates)</t>
  </si>
  <si>
    <t xml:space="preserve">National consensus standard establishing minimum performance/use requirements for emergency eyewash and shower equipment: flow rate and pattern, water temperature (tepid, 60-100F), weekly activation, annual inspection, 10-second/55-foot access, hands-free operation, and signage.</t>
  </si>
  <si>
    <t xml:space="preserve">ansi.org / isea.org</t>
  </si>
  <si>
    <t xml:space="preserve">OSHA — General Industry</t>
  </si>
  <si>
    <t xml:space="preserve">29 CFR 1910.151(c)</t>
  </si>
  <si>
    <t xml:space="preserve">Where the eyes or body of any person may be exposed to corrosive materials, suitable facilities for quick drenching or flushing of the eyes and body shall be provided within the work area for immediate emergency use. OSHA enforces via this general duty provision and references ANSI Z358.1 as the recognized industry consensus standard.</t>
  </si>
  <si>
    <t xml:space="preserve">osha.gov</t>
  </si>
  <si>
    <t xml:space="preserve">OSHA — Hazard Communication</t>
  </si>
  <si>
    <t xml:space="preserve">29 CFR 1910.1200</t>
  </si>
  <si>
    <t xml:space="preserve">Requires SDS access and hazard communication for chemicals that may necessitate eyewash/shower access; informs which work areas require emergency flushing equipment.</t>
  </si>
  <si>
    <t xml:space="preserve">OSHA — Laboratories</t>
  </si>
  <si>
    <t xml:space="preserve">29 CFR 1910.1450, Appendix A</t>
  </si>
  <si>
    <t xml:space="preserve">Chemical Hygiene Plan guidance recommending eyewash and shower facilities in laboratories where hazardous chemicals are used.</t>
  </si>
  <si>
    <t xml:space="preserve">EPA — RCRA (if applicable)</t>
  </si>
  <si>
    <t xml:space="preserve">40 CFR 264/265 Subpart C</t>
  </si>
  <si>
    <t xml:space="preserve">Facilities managing hazardous waste must have adequate emergency equipment, which can include eyewash/shower stations in waste handling areas, depending on facility hazard assessment.</t>
  </si>
  <si>
    <t xml:space="preserve">epa.gov</t>
  </si>
  <si>
    <t xml:space="preserve">NFPA 45</t>
  </si>
  <si>
    <t xml:space="preserve">Standard on Fire Protection for Laboratories Using Chemicals</t>
  </si>
  <si>
    <t xml:space="preserve">Recommends emergency eyewash/shower equipment within laboratory work areas where corrosive chemicals are used.</t>
  </si>
  <si>
    <t xml:space="preserve">nfpa.org</t>
  </si>
  <si>
    <t xml:space="preserve">State/Local Plumbing Codes</t>
  </si>
  <si>
    <t xml:space="preserve">Varies by jurisdiction</t>
  </si>
  <si>
    <t xml:space="preserve">Some states/municipalities have plumbing code requirements affecting eyewash station installation (e.g., tepid water supply, drainage). Verify local requirements.</t>
  </si>
  <si>
    <t xml:space="preserve">Check state plumbing/building code authority</t>
  </si>
  <si>
    <t xml:space="preserve">WORKBOOK AUDIT LOG</t>
  </si>
  <si>
    <t xml:space="preserve">Record changes to this workbook (template updates, structural edits, bulk corrections) for recordkeeping.</t>
  </si>
  <si>
    <t xml:space="preserve">Date</t>
  </si>
  <si>
    <t xml:space="preserve">Changed By</t>
  </si>
  <si>
    <t xml:space="preserve">Section/Tab</t>
  </si>
  <si>
    <t xml:space="preserve">Description of Change</t>
  </si>
  <si>
    <t xml:space="preserve">Reason</t>
  </si>
</sst>
</file>

<file path=xl/styles.xml><?xml version="1.0" encoding="utf-8"?>
<styleSheet xmlns="http://schemas.openxmlformats.org/spreadsheetml/2006/main">
  <numFmts count="4">
    <numFmt numFmtId="164" formatCode="General"/>
    <numFmt numFmtId="165" formatCode="General"/>
    <numFmt numFmtId="166" formatCode="0.0%"/>
    <numFmt numFmtId="167" formatCode="mm/dd/yyyy"/>
  </numFmts>
  <fonts count="18">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FFFFFF"/>
      <name val="Arial"/>
      <family val="0"/>
      <charset val="1"/>
    </font>
    <font>
      <b val="true"/>
      <sz val="9"/>
      <color rgb="FFFFFFFF"/>
      <name val="Arial"/>
      <family val="0"/>
      <charset val="1"/>
    </font>
    <font>
      <b val="true"/>
      <sz val="16"/>
      <color rgb="FF1E4620"/>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6"/>
      <color rgb="FFFFFFFF"/>
      <name val="Arial"/>
      <family val="0"/>
      <charset val="1"/>
    </font>
    <font>
      <i val="true"/>
      <sz val="9"/>
      <color rgb="FFFFFFFF"/>
      <name val="Arial"/>
      <family val="0"/>
      <charset val="1"/>
    </font>
    <font>
      <i val="true"/>
      <sz val="9"/>
      <color rgb="FF808080"/>
      <name val="Arial"/>
      <family val="0"/>
      <charset val="1"/>
    </font>
    <font>
      <sz val="9"/>
      <color rgb="FF000000"/>
      <name val="Arial"/>
      <family val="0"/>
      <charset val="1"/>
    </font>
    <font>
      <b val="true"/>
      <sz val="8"/>
      <color rgb="FFFFFFFF"/>
      <name val="Arial"/>
      <family val="0"/>
      <charset val="1"/>
    </font>
    <font>
      <b val="true"/>
      <sz val="10"/>
      <color rgb="FFFFFFFF"/>
      <name val="Arial"/>
      <family val="0"/>
      <charset val="1"/>
    </font>
    <font>
      <b val="true"/>
      <sz val="9"/>
      <color rgb="FF000000"/>
      <name val="Arial"/>
      <family val="0"/>
      <charset val="1"/>
    </font>
  </fonts>
  <fills count="6">
    <fill>
      <patternFill patternType="none"/>
    </fill>
    <fill>
      <patternFill patternType="gray125"/>
    </fill>
    <fill>
      <patternFill patternType="solid">
        <fgColor rgb="FF1E4620"/>
        <bgColor rgb="FF375623"/>
      </patternFill>
    </fill>
    <fill>
      <patternFill patternType="solid">
        <fgColor rgb="FF375623"/>
        <bgColor rgb="FF1E4620"/>
      </patternFill>
    </fill>
    <fill>
      <patternFill patternType="solid">
        <fgColor rgb="FFF2F2F2"/>
        <bgColor rgb="FFE2EFDA"/>
      </patternFill>
    </fill>
    <fill>
      <patternFill patternType="solid">
        <fgColor rgb="FFE2EFDA"/>
        <bgColor rgb="FFF2F2F2"/>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3" borderId="0" xfId="0" applyFont="true" applyBorder="true" applyAlignment="true" applyProtection="true">
      <alignment horizontal="center" vertical="center"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5" fontId="7" fillId="5" borderId="1" xfId="0" applyFont="true" applyBorder="true" applyAlignment="true" applyProtection="true">
      <alignment horizontal="center" vertical="center" textRotation="0" wrapText="true" indent="0" shrinkToFit="false"/>
      <protection locked="true" hidden="false"/>
    </xf>
    <xf numFmtId="166" fontId="7" fillId="5" borderId="1" xfId="0" applyFont="true" applyBorder="tru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6" fillId="3" borderId="2" xfId="0" applyFont="true" applyBorder="true" applyAlignment="true" applyProtection="true">
      <alignment horizontal="center" vertical="center" textRotation="0" wrapText="tru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5" fontId="10" fillId="0" borderId="2" xfId="0" applyFont="true" applyBorder="true" applyAlignment="true" applyProtection="true">
      <alignment horizontal="center" vertical="center" textRotation="0" wrapText="tru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5" fontId="9"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center" vertical="center" textRotation="0" wrapText="true" indent="0" shrinkToFit="false"/>
      <protection locked="true" hidden="false"/>
    </xf>
    <xf numFmtId="164" fontId="12" fillId="3" borderId="0"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left" vertical="center" textRotation="0" wrapText="false" indent="0" shrinkToFit="false"/>
      <protection locked="true" hidden="false"/>
    </xf>
    <xf numFmtId="167" fontId="14"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5" fillId="3" borderId="2" xfId="0" applyFont="true" applyBorder="true" applyAlignment="true" applyProtection="true">
      <alignment horizontal="center" vertical="center" textRotation="0" wrapText="true" indent="0" shrinkToFit="false"/>
      <protection locked="true" hidden="false"/>
    </xf>
    <xf numFmtId="164" fontId="16" fillId="3"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left" vertical="top" textRotation="0" wrapText="true" indent="0" shrinkToFit="false"/>
      <protection locked="true" hidden="false"/>
    </xf>
    <xf numFmtId="164" fontId="14" fillId="0" borderId="2"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C7CE"/>
        </patternFill>
      </fill>
    </dxf>
    <dxf>
      <fill>
        <patternFill>
          <bgColor rgb="FFFFEB9C"/>
        </patternFill>
      </fill>
    </dxf>
    <dxf>
      <fill>
        <patternFill>
          <bgColor rgb="FFC6EFCE"/>
        </patternFill>
      </fill>
    </dxf>
    <dxf>
      <fill>
        <patternFill>
          <bgColor rgb="FFF2F2F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2F2F2"/>
      <rgbColor rgb="FFE2EFD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75623"/>
      <rgbColor rgb="FF993300"/>
      <rgbColor rgb="FF993366"/>
      <rgbColor rgb="FF333399"/>
      <rgbColor rgb="FF1E46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4620"/>
    <pageSetUpPr fitToPage="false"/>
  </sheetPr>
  <dimension ref="A1:J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25" activeCellId="0" sqref="C25"/>
    </sheetView>
  </sheetViews>
  <sheetFormatPr defaultColWidth="8.68359375" defaultRowHeight="15" zeroHeight="false" outlineLevelRow="0" outlineLevelCol="0"/>
  <cols>
    <col collapsed="false" customWidth="true" hidden="false" outlineLevel="0" max="1" min="1" style="1" width="24"/>
    <col collapsed="false" customWidth="true" hidden="false" outlineLevel="0" max="10" min="2" style="1" width="14"/>
  </cols>
  <sheetData>
    <row r="1" customFormat="false" ht="31.5" hidden="false" customHeight="true" outlineLevel="0" collapsed="false">
      <c r="A1" s="2" t="s">
        <v>0</v>
      </c>
      <c r="B1" s="2"/>
      <c r="C1" s="2"/>
      <c r="D1" s="2"/>
      <c r="E1" s="2"/>
      <c r="F1" s="2"/>
      <c r="G1" s="2"/>
      <c r="H1" s="2"/>
      <c r="I1" s="2"/>
      <c r="J1" s="2"/>
    </row>
    <row r="2" customFormat="false" ht="18" hidden="false" customHeight="true" outlineLevel="0" collapsed="false">
      <c r="A2" s="3" t="s">
        <v>1</v>
      </c>
      <c r="B2" s="3"/>
      <c r="C2" s="3"/>
      <c r="D2" s="3"/>
      <c r="E2" s="3"/>
      <c r="F2" s="3"/>
      <c r="G2" s="3"/>
      <c r="H2" s="3"/>
      <c r="I2" s="3"/>
      <c r="J2" s="3"/>
    </row>
    <row r="3" customFormat="false" ht="7.5" hidden="false" customHeight="true" outlineLevel="0" collapsed="false">
      <c r="A3" s="4"/>
      <c r="B3" s="4"/>
      <c r="C3" s="4"/>
      <c r="D3" s="4"/>
      <c r="E3" s="4"/>
      <c r="F3" s="4"/>
      <c r="G3" s="4"/>
      <c r="H3" s="4"/>
      <c r="I3" s="4"/>
      <c r="J3" s="4"/>
    </row>
    <row r="4" customFormat="false" ht="19.5" hidden="false" customHeight="true" outlineLevel="0" collapsed="false">
      <c r="A4" s="5" t="s">
        <v>2</v>
      </c>
      <c r="B4" s="5"/>
      <c r="C4" s="5" t="s">
        <v>3</v>
      </c>
      <c r="D4" s="5"/>
      <c r="E4" s="5" t="s">
        <v>4</v>
      </c>
      <c r="F4" s="5"/>
      <c r="G4" s="5" t="s">
        <v>5</v>
      </c>
      <c r="H4" s="5"/>
      <c r="I4" s="5" t="s">
        <v>6</v>
      </c>
      <c r="J4" s="5"/>
    </row>
    <row r="5" customFormat="false" ht="30" hidden="false" customHeight="true" outlineLevel="0" collapsed="false">
      <c r="A5" s="6" t="n">
        <f aca="false">COUNTA('Station Master List'!B7:B506)</f>
        <v>0</v>
      </c>
      <c r="B5" s="6"/>
      <c r="C5" s="6" t="n">
        <f aca="true">COUNTIFS('Weekly Activation Log'!C7:C2006,"&gt;="&amp;EOMONTH(TODAY(),-1)+1,'Weekly Activation Log'!C7:C2006,"&lt;="&amp;EOMONTH(TODAY(),0))</f>
        <v>0</v>
      </c>
      <c r="D5" s="6"/>
      <c r="E5" s="7" t="n">
        <f aca="false">IFERROR(C5/B5,0)</f>
        <v>0</v>
      </c>
      <c r="F5" s="7"/>
      <c r="G5" s="6" t="n">
        <f aca="false">COUNTIFS('Annual Inspection Log'!N7:N506,"Due")+COUNTIFS('Annual Inspection Log'!N7:N506,"Overdue")</f>
        <v>0</v>
      </c>
      <c r="H5" s="6"/>
      <c r="I5" s="6" t="n">
        <f aca="false">COUNTIF('Weekly Activation Log'!G7:G2006,"Fail")+COUNTIF('Annual Inspection Log'!L7:L506,"Fail")</f>
        <v>0</v>
      </c>
      <c r="J5" s="6"/>
    </row>
    <row r="6" customFormat="false" ht="7.5" hidden="false" customHeight="true" outlineLevel="0" collapsed="false"/>
    <row r="7" customFormat="false" ht="9.75" hidden="false" customHeight="true" outlineLevel="0" collapsed="false"/>
    <row r="8" customFormat="false" ht="19.5" hidden="false" customHeight="true" outlineLevel="0" collapsed="false">
      <c r="A8" s="8" t="s">
        <v>7</v>
      </c>
      <c r="B8" s="8"/>
      <c r="C8" s="8"/>
      <c r="D8" s="8"/>
      <c r="E8" s="8"/>
      <c r="F8" s="8"/>
      <c r="G8" s="8"/>
      <c r="H8" s="8"/>
      <c r="I8" s="8"/>
      <c r="J8" s="8"/>
    </row>
    <row r="9" customFormat="false" ht="18" hidden="false" customHeight="true" outlineLevel="0" collapsed="false">
      <c r="A9" s="9" t="s">
        <v>8</v>
      </c>
      <c r="B9" s="9" t="s">
        <v>9</v>
      </c>
      <c r="C9" s="9" t="s">
        <v>10</v>
      </c>
      <c r="D9" s="9" t="s">
        <v>11</v>
      </c>
      <c r="E9" s="9" t="s">
        <v>12</v>
      </c>
      <c r="F9" s="9" t="s">
        <v>13</v>
      </c>
      <c r="G9" s="9" t="s">
        <v>14</v>
      </c>
    </row>
    <row r="10" customFormat="false" ht="18" hidden="false" customHeight="true" outlineLevel="0" collapsed="false">
      <c r="A10" s="10" t="s">
        <v>15</v>
      </c>
      <c r="B10" s="11" t="n">
        <f aca="true">COUNTIFS('Weekly Activation Log'!$C$7:$C$2006,"&gt;="&amp;(TODAY()-WEEKDAY(TODAY(),2)+1-7*5),'Weekly Activation Log'!$C$7:$C$2006,"&lt;="&amp;(TODAY()-WEEKDAY(TODAY(),2)+7-7*5))</f>
        <v>0</v>
      </c>
      <c r="C10" s="11" t="n">
        <f aca="true">COUNTIFS('Weekly Activation Log'!$C$7:$C$2006,"&gt;="&amp;(TODAY()-WEEKDAY(TODAY(),2)+1-7*4),'Weekly Activation Log'!$C$7:$C$2006,"&lt;="&amp;(TODAY()-WEEKDAY(TODAY(),2)+7-7*4))</f>
        <v>0</v>
      </c>
      <c r="D10" s="11" t="n">
        <f aca="true">COUNTIFS('Weekly Activation Log'!$C$7:$C$2006,"&gt;="&amp;(TODAY()-WEEKDAY(TODAY(),2)+1-7*3),'Weekly Activation Log'!$C$7:$C$2006,"&lt;="&amp;(TODAY()-WEEKDAY(TODAY(),2)+7-7*3))</f>
        <v>0</v>
      </c>
      <c r="E10" s="11" t="n">
        <f aca="true">COUNTIFS('Weekly Activation Log'!$C$7:$C$2006,"&gt;="&amp;(TODAY()-WEEKDAY(TODAY(),2)+1-7*2),'Weekly Activation Log'!$C$7:$C$2006,"&lt;="&amp;(TODAY()-WEEKDAY(TODAY(),2)+7-7*2))</f>
        <v>0</v>
      </c>
      <c r="F10" s="11" t="n">
        <f aca="true">COUNTIFS('Weekly Activation Log'!$C$7:$C$2006,"&gt;="&amp;(TODAY()-WEEKDAY(TODAY(),2)+1-7*1),'Weekly Activation Log'!$C$7:$C$2006,"&lt;="&amp;(TODAY()-WEEKDAY(TODAY(),2)+7-7*1))</f>
        <v>0</v>
      </c>
      <c r="G10" s="11" t="n">
        <f aca="true">COUNTIFS('Weekly Activation Log'!$C$7:$C$2006,"&gt;="&amp;(TODAY()-WEEKDAY(TODAY(),2)+1-7*0),'Weekly Activation Log'!$C$7:$C$2006,"&lt;="&amp;(TODAY()-WEEKDAY(TODAY(),2)+7-7*0))</f>
        <v>0</v>
      </c>
    </row>
    <row r="11" customFormat="false" ht="18" hidden="false" customHeight="true" outlineLevel="0" collapsed="false">
      <c r="A11" s="10" t="s">
        <v>16</v>
      </c>
      <c r="B11" s="11" t="n">
        <f aca="true">COUNTIFS('Weekly Activation Log'!$C$7:$C$2006,"&gt;="&amp;(TODAY()-WEEKDAY(TODAY(),2)+1-7*5),'Weekly Activation Log'!$C$7:$C$2006,"&lt;="&amp;(TODAY()-WEEKDAY(TODAY(),2)+7-7*5),'Weekly Activation Log'!$G$7:$G$2006,"Fail")</f>
        <v>0</v>
      </c>
      <c r="C11" s="11" t="n">
        <f aca="true">COUNTIFS('Weekly Activation Log'!$C$7:$C$2006,"&gt;="&amp;(TODAY()-WEEKDAY(TODAY(),2)+1-7*4),'Weekly Activation Log'!$C$7:$C$2006,"&lt;="&amp;(TODAY()-WEEKDAY(TODAY(),2)+7-7*4),'Weekly Activation Log'!$G$7:$G$2006,"Fail")</f>
        <v>0</v>
      </c>
      <c r="D11" s="11" t="n">
        <f aca="true">COUNTIFS('Weekly Activation Log'!$C$7:$C$2006,"&gt;="&amp;(TODAY()-WEEKDAY(TODAY(),2)+1-7*3),'Weekly Activation Log'!$C$7:$C$2006,"&lt;="&amp;(TODAY()-WEEKDAY(TODAY(),2)+7-7*3),'Weekly Activation Log'!$G$7:$G$2006,"Fail")</f>
        <v>0</v>
      </c>
      <c r="E11" s="11" t="n">
        <f aca="true">COUNTIFS('Weekly Activation Log'!$C$7:$C$2006,"&gt;="&amp;(TODAY()-WEEKDAY(TODAY(),2)+1-7*2),'Weekly Activation Log'!$C$7:$C$2006,"&lt;="&amp;(TODAY()-WEEKDAY(TODAY(),2)+7-7*2),'Weekly Activation Log'!$G$7:$G$2006,"Fail")</f>
        <v>0</v>
      </c>
      <c r="F11" s="11" t="n">
        <f aca="true">COUNTIFS('Weekly Activation Log'!$C$7:$C$2006,"&gt;="&amp;(TODAY()-WEEKDAY(TODAY(),2)+1-7*1),'Weekly Activation Log'!$C$7:$C$2006,"&lt;="&amp;(TODAY()-WEEKDAY(TODAY(),2)+7-7*1),'Weekly Activation Log'!$G$7:$G$2006,"Fail")</f>
        <v>0</v>
      </c>
      <c r="G11" s="11" t="n">
        <f aca="true">COUNTIFS('Weekly Activation Log'!$C$7:$C$2006,"&gt;="&amp;(TODAY()-WEEKDAY(TODAY(),2)+1-7*0),'Weekly Activation Log'!$C$7:$C$2006,"&lt;="&amp;(TODAY()-WEEKDAY(TODAY(),2)+7-7*0),'Weekly Activation Log'!$G$7:$G$2006,"Fail")</f>
        <v>0</v>
      </c>
    </row>
    <row r="12" customFormat="false" ht="9.75" hidden="false" customHeight="true" outlineLevel="0" collapsed="false"/>
    <row r="13" customFormat="false" ht="19.5" hidden="false" customHeight="true" outlineLevel="0" collapsed="false">
      <c r="A13" s="8" t="s">
        <v>17</v>
      </c>
      <c r="B13" s="8"/>
      <c r="C13" s="8"/>
      <c r="D13" s="8"/>
      <c r="E13" s="8"/>
      <c r="F13" s="8"/>
      <c r="G13" s="8"/>
      <c r="H13" s="8"/>
      <c r="I13" s="8"/>
      <c r="J13" s="8"/>
    </row>
    <row r="14" customFormat="false" ht="18" hidden="false" customHeight="true" outlineLevel="0" collapsed="false"/>
    <row r="15" customFormat="false" ht="18" hidden="false" customHeight="true" outlineLevel="0" collapsed="false">
      <c r="A15" s="12" t="s">
        <v>18</v>
      </c>
      <c r="B15" s="13" t="n">
        <f aca="false">COUNTIF('Annual Inspection Log'!$N$7:$N$506,"Pass")</f>
        <v>0</v>
      </c>
      <c r="C15" s="14"/>
      <c r="D15" s="14"/>
      <c r="E15" s="14"/>
      <c r="F15" s="14"/>
      <c r="G15" s="14"/>
      <c r="H15" s="14"/>
      <c r="I15" s="14"/>
      <c r="J15" s="14"/>
    </row>
    <row r="16" customFormat="false" ht="18" hidden="false" customHeight="true" outlineLevel="0" collapsed="false">
      <c r="A16" s="12" t="s">
        <v>19</v>
      </c>
      <c r="B16" s="13" t="n">
        <f aca="false">COUNTIF('Annual Inspection Log'!$N$7:$N$506,"Fail")</f>
        <v>0</v>
      </c>
      <c r="C16" s="14"/>
      <c r="D16" s="14"/>
      <c r="E16" s="14"/>
      <c r="F16" s="14"/>
      <c r="G16" s="14"/>
      <c r="H16" s="14"/>
      <c r="I16" s="14"/>
      <c r="J16" s="14"/>
    </row>
    <row r="17" customFormat="false" ht="18" hidden="false" customHeight="true" outlineLevel="0" collapsed="false">
      <c r="A17" s="12" t="s">
        <v>20</v>
      </c>
      <c r="B17" s="13" t="n">
        <f aca="false">COUNTIF('Annual Inspection Log'!$N$7:$N$506,"Due (within 30 days)")</f>
        <v>0</v>
      </c>
      <c r="C17" s="14"/>
      <c r="D17" s="14"/>
      <c r="E17" s="14"/>
      <c r="F17" s="14"/>
      <c r="G17" s="14"/>
      <c r="H17" s="14"/>
      <c r="I17" s="14"/>
      <c r="J17" s="14"/>
    </row>
    <row r="18" customFormat="false" ht="18" hidden="false" customHeight="true" outlineLevel="0" collapsed="false">
      <c r="A18" s="12" t="s">
        <v>21</v>
      </c>
      <c r="B18" s="13" t="n">
        <f aca="false">COUNTIF('Annual Inspection Log'!$N$7:$N$506,"Overdue")</f>
        <v>0</v>
      </c>
      <c r="C18" s="14"/>
      <c r="D18" s="14"/>
      <c r="E18" s="14"/>
      <c r="F18" s="14"/>
      <c r="G18" s="14"/>
      <c r="H18" s="14"/>
      <c r="I18" s="14"/>
      <c r="J18" s="14"/>
    </row>
    <row r="19" customFormat="false" ht="18" hidden="false" customHeight="true" outlineLevel="0" collapsed="false">
      <c r="A19" s="12" t="s">
        <v>22</v>
      </c>
      <c r="B19" s="13" t="n">
        <f aca="false">COUNTIF('Annual Inspection Log'!$N$7:$N$506,"Not Yet Inspected")</f>
        <v>0</v>
      </c>
      <c r="C19" s="14"/>
      <c r="D19" s="14"/>
      <c r="E19" s="14"/>
      <c r="F19" s="14"/>
      <c r="G19" s="14"/>
      <c r="H19" s="14"/>
      <c r="I19" s="14"/>
      <c r="J19" s="14"/>
    </row>
  </sheetData>
  <mergeCells count="14">
    <mergeCell ref="A1:J1"/>
    <mergeCell ref="A2:J2"/>
    <mergeCell ref="A4:B4"/>
    <mergeCell ref="C4:D4"/>
    <mergeCell ref="E4:F4"/>
    <mergeCell ref="G4:H4"/>
    <mergeCell ref="I4:J4"/>
    <mergeCell ref="A5:B5"/>
    <mergeCell ref="C5:D5"/>
    <mergeCell ref="E5:F5"/>
    <mergeCell ref="G5:H5"/>
    <mergeCell ref="I5:J5"/>
    <mergeCell ref="A8:J8"/>
    <mergeCell ref="A13:J13"/>
  </mergeCells>
  <conditionalFormatting sqref="B16">
    <cfRule type="cellIs" priority="2" operator="greaterThan" aboveAverage="0" equalAverage="0" bottom="0" percent="0" rank="0" text="" dxfId="0">
      <formula>0</formula>
    </cfRule>
  </conditionalFormatting>
  <conditionalFormatting sqref="B18">
    <cfRule type="cellIs" priority="3" operator="greaterThan" aboveAverage="0" equalAverage="0" bottom="0" percent="0" rank="0" text="" dxfId="0">
      <formula>0</formula>
    </cfRule>
  </conditionalFormatting>
  <conditionalFormatting sqref="B17">
    <cfRule type="cellIs" priority="4" operator="greaterThan" aboveAverage="0" equalAverage="0" bottom="0" percent="0" rank="0" text="" dxfId="1">
      <formula>0</formula>
    </cfRule>
  </conditionalFormatting>
  <conditionalFormatting sqref="B15">
    <cfRule type="cellIs" priority="5" operator="greater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I20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7" min="3" style="1" width="14"/>
    <col collapsed="false" customWidth="true" hidden="false" outlineLevel="0" max="9" min="8" style="1" width="28"/>
  </cols>
  <sheetData>
    <row r="1" customFormat="false" ht="27.75" hidden="false" customHeight="true" outlineLevel="0" collapsed="false">
      <c r="A1" s="15" t="s">
        <v>23</v>
      </c>
      <c r="B1" s="15"/>
      <c r="C1" s="15"/>
      <c r="D1" s="15"/>
      <c r="E1" s="15"/>
      <c r="F1" s="15"/>
      <c r="G1" s="15"/>
      <c r="H1" s="15"/>
      <c r="I1" s="15"/>
    </row>
    <row r="2" customFormat="false" ht="24" hidden="false" customHeight="true" outlineLevel="0" collapsed="false">
      <c r="A2" s="16" t="s">
        <v>24</v>
      </c>
      <c r="B2" s="16"/>
      <c r="C2" s="16"/>
      <c r="D2" s="16"/>
      <c r="E2" s="16"/>
      <c r="F2" s="16"/>
      <c r="G2" s="16"/>
      <c r="H2" s="16"/>
      <c r="I2" s="16"/>
    </row>
    <row r="3" customFormat="false" ht="15.75" hidden="false" customHeight="true" outlineLevel="0" collapsed="false">
      <c r="A3" s="17" t="s">
        <v>25</v>
      </c>
      <c r="B3" s="17"/>
      <c r="C3" s="17"/>
      <c r="D3" s="17"/>
      <c r="E3" s="17"/>
      <c r="F3" s="17"/>
      <c r="G3" s="17"/>
      <c r="H3" s="17"/>
      <c r="I3" s="17"/>
    </row>
    <row r="4" customFormat="false" ht="6" hidden="false" customHeight="true" outlineLevel="0" collapsed="false">
      <c r="A4" s="4"/>
      <c r="B4" s="4"/>
      <c r="C4" s="4"/>
      <c r="D4" s="4"/>
      <c r="E4" s="4"/>
      <c r="F4" s="4"/>
      <c r="G4" s="4"/>
      <c r="H4" s="4"/>
      <c r="I4" s="4"/>
    </row>
    <row r="6" customFormat="false" ht="31.5" hidden="false" customHeight="true" outlineLevel="0" collapsed="false">
      <c r="A6" s="9" t="s">
        <v>26</v>
      </c>
      <c r="B6" s="9" t="s">
        <v>27</v>
      </c>
      <c r="C6" s="9" t="s">
        <v>28</v>
      </c>
      <c r="D6" s="9" t="s">
        <v>29</v>
      </c>
      <c r="E6" s="9" t="s">
        <v>30</v>
      </c>
      <c r="F6" s="9" t="s">
        <v>31</v>
      </c>
      <c r="G6" s="9" t="s">
        <v>32</v>
      </c>
      <c r="H6" s="9" t="s">
        <v>33</v>
      </c>
      <c r="I6" s="9" t="s">
        <v>34</v>
      </c>
    </row>
    <row r="7" customFormat="false" ht="15.75" hidden="false" customHeight="true" outlineLevel="0" collapsed="false">
      <c r="A7" s="18"/>
      <c r="B7" s="18"/>
      <c r="C7" s="19"/>
      <c r="D7" s="20"/>
      <c r="E7" s="20"/>
      <c r="F7" s="20"/>
      <c r="G7" s="20" t="str">
        <f aca="false">IF(COUNTBLANK(D7:F7)=3,"",IF(OR(D7="Fail",E7="Fail",F7="Fail"),"Fail",IF(AND(D7="Pass",E7="Pass",F7="Pass"),"Pass","Incomplete")))</f>
        <v/>
      </c>
      <c r="H7" s="18"/>
      <c r="I7" s="18"/>
    </row>
    <row r="8" customFormat="false" ht="15.75" hidden="false" customHeight="true" outlineLevel="0" collapsed="false">
      <c r="A8" s="18"/>
      <c r="B8" s="18"/>
      <c r="C8" s="19"/>
      <c r="D8" s="20"/>
      <c r="E8" s="20"/>
      <c r="F8" s="20"/>
      <c r="G8" s="20" t="str">
        <f aca="false">IF(COUNTBLANK(D8:F8)=3,"",IF(OR(D8="Fail",E8="Fail",F8="Fail"),"Fail",IF(AND(D8="Pass",E8="Pass",F8="Pass"),"Pass","Incomplete")))</f>
        <v/>
      </c>
      <c r="H8" s="18"/>
      <c r="I8" s="18"/>
    </row>
    <row r="9" customFormat="false" ht="15.75" hidden="false" customHeight="true" outlineLevel="0" collapsed="false">
      <c r="A9" s="18"/>
      <c r="B9" s="18"/>
      <c r="C9" s="19"/>
      <c r="D9" s="20"/>
      <c r="E9" s="20"/>
      <c r="F9" s="20"/>
      <c r="G9" s="20" t="str">
        <f aca="false">IF(COUNTBLANK(D9:F9)=3,"",IF(OR(D9="Fail",E9="Fail",F9="Fail"),"Fail",IF(AND(D9="Pass",E9="Pass",F9="Pass"),"Pass","Incomplete")))</f>
        <v/>
      </c>
      <c r="H9" s="18"/>
      <c r="I9" s="18"/>
    </row>
    <row r="10" customFormat="false" ht="15.75" hidden="false" customHeight="true" outlineLevel="0" collapsed="false">
      <c r="A10" s="18"/>
      <c r="B10" s="18"/>
      <c r="C10" s="19"/>
      <c r="D10" s="20"/>
      <c r="E10" s="20"/>
      <c r="F10" s="20"/>
      <c r="G10" s="20" t="str">
        <f aca="false">IF(COUNTBLANK(D10:F10)=3,"",IF(OR(D10="Fail",E10="Fail",F10="Fail"),"Fail",IF(AND(D10="Pass",E10="Pass",F10="Pass"),"Pass","Incomplete")))</f>
        <v/>
      </c>
      <c r="H10" s="18"/>
      <c r="I10" s="18"/>
    </row>
    <row r="11" customFormat="false" ht="15.75" hidden="false" customHeight="true" outlineLevel="0" collapsed="false">
      <c r="A11" s="18"/>
      <c r="B11" s="18"/>
      <c r="C11" s="19"/>
      <c r="D11" s="20"/>
      <c r="E11" s="20"/>
      <c r="F11" s="20"/>
      <c r="G11" s="20" t="str">
        <f aca="false">IF(COUNTBLANK(D11:F11)=3,"",IF(OR(D11="Fail",E11="Fail",F11="Fail"),"Fail",IF(AND(D11="Pass",E11="Pass",F11="Pass"),"Pass","Incomplete")))</f>
        <v/>
      </c>
      <c r="H11" s="18"/>
      <c r="I11" s="18"/>
    </row>
    <row r="12" customFormat="false" ht="15.75" hidden="false" customHeight="true" outlineLevel="0" collapsed="false">
      <c r="A12" s="18"/>
      <c r="B12" s="18"/>
      <c r="C12" s="19"/>
      <c r="D12" s="20"/>
      <c r="E12" s="20"/>
      <c r="F12" s="20"/>
      <c r="G12" s="20" t="str">
        <f aca="false">IF(COUNTBLANK(D12:F12)=3,"",IF(OR(D12="Fail",E12="Fail",F12="Fail"),"Fail",IF(AND(D12="Pass",E12="Pass",F12="Pass"),"Pass","Incomplete")))</f>
        <v/>
      </c>
      <c r="H12" s="18"/>
      <c r="I12" s="18"/>
    </row>
    <row r="13" customFormat="false" ht="15.75" hidden="false" customHeight="true" outlineLevel="0" collapsed="false">
      <c r="A13" s="18"/>
      <c r="B13" s="18"/>
      <c r="C13" s="19"/>
      <c r="D13" s="20"/>
      <c r="E13" s="20"/>
      <c r="F13" s="20"/>
      <c r="G13" s="20" t="str">
        <f aca="false">IF(COUNTBLANK(D13:F13)=3,"",IF(OR(D13="Fail",E13="Fail",F13="Fail"),"Fail",IF(AND(D13="Pass",E13="Pass",F13="Pass"),"Pass","Incomplete")))</f>
        <v/>
      </c>
      <c r="H13" s="18"/>
      <c r="I13" s="18"/>
    </row>
    <row r="14" customFormat="false" ht="15.75" hidden="false" customHeight="true" outlineLevel="0" collapsed="false">
      <c r="A14" s="18"/>
      <c r="B14" s="18"/>
      <c r="C14" s="19"/>
      <c r="D14" s="20"/>
      <c r="E14" s="20"/>
      <c r="F14" s="20"/>
      <c r="G14" s="20" t="str">
        <f aca="false">IF(COUNTBLANK(D14:F14)=3,"",IF(OR(D14="Fail",E14="Fail",F14="Fail"),"Fail",IF(AND(D14="Pass",E14="Pass",F14="Pass"),"Pass","Incomplete")))</f>
        <v/>
      </c>
      <c r="H14" s="18"/>
      <c r="I14" s="18"/>
    </row>
    <row r="15" customFormat="false" ht="15.75" hidden="false" customHeight="true" outlineLevel="0" collapsed="false">
      <c r="A15" s="18"/>
      <c r="B15" s="18"/>
      <c r="C15" s="19"/>
      <c r="D15" s="20"/>
      <c r="E15" s="20"/>
      <c r="F15" s="20"/>
      <c r="G15" s="20" t="str">
        <f aca="false">IF(COUNTBLANK(D15:F15)=3,"",IF(OR(D15="Fail",E15="Fail",F15="Fail"),"Fail",IF(AND(D15="Pass",E15="Pass",F15="Pass"),"Pass","Incomplete")))</f>
        <v/>
      </c>
      <c r="H15" s="18"/>
      <c r="I15" s="18"/>
    </row>
    <row r="16" customFormat="false" ht="15.75" hidden="false" customHeight="true" outlineLevel="0" collapsed="false">
      <c r="A16" s="18"/>
      <c r="B16" s="18"/>
      <c r="C16" s="19"/>
      <c r="D16" s="20"/>
      <c r="E16" s="20"/>
      <c r="F16" s="20"/>
      <c r="G16" s="20" t="str">
        <f aca="false">IF(COUNTBLANK(D16:F16)=3,"",IF(OR(D16="Fail",E16="Fail",F16="Fail"),"Fail",IF(AND(D16="Pass",E16="Pass",F16="Pass"),"Pass","Incomplete")))</f>
        <v/>
      </c>
      <c r="H16" s="18"/>
      <c r="I16" s="18"/>
    </row>
    <row r="17" customFormat="false" ht="15.75" hidden="false" customHeight="true" outlineLevel="0" collapsed="false">
      <c r="A17" s="18"/>
      <c r="B17" s="18"/>
      <c r="C17" s="19"/>
      <c r="D17" s="20"/>
      <c r="E17" s="20"/>
      <c r="F17" s="20"/>
      <c r="G17" s="20" t="str">
        <f aca="false">IF(COUNTBLANK(D17:F17)=3,"",IF(OR(D17="Fail",E17="Fail",F17="Fail"),"Fail",IF(AND(D17="Pass",E17="Pass",F17="Pass"),"Pass","Incomplete")))</f>
        <v/>
      </c>
      <c r="H17" s="18"/>
      <c r="I17" s="18"/>
    </row>
    <row r="18" customFormat="false" ht="15.75" hidden="false" customHeight="true" outlineLevel="0" collapsed="false">
      <c r="A18" s="18"/>
      <c r="B18" s="18"/>
      <c r="C18" s="19"/>
      <c r="D18" s="20"/>
      <c r="E18" s="20"/>
      <c r="F18" s="20"/>
      <c r="G18" s="20" t="str">
        <f aca="false">IF(COUNTBLANK(D18:F18)=3,"",IF(OR(D18="Fail",E18="Fail",F18="Fail"),"Fail",IF(AND(D18="Pass",E18="Pass",F18="Pass"),"Pass","Incomplete")))</f>
        <v/>
      </c>
      <c r="H18" s="18"/>
      <c r="I18" s="18"/>
    </row>
    <row r="19" customFormat="false" ht="15.75" hidden="false" customHeight="true" outlineLevel="0" collapsed="false">
      <c r="A19" s="18"/>
      <c r="B19" s="18"/>
      <c r="C19" s="19"/>
      <c r="D19" s="20"/>
      <c r="E19" s="20"/>
      <c r="F19" s="20"/>
      <c r="G19" s="20" t="str">
        <f aca="false">IF(COUNTBLANK(D19:F19)=3,"",IF(OR(D19="Fail",E19="Fail",F19="Fail"),"Fail",IF(AND(D19="Pass",E19="Pass",F19="Pass"),"Pass","Incomplete")))</f>
        <v/>
      </c>
      <c r="H19" s="18"/>
      <c r="I19" s="18"/>
    </row>
    <row r="20" customFormat="false" ht="15.75" hidden="false" customHeight="true" outlineLevel="0" collapsed="false">
      <c r="A20" s="18"/>
      <c r="B20" s="18"/>
      <c r="C20" s="19"/>
      <c r="D20" s="20"/>
      <c r="E20" s="20"/>
      <c r="F20" s="20"/>
      <c r="G20" s="20" t="str">
        <f aca="false">IF(COUNTBLANK(D20:F20)=3,"",IF(OR(D20="Fail",E20="Fail",F20="Fail"),"Fail",IF(AND(D20="Pass",E20="Pass",F20="Pass"),"Pass","Incomplete")))</f>
        <v/>
      </c>
      <c r="H20" s="18"/>
      <c r="I20" s="18"/>
    </row>
    <row r="21" customFormat="false" ht="15.75" hidden="false" customHeight="true" outlineLevel="0" collapsed="false">
      <c r="A21" s="18"/>
      <c r="B21" s="18"/>
      <c r="C21" s="19"/>
      <c r="D21" s="20"/>
      <c r="E21" s="20"/>
      <c r="F21" s="20"/>
      <c r="G21" s="20" t="str">
        <f aca="false">IF(COUNTBLANK(D21:F21)=3,"",IF(OR(D21="Fail",E21="Fail",F21="Fail"),"Fail",IF(AND(D21="Pass",E21="Pass",F21="Pass"),"Pass","Incomplete")))</f>
        <v/>
      </c>
      <c r="H21" s="18"/>
      <c r="I21" s="18"/>
    </row>
    <row r="22" customFormat="false" ht="15.75" hidden="false" customHeight="true" outlineLevel="0" collapsed="false">
      <c r="A22" s="18"/>
      <c r="B22" s="18"/>
      <c r="C22" s="19"/>
      <c r="D22" s="20"/>
      <c r="E22" s="20"/>
      <c r="F22" s="20"/>
      <c r="G22" s="20" t="str">
        <f aca="false">IF(COUNTBLANK(D22:F22)=3,"",IF(OR(D22="Fail",E22="Fail",F22="Fail"),"Fail",IF(AND(D22="Pass",E22="Pass",F22="Pass"),"Pass","Incomplete")))</f>
        <v/>
      </c>
      <c r="H22" s="18"/>
      <c r="I22" s="18"/>
    </row>
    <row r="23" customFormat="false" ht="15.75" hidden="false" customHeight="true" outlineLevel="0" collapsed="false">
      <c r="A23" s="18"/>
      <c r="B23" s="18"/>
      <c r="C23" s="19"/>
      <c r="D23" s="20"/>
      <c r="E23" s="20"/>
      <c r="F23" s="20"/>
      <c r="G23" s="20" t="str">
        <f aca="false">IF(COUNTBLANK(D23:F23)=3,"",IF(OR(D23="Fail",E23="Fail",F23="Fail"),"Fail",IF(AND(D23="Pass",E23="Pass",F23="Pass"),"Pass","Incomplete")))</f>
        <v/>
      </c>
      <c r="H23" s="18"/>
      <c r="I23" s="18"/>
    </row>
    <row r="24" customFormat="false" ht="15.75" hidden="false" customHeight="true" outlineLevel="0" collapsed="false">
      <c r="A24" s="18"/>
      <c r="B24" s="18"/>
      <c r="C24" s="19"/>
      <c r="D24" s="20"/>
      <c r="E24" s="20"/>
      <c r="F24" s="20"/>
      <c r="G24" s="20" t="str">
        <f aca="false">IF(COUNTBLANK(D24:F24)=3,"",IF(OR(D24="Fail",E24="Fail",F24="Fail"),"Fail",IF(AND(D24="Pass",E24="Pass",F24="Pass"),"Pass","Incomplete")))</f>
        <v/>
      </c>
      <c r="H24" s="18"/>
      <c r="I24" s="18"/>
    </row>
    <row r="25" customFormat="false" ht="15.75" hidden="false" customHeight="true" outlineLevel="0" collapsed="false">
      <c r="A25" s="18"/>
      <c r="B25" s="18"/>
      <c r="C25" s="19"/>
      <c r="D25" s="20"/>
      <c r="E25" s="20"/>
      <c r="F25" s="20"/>
      <c r="G25" s="20" t="str">
        <f aca="false">IF(COUNTBLANK(D25:F25)=3,"",IF(OR(D25="Fail",E25="Fail",F25="Fail"),"Fail",IF(AND(D25="Pass",E25="Pass",F25="Pass"),"Pass","Incomplete")))</f>
        <v/>
      </c>
      <c r="H25" s="18"/>
      <c r="I25" s="18"/>
    </row>
    <row r="26" customFormat="false" ht="15.75" hidden="false" customHeight="true" outlineLevel="0" collapsed="false">
      <c r="A26" s="18"/>
      <c r="B26" s="18"/>
      <c r="C26" s="19"/>
      <c r="D26" s="20"/>
      <c r="E26" s="20"/>
      <c r="F26" s="20"/>
      <c r="G26" s="20" t="str">
        <f aca="false">IF(COUNTBLANK(D26:F26)=3,"",IF(OR(D26="Fail",E26="Fail",F26="Fail"),"Fail",IF(AND(D26="Pass",E26="Pass",F26="Pass"),"Pass","Incomplete")))</f>
        <v/>
      </c>
      <c r="H26" s="18"/>
      <c r="I26" s="18"/>
    </row>
    <row r="27" customFormat="false" ht="15.75" hidden="false" customHeight="true" outlineLevel="0" collapsed="false">
      <c r="A27" s="18"/>
      <c r="B27" s="18"/>
      <c r="C27" s="19"/>
      <c r="D27" s="20"/>
      <c r="E27" s="20"/>
      <c r="F27" s="20"/>
      <c r="G27" s="20" t="str">
        <f aca="false">IF(COUNTBLANK(D27:F27)=3,"",IF(OR(D27="Fail",E27="Fail",F27="Fail"),"Fail",IF(AND(D27="Pass",E27="Pass",F27="Pass"),"Pass","Incomplete")))</f>
        <v/>
      </c>
      <c r="H27" s="18"/>
      <c r="I27" s="18"/>
    </row>
    <row r="28" customFormat="false" ht="15.75" hidden="false" customHeight="true" outlineLevel="0" collapsed="false">
      <c r="A28" s="18"/>
      <c r="B28" s="18"/>
      <c r="C28" s="19"/>
      <c r="D28" s="20"/>
      <c r="E28" s="20"/>
      <c r="F28" s="20"/>
      <c r="G28" s="20" t="str">
        <f aca="false">IF(COUNTBLANK(D28:F28)=3,"",IF(OR(D28="Fail",E28="Fail",F28="Fail"),"Fail",IF(AND(D28="Pass",E28="Pass",F28="Pass"),"Pass","Incomplete")))</f>
        <v/>
      </c>
      <c r="H28" s="18"/>
      <c r="I28" s="18"/>
    </row>
    <row r="29" customFormat="false" ht="15.75" hidden="false" customHeight="true" outlineLevel="0" collapsed="false">
      <c r="A29" s="18"/>
      <c r="B29" s="18"/>
      <c r="C29" s="19"/>
      <c r="D29" s="20"/>
      <c r="E29" s="20"/>
      <c r="F29" s="20"/>
      <c r="G29" s="20" t="str">
        <f aca="false">IF(COUNTBLANK(D29:F29)=3,"",IF(OR(D29="Fail",E29="Fail",F29="Fail"),"Fail",IF(AND(D29="Pass",E29="Pass",F29="Pass"),"Pass","Incomplete")))</f>
        <v/>
      </c>
      <c r="H29" s="18"/>
      <c r="I29" s="18"/>
    </row>
    <row r="30" customFormat="false" ht="15.75" hidden="false" customHeight="true" outlineLevel="0" collapsed="false">
      <c r="A30" s="18"/>
      <c r="B30" s="18"/>
      <c r="C30" s="19"/>
      <c r="D30" s="20"/>
      <c r="E30" s="20"/>
      <c r="F30" s="20"/>
      <c r="G30" s="20" t="str">
        <f aca="false">IF(COUNTBLANK(D30:F30)=3,"",IF(OR(D30="Fail",E30="Fail",F30="Fail"),"Fail",IF(AND(D30="Pass",E30="Pass",F30="Pass"),"Pass","Incomplete")))</f>
        <v/>
      </c>
      <c r="H30" s="18"/>
      <c r="I30" s="18"/>
    </row>
    <row r="31" customFormat="false" ht="15.75" hidden="false" customHeight="true" outlineLevel="0" collapsed="false">
      <c r="A31" s="18"/>
      <c r="B31" s="18"/>
      <c r="C31" s="19"/>
      <c r="D31" s="20"/>
      <c r="E31" s="20"/>
      <c r="F31" s="20"/>
      <c r="G31" s="20" t="str">
        <f aca="false">IF(COUNTBLANK(D31:F31)=3,"",IF(OR(D31="Fail",E31="Fail",F31="Fail"),"Fail",IF(AND(D31="Pass",E31="Pass",F31="Pass"),"Pass","Incomplete")))</f>
        <v/>
      </c>
      <c r="H31" s="18"/>
      <c r="I31" s="18"/>
    </row>
    <row r="32" customFormat="false" ht="15.75" hidden="false" customHeight="true" outlineLevel="0" collapsed="false">
      <c r="A32" s="18"/>
      <c r="B32" s="18"/>
      <c r="C32" s="19"/>
      <c r="D32" s="20"/>
      <c r="E32" s="20"/>
      <c r="F32" s="20"/>
      <c r="G32" s="20" t="str">
        <f aca="false">IF(COUNTBLANK(D32:F32)=3,"",IF(OR(D32="Fail",E32="Fail",F32="Fail"),"Fail",IF(AND(D32="Pass",E32="Pass",F32="Pass"),"Pass","Incomplete")))</f>
        <v/>
      </c>
      <c r="H32" s="18"/>
      <c r="I32" s="18"/>
    </row>
    <row r="33" customFormat="false" ht="15.75" hidden="false" customHeight="true" outlineLevel="0" collapsed="false">
      <c r="A33" s="18"/>
      <c r="B33" s="18"/>
      <c r="C33" s="19"/>
      <c r="D33" s="20"/>
      <c r="E33" s="20"/>
      <c r="F33" s="20"/>
      <c r="G33" s="20" t="str">
        <f aca="false">IF(COUNTBLANK(D33:F33)=3,"",IF(OR(D33="Fail",E33="Fail",F33="Fail"),"Fail",IF(AND(D33="Pass",E33="Pass",F33="Pass"),"Pass","Incomplete")))</f>
        <v/>
      </c>
      <c r="H33" s="18"/>
      <c r="I33" s="18"/>
    </row>
    <row r="34" customFormat="false" ht="15.75" hidden="false" customHeight="true" outlineLevel="0" collapsed="false">
      <c r="A34" s="18"/>
      <c r="B34" s="18"/>
      <c r="C34" s="19"/>
      <c r="D34" s="20"/>
      <c r="E34" s="20"/>
      <c r="F34" s="20"/>
      <c r="G34" s="20" t="str">
        <f aca="false">IF(COUNTBLANK(D34:F34)=3,"",IF(OR(D34="Fail",E34="Fail",F34="Fail"),"Fail",IF(AND(D34="Pass",E34="Pass",F34="Pass"),"Pass","Incomplete")))</f>
        <v/>
      </c>
      <c r="H34" s="18"/>
      <c r="I34" s="18"/>
    </row>
    <row r="35" customFormat="false" ht="15.75" hidden="false" customHeight="true" outlineLevel="0" collapsed="false">
      <c r="A35" s="18"/>
      <c r="B35" s="18"/>
      <c r="C35" s="19"/>
      <c r="D35" s="20"/>
      <c r="E35" s="20"/>
      <c r="F35" s="20"/>
      <c r="G35" s="20" t="str">
        <f aca="false">IF(COUNTBLANK(D35:F35)=3,"",IF(OR(D35="Fail",E35="Fail",F35="Fail"),"Fail",IF(AND(D35="Pass",E35="Pass",F35="Pass"),"Pass","Incomplete")))</f>
        <v/>
      </c>
      <c r="H35" s="18"/>
      <c r="I35" s="18"/>
    </row>
    <row r="36" customFormat="false" ht="15.75" hidden="false" customHeight="true" outlineLevel="0" collapsed="false">
      <c r="A36" s="18"/>
      <c r="B36" s="18"/>
      <c r="C36" s="19"/>
      <c r="D36" s="20"/>
      <c r="E36" s="20"/>
      <c r="F36" s="20"/>
      <c r="G36" s="20" t="str">
        <f aca="false">IF(COUNTBLANK(D36:F36)=3,"",IF(OR(D36="Fail",E36="Fail",F36="Fail"),"Fail",IF(AND(D36="Pass",E36="Pass",F36="Pass"),"Pass","Incomplete")))</f>
        <v/>
      </c>
      <c r="H36" s="18"/>
      <c r="I36" s="18"/>
    </row>
    <row r="37" customFormat="false" ht="15.75" hidden="false" customHeight="true" outlineLevel="0" collapsed="false">
      <c r="A37" s="18"/>
      <c r="B37" s="18"/>
      <c r="C37" s="19"/>
      <c r="D37" s="20"/>
      <c r="E37" s="20"/>
      <c r="F37" s="20"/>
      <c r="G37" s="20" t="str">
        <f aca="false">IF(COUNTBLANK(D37:F37)=3,"",IF(OR(D37="Fail",E37="Fail",F37="Fail"),"Fail",IF(AND(D37="Pass",E37="Pass",F37="Pass"),"Pass","Incomplete")))</f>
        <v/>
      </c>
      <c r="H37" s="18"/>
      <c r="I37" s="18"/>
    </row>
    <row r="38" customFormat="false" ht="15.75" hidden="false" customHeight="true" outlineLevel="0" collapsed="false">
      <c r="A38" s="18"/>
      <c r="B38" s="18"/>
      <c r="C38" s="19"/>
      <c r="D38" s="20"/>
      <c r="E38" s="20"/>
      <c r="F38" s="20"/>
      <c r="G38" s="20" t="str">
        <f aca="false">IF(COUNTBLANK(D38:F38)=3,"",IF(OR(D38="Fail",E38="Fail",F38="Fail"),"Fail",IF(AND(D38="Pass",E38="Pass",F38="Pass"),"Pass","Incomplete")))</f>
        <v/>
      </c>
      <c r="H38" s="18"/>
      <c r="I38" s="18"/>
    </row>
    <row r="39" customFormat="false" ht="15.75" hidden="false" customHeight="true" outlineLevel="0" collapsed="false">
      <c r="A39" s="18"/>
      <c r="B39" s="18"/>
      <c r="C39" s="19"/>
      <c r="D39" s="20"/>
      <c r="E39" s="20"/>
      <c r="F39" s="20"/>
      <c r="G39" s="20" t="str">
        <f aca="false">IF(COUNTBLANK(D39:F39)=3,"",IF(OR(D39="Fail",E39="Fail",F39="Fail"),"Fail",IF(AND(D39="Pass",E39="Pass",F39="Pass"),"Pass","Incomplete")))</f>
        <v/>
      </c>
      <c r="H39" s="18"/>
      <c r="I39" s="18"/>
    </row>
    <row r="40" customFormat="false" ht="15.75" hidden="false" customHeight="true" outlineLevel="0" collapsed="false">
      <c r="A40" s="18"/>
      <c r="B40" s="18"/>
      <c r="C40" s="19"/>
      <c r="D40" s="20"/>
      <c r="E40" s="20"/>
      <c r="F40" s="20"/>
      <c r="G40" s="20" t="str">
        <f aca="false">IF(COUNTBLANK(D40:F40)=3,"",IF(OR(D40="Fail",E40="Fail",F40="Fail"),"Fail",IF(AND(D40="Pass",E40="Pass",F40="Pass"),"Pass","Incomplete")))</f>
        <v/>
      </c>
      <c r="H40" s="18"/>
      <c r="I40" s="18"/>
    </row>
    <row r="41" customFormat="false" ht="15.75" hidden="false" customHeight="true" outlineLevel="0" collapsed="false">
      <c r="A41" s="18"/>
      <c r="B41" s="18"/>
      <c r="C41" s="19"/>
      <c r="D41" s="20"/>
      <c r="E41" s="20"/>
      <c r="F41" s="20"/>
      <c r="G41" s="20" t="str">
        <f aca="false">IF(COUNTBLANK(D41:F41)=3,"",IF(OR(D41="Fail",E41="Fail",F41="Fail"),"Fail",IF(AND(D41="Pass",E41="Pass",F41="Pass"),"Pass","Incomplete")))</f>
        <v/>
      </c>
      <c r="H41" s="18"/>
      <c r="I41" s="18"/>
    </row>
    <row r="42" customFormat="false" ht="15.75" hidden="false" customHeight="true" outlineLevel="0" collapsed="false">
      <c r="A42" s="18"/>
      <c r="B42" s="18"/>
      <c r="C42" s="19"/>
      <c r="D42" s="20"/>
      <c r="E42" s="20"/>
      <c r="F42" s="20"/>
      <c r="G42" s="20" t="str">
        <f aca="false">IF(COUNTBLANK(D42:F42)=3,"",IF(OR(D42="Fail",E42="Fail",F42="Fail"),"Fail",IF(AND(D42="Pass",E42="Pass",F42="Pass"),"Pass","Incomplete")))</f>
        <v/>
      </c>
      <c r="H42" s="18"/>
      <c r="I42" s="18"/>
    </row>
    <row r="43" customFormat="false" ht="15.75" hidden="false" customHeight="true" outlineLevel="0" collapsed="false">
      <c r="A43" s="18"/>
      <c r="B43" s="18"/>
      <c r="C43" s="19"/>
      <c r="D43" s="20"/>
      <c r="E43" s="20"/>
      <c r="F43" s="20"/>
      <c r="G43" s="20" t="str">
        <f aca="false">IF(COUNTBLANK(D43:F43)=3,"",IF(OR(D43="Fail",E43="Fail",F43="Fail"),"Fail",IF(AND(D43="Pass",E43="Pass",F43="Pass"),"Pass","Incomplete")))</f>
        <v/>
      </c>
      <c r="H43" s="18"/>
      <c r="I43" s="18"/>
    </row>
    <row r="44" customFormat="false" ht="15.75" hidden="false" customHeight="true" outlineLevel="0" collapsed="false">
      <c r="A44" s="18"/>
      <c r="B44" s="18"/>
      <c r="C44" s="19"/>
      <c r="D44" s="20"/>
      <c r="E44" s="20"/>
      <c r="F44" s="20"/>
      <c r="G44" s="20" t="str">
        <f aca="false">IF(COUNTBLANK(D44:F44)=3,"",IF(OR(D44="Fail",E44="Fail",F44="Fail"),"Fail",IF(AND(D44="Pass",E44="Pass",F44="Pass"),"Pass","Incomplete")))</f>
        <v/>
      </c>
      <c r="H44" s="18"/>
      <c r="I44" s="18"/>
    </row>
    <row r="45" customFormat="false" ht="15.75" hidden="false" customHeight="true" outlineLevel="0" collapsed="false">
      <c r="A45" s="18"/>
      <c r="B45" s="18"/>
      <c r="C45" s="19"/>
      <c r="D45" s="20"/>
      <c r="E45" s="20"/>
      <c r="F45" s="20"/>
      <c r="G45" s="20" t="str">
        <f aca="false">IF(COUNTBLANK(D45:F45)=3,"",IF(OR(D45="Fail",E45="Fail",F45="Fail"),"Fail",IF(AND(D45="Pass",E45="Pass",F45="Pass"),"Pass","Incomplete")))</f>
        <v/>
      </c>
      <c r="H45" s="18"/>
      <c r="I45" s="18"/>
    </row>
    <row r="46" customFormat="false" ht="15.75" hidden="false" customHeight="true" outlineLevel="0" collapsed="false">
      <c r="A46" s="18"/>
      <c r="B46" s="18"/>
      <c r="C46" s="19"/>
      <c r="D46" s="20"/>
      <c r="E46" s="20"/>
      <c r="F46" s="20"/>
      <c r="G46" s="20" t="str">
        <f aca="false">IF(COUNTBLANK(D46:F46)=3,"",IF(OR(D46="Fail",E46="Fail",F46="Fail"),"Fail",IF(AND(D46="Pass",E46="Pass",F46="Pass"),"Pass","Incomplete")))</f>
        <v/>
      </c>
      <c r="H46" s="18"/>
      <c r="I46" s="18"/>
    </row>
    <row r="47" customFormat="false" ht="15.75" hidden="false" customHeight="true" outlineLevel="0" collapsed="false">
      <c r="A47" s="18"/>
      <c r="B47" s="18"/>
      <c r="C47" s="19"/>
      <c r="D47" s="20"/>
      <c r="E47" s="20"/>
      <c r="F47" s="20"/>
      <c r="G47" s="20" t="str">
        <f aca="false">IF(COUNTBLANK(D47:F47)=3,"",IF(OR(D47="Fail",E47="Fail",F47="Fail"),"Fail",IF(AND(D47="Pass",E47="Pass",F47="Pass"),"Pass","Incomplete")))</f>
        <v/>
      </c>
      <c r="H47" s="18"/>
      <c r="I47" s="18"/>
    </row>
    <row r="48" customFormat="false" ht="15.75" hidden="false" customHeight="true" outlineLevel="0" collapsed="false">
      <c r="A48" s="18"/>
      <c r="B48" s="18"/>
      <c r="C48" s="19"/>
      <c r="D48" s="20"/>
      <c r="E48" s="20"/>
      <c r="F48" s="20"/>
      <c r="G48" s="20" t="str">
        <f aca="false">IF(COUNTBLANK(D48:F48)=3,"",IF(OR(D48="Fail",E48="Fail",F48="Fail"),"Fail",IF(AND(D48="Pass",E48="Pass",F48="Pass"),"Pass","Incomplete")))</f>
        <v/>
      </c>
      <c r="H48" s="18"/>
      <c r="I48" s="18"/>
    </row>
    <row r="49" customFormat="false" ht="15.75" hidden="false" customHeight="true" outlineLevel="0" collapsed="false">
      <c r="A49" s="18"/>
      <c r="B49" s="18"/>
      <c r="C49" s="19"/>
      <c r="D49" s="20"/>
      <c r="E49" s="20"/>
      <c r="F49" s="20"/>
      <c r="G49" s="20" t="str">
        <f aca="false">IF(COUNTBLANK(D49:F49)=3,"",IF(OR(D49="Fail",E49="Fail",F49="Fail"),"Fail",IF(AND(D49="Pass",E49="Pass",F49="Pass"),"Pass","Incomplete")))</f>
        <v/>
      </c>
      <c r="H49" s="18"/>
      <c r="I49" s="18"/>
    </row>
    <row r="50" customFormat="false" ht="15.75" hidden="false" customHeight="true" outlineLevel="0" collapsed="false">
      <c r="A50" s="18"/>
      <c r="B50" s="18"/>
      <c r="C50" s="19"/>
      <c r="D50" s="20"/>
      <c r="E50" s="20"/>
      <c r="F50" s="20"/>
      <c r="G50" s="20" t="str">
        <f aca="false">IF(COUNTBLANK(D50:F50)=3,"",IF(OR(D50="Fail",E50="Fail",F50="Fail"),"Fail",IF(AND(D50="Pass",E50="Pass",F50="Pass"),"Pass","Incomplete")))</f>
        <v/>
      </c>
      <c r="H50" s="18"/>
      <c r="I50" s="18"/>
    </row>
    <row r="51" customFormat="false" ht="15.75" hidden="false" customHeight="true" outlineLevel="0" collapsed="false">
      <c r="A51" s="18"/>
      <c r="B51" s="18"/>
      <c r="C51" s="19"/>
      <c r="D51" s="20"/>
      <c r="E51" s="20"/>
      <c r="F51" s="20"/>
      <c r="G51" s="20" t="str">
        <f aca="false">IF(COUNTBLANK(D51:F51)=3,"",IF(OR(D51="Fail",E51="Fail",F51="Fail"),"Fail",IF(AND(D51="Pass",E51="Pass",F51="Pass"),"Pass","Incomplete")))</f>
        <v/>
      </c>
      <c r="H51" s="18"/>
      <c r="I51" s="18"/>
    </row>
    <row r="52" customFormat="false" ht="15.75" hidden="false" customHeight="true" outlineLevel="0" collapsed="false">
      <c r="A52" s="18"/>
      <c r="B52" s="18"/>
      <c r="C52" s="19"/>
      <c r="D52" s="20"/>
      <c r="E52" s="20"/>
      <c r="F52" s="20"/>
      <c r="G52" s="20" t="str">
        <f aca="false">IF(COUNTBLANK(D52:F52)=3,"",IF(OR(D52="Fail",E52="Fail",F52="Fail"),"Fail",IF(AND(D52="Pass",E52="Pass",F52="Pass"),"Pass","Incomplete")))</f>
        <v/>
      </c>
      <c r="H52" s="18"/>
      <c r="I52" s="18"/>
    </row>
    <row r="53" customFormat="false" ht="15.75" hidden="false" customHeight="true" outlineLevel="0" collapsed="false">
      <c r="A53" s="18"/>
      <c r="B53" s="18"/>
      <c r="C53" s="19"/>
      <c r="D53" s="20"/>
      <c r="E53" s="20"/>
      <c r="F53" s="20"/>
      <c r="G53" s="20" t="str">
        <f aca="false">IF(COUNTBLANK(D53:F53)=3,"",IF(OR(D53="Fail",E53="Fail",F53="Fail"),"Fail",IF(AND(D53="Pass",E53="Pass",F53="Pass"),"Pass","Incomplete")))</f>
        <v/>
      </c>
      <c r="H53" s="18"/>
      <c r="I53" s="18"/>
    </row>
    <row r="54" customFormat="false" ht="15.75" hidden="false" customHeight="true" outlineLevel="0" collapsed="false">
      <c r="A54" s="18"/>
      <c r="B54" s="18"/>
      <c r="C54" s="19"/>
      <c r="D54" s="20"/>
      <c r="E54" s="20"/>
      <c r="F54" s="20"/>
      <c r="G54" s="20" t="str">
        <f aca="false">IF(COUNTBLANK(D54:F54)=3,"",IF(OR(D54="Fail",E54="Fail",F54="Fail"),"Fail",IF(AND(D54="Pass",E54="Pass",F54="Pass"),"Pass","Incomplete")))</f>
        <v/>
      </c>
      <c r="H54" s="18"/>
      <c r="I54" s="18"/>
    </row>
    <row r="55" customFormat="false" ht="15.75" hidden="false" customHeight="true" outlineLevel="0" collapsed="false">
      <c r="A55" s="18"/>
      <c r="B55" s="18"/>
      <c r="C55" s="19"/>
      <c r="D55" s="20"/>
      <c r="E55" s="20"/>
      <c r="F55" s="20"/>
      <c r="G55" s="20" t="str">
        <f aca="false">IF(COUNTBLANK(D55:F55)=3,"",IF(OR(D55="Fail",E55="Fail",F55="Fail"),"Fail",IF(AND(D55="Pass",E55="Pass",F55="Pass"),"Pass","Incomplete")))</f>
        <v/>
      </c>
      <c r="H55" s="18"/>
      <c r="I55" s="18"/>
    </row>
    <row r="56" customFormat="false" ht="15.75" hidden="false" customHeight="true" outlineLevel="0" collapsed="false">
      <c r="A56" s="18"/>
      <c r="B56" s="18"/>
      <c r="C56" s="19"/>
      <c r="D56" s="20"/>
      <c r="E56" s="20"/>
      <c r="F56" s="20"/>
      <c r="G56" s="20" t="str">
        <f aca="false">IF(COUNTBLANK(D56:F56)=3,"",IF(OR(D56="Fail",E56="Fail",F56="Fail"),"Fail",IF(AND(D56="Pass",E56="Pass",F56="Pass"),"Pass","Incomplete")))</f>
        <v/>
      </c>
      <c r="H56" s="18"/>
      <c r="I56" s="18"/>
    </row>
    <row r="57" customFormat="false" ht="15.75" hidden="false" customHeight="true" outlineLevel="0" collapsed="false">
      <c r="A57" s="18"/>
      <c r="B57" s="18"/>
      <c r="C57" s="19"/>
      <c r="D57" s="20"/>
      <c r="E57" s="20"/>
      <c r="F57" s="20"/>
      <c r="G57" s="20" t="str">
        <f aca="false">IF(COUNTBLANK(D57:F57)=3,"",IF(OR(D57="Fail",E57="Fail",F57="Fail"),"Fail",IF(AND(D57="Pass",E57="Pass",F57="Pass"),"Pass","Incomplete")))</f>
        <v/>
      </c>
      <c r="H57" s="18"/>
      <c r="I57" s="18"/>
    </row>
    <row r="58" customFormat="false" ht="15.75" hidden="false" customHeight="true" outlineLevel="0" collapsed="false">
      <c r="A58" s="18"/>
      <c r="B58" s="18"/>
      <c r="C58" s="19"/>
      <c r="D58" s="20"/>
      <c r="E58" s="20"/>
      <c r="F58" s="20"/>
      <c r="G58" s="20" t="str">
        <f aca="false">IF(COUNTBLANK(D58:F58)=3,"",IF(OR(D58="Fail",E58="Fail",F58="Fail"),"Fail",IF(AND(D58="Pass",E58="Pass",F58="Pass"),"Pass","Incomplete")))</f>
        <v/>
      </c>
      <c r="H58" s="18"/>
      <c r="I58" s="18"/>
    </row>
    <row r="59" customFormat="false" ht="15.75" hidden="false" customHeight="true" outlineLevel="0" collapsed="false">
      <c r="A59" s="18"/>
      <c r="B59" s="18"/>
      <c r="C59" s="19"/>
      <c r="D59" s="20"/>
      <c r="E59" s="20"/>
      <c r="F59" s="20"/>
      <c r="G59" s="20" t="str">
        <f aca="false">IF(COUNTBLANK(D59:F59)=3,"",IF(OR(D59="Fail",E59="Fail",F59="Fail"),"Fail",IF(AND(D59="Pass",E59="Pass",F59="Pass"),"Pass","Incomplete")))</f>
        <v/>
      </c>
      <c r="H59" s="18"/>
      <c r="I59" s="18"/>
    </row>
    <row r="60" customFormat="false" ht="15.75" hidden="false" customHeight="true" outlineLevel="0" collapsed="false">
      <c r="A60" s="18"/>
      <c r="B60" s="18"/>
      <c r="C60" s="19"/>
      <c r="D60" s="20"/>
      <c r="E60" s="20"/>
      <c r="F60" s="20"/>
      <c r="G60" s="20" t="str">
        <f aca="false">IF(COUNTBLANK(D60:F60)=3,"",IF(OR(D60="Fail",E60="Fail",F60="Fail"),"Fail",IF(AND(D60="Pass",E60="Pass",F60="Pass"),"Pass","Incomplete")))</f>
        <v/>
      </c>
      <c r="H60" s="18"/>
      <c r="I60" s="18"/>
    </row>
    <row r="61" customFormat="false" ht="15.75" hidden="false" customHeight="true" outlineLevel="0" collapsed="false">
      <c r="A61" s="18"/>
      <c r="B61" s="18"/>
      <c r="C61" s="19"/>
      <c r="D61" s="20"/>
      <c r="E61" s="20"/>
      <c r="F61" s="20"/>
      <c r="G61" s="20" t="str">
        <f aca="false">IF(COUNTBLANK(D61:F61)=3,"",IF(OR(D61="Fail",E61="Fail",F61="Fail"),"Fail",IF(AND(D61="Pass",E61="Pass",F61="Pass"),"Pass","Incomplete")))</f>
        <v/>
      </c>
      <c r="H61" s="18"/>
      <c r="I61" s="18"/>
    </row>
    <row r="62" customFormat="false" ht="15.75" hidden="false" customHeight="true" outlineLevel="0" collapsed="false">
      <c r="A62" s="18"/>
      <c r="B62" s="18"/>
      <c r="C62" s="19"/>
      <c r="D62" s="20"/>
      <c r="E62" s="20"/>
      <c r="F62" s="20"/>
      <c r="G62" s="20" t="str">
        <f aca="false">IF(COUNTBLANK(D62:F62)=3,"",IF(OR(D62="Fail",E62="Fail",F62="Fail"),"Fail",IF(AND(D62="Pass",E62="Pass",F62="Pass"),"Pass","Incomplete")))</f>
        <v/>
      </c>
      <c r="H62" s="18"/>
      <c r="I62" s="18"/>
    </row>
    <row r="63" customFormat="false" ht="15.75" hidden="false" customHeight="true" outlineLevel="0" collapsed="false">
      <c r="A63" s="18"/>
      <c r="B63" s="18"/>
      <c r="C63" s="19"/>
      <c r="D63" s="20"/>
      <c r="E63" s="20"/>
      <c r="F63" s="20"/>
      <c r="G63" s="20" t="str">
        <f aca="false">IF(COUNTBLANK(D63:F63)=3,"",IF(OR(D63="Fail",E63="Fail",F63="Fail"),"Fail",IF(AND(D63="Pass",E63="Pass",F63="Pass"),"Pass","Incomplete")))</f>
        <v/>
      </c>
      <c r="H63" s="18"/>
      <c r="I63" s="18"/>
    </row>
    <row r="64" customFormat="false" ht="15.75" hidden="false" customHeight="true" outlineLevel="0" collapsed="false">
      <c r="A64" s="18"/>
      <c r="B64" s="18"/>
      <c r="C64" s="19"/>
      <c r="D64" s="20"/>
      <c r="E64" s="20"/>
      <c r="F64" s="20"/>
      <c r="G64" s="20" t="str">
        <f aca="false">IF(COUNTBLANK(D64:F64)=3,"",IF(OR(D64="Fail",E64="Fail",F64="Fail"),"Fail",IF(AND(D64="Pass",E64="Pass",F64="Pass"),"Pass","Incomplete")))</f>
        <v/>
      </c>
      <c r="H64" s="18"/>
      <c r="I64" s="18"/>
    </row>
    <row r="65" customFormat="false" ht="15.75" hidden="false" customHeight="true" outlineLevel="0" collapsed="false">
      <c r="A65" s="18"/>
      <c r="B65" s="18"/>
      <c r="C65" s="19"/>
      <c r="D65" s="20"/>
      <c r="E65" s="20"/>
      <c r="F65" s="20"/>
      <c r="G65" s="20" t="str">
        <f aca="false">IF(COUNTBLANK(D65:F65)=3,"",IF(OR(D65="Fail",E65="Fail",F65="Fail"),"Fail",IF(AND(D65="Pass",E65="Pass",F65="Pass"),"Pass","Incomplete")))</f>
        <v/>
      </c>
      <c r="H65" s="18"/>
      <c r="I65" s="18"/>
    </row>
    <row r="66" customFormat="false" ht="15.75" hidden="false" customHeight="true" outlineLevel="0" collapsed="false">
      <c r="A66" s="18"/>
      <c r="B66" s="18"/>
      <c r="C66" s="19"/>
      <c r="D66" s="20"/>
      <c r="E66" s="20"/>
      <c r="F66" s="20"/>
      <c r="G66" s="20" t="str">
        <f aca="false">IF(COUNTBLANK(D66:F66)=3,"",IF(OR(D66="Fail",E66="Fail",F66="Fail"),"Fail",IF(AND(D66="Pass",E66="Pass",F66="Pass"),"Pass","Incomplete")))</f>
        <v/>
      </c>
      <c r="H66" s="18"/>
      <c r="I66" s="18"/>
    </row>
    <row r="67" customFormat="false" ht="15.75" hidden="false" customHeight="true" outlineLevel="0" collapsed="false">
      <c r="A67" s="18"/>
      <c r="B67" s="18"/>
      <c r="C67" s="19"/>
      <c r="D67" s="20"/>
      <c r="E67" s="20"/>
      <c r="F67" s="20"/>
      <c r="G67" s="20" t="str">
        <f aca="false">IF(COUNTBLANK(D67:F67)=3,"",IF(OR(D67="Fail",E67="Fail",F67="Fail"),"Fail",IF(AND(D67="Pass",E67="Pass",F67="Pass"),"Pass","Incomplete")))</f>
        <v/>
      </c>
      <c r="H67" s="18"/>
      <c r="I67" s="18"/>
    </row>
    <row r="68" customFormat="false" ht="15.75" hidden="false" customHeight="true" outlineLevel="0" collapsed="false">
      <c r="A68" s="18"/>
      <c r="B68" s="18"/>
      <c r="C68" s="19"/>
      <c r="D68" s="20"/>
      <c r="E68" s="20"/>
      <c r="F68" s="20"/>
      <c r="G68" s="20" t="str">
        <f aca="false">IF(COUNTBLANK(D68:F68)=3,"",IF(OR(D68="Fail",E68="Fail",F68="Fail"),"Fail",IF(AND(D68="Pass",E68="Pass",F68="Pass"),"Pass","Incomplete")))</f>
        <v/>
      </c>
      <c r="H68" s="18"/>
      <c r="I68" s="18"/>
    </row>
    <row r="69" customFormat="false" ht="15.75" hidden="false" customHeight="true" outlineLevel="0" collapsed="false">
      <c r="A69" s="18"/>
      <c r="B69" s="18"/>
      <c r="C69" s="19"/>
      <c r="D69" s="20"/>
      <c r="E69" s="20"/>
      <c r="F69" s="20"/>
      <c r="G69" s="20" t="str">
        <f aca="false">IF(COUNTBLANK(D69:F69)=3,"",IF(OR(D69="Fail",E69="Fail",F69="Fail"),"Fail",IF(AND(D69="Pass",E69="Pass",F69="Pass"),"Pass","Incomplete")))</f>
        <v/>
      </c>
      <c r="H69" s="18"/>
      <c r="I69" s="18"/>
    </row>
    <row r="70" customFormat="false" ht="15.75" hidden="false" customHeight="true" outlineLevel="0" collapsed="false">
      <c r="A70" s="18"/>
      <c r="B70" s="18"/>
      <c r="C70" s="19"/>
      <c r="D70" s="20"/>
      <c r="E70" s="20"/>
      <c r="F70" s="20"/>
      <c r="G70" s="20" t="str">
        <f aca="false">IF(COUNTBLANK(D70:F70)=3,"",IF(OR(D70="Fail",E70="Fail",F70="Fail"),"Fail",IF(AND(D70="Pass",E70="Pass",F70="Pass"),"Pass","Incomplete")))</f>
        <v/>
      </c>
      <c r="H70" s="18"/>
      <c r="I70" s="18"/>
    </row>
    <row r="71" customFormat="false" ht="15.75" hidden="false" customHeight="true" outlineLevel="0" collapsed="false">
      <c r="A71" s="18"/>
      <c r="B71" s="18"/>
      <c r="C71" s="19"/>
      <c r="D71" s="20"/>
      <c r="E71" s="20"/>
      <c r="F71" s="20"/>
      <c r="G71" s="20" t="str">
        <f aca="false">IF(COUNTBLANK(D71:F71)=3,"",IF(OR(D71="Fail",E71="Fail",F71="Fail"),"Fail",IF(AND(D71="Pass",E71="Pass",F71="Pass"),"Pass","Incomplete")))</f>
        <v/>
      </c>
      <c r="H71" s="18"/>
      <c r="I71" s="18"/>
    </row>
    <row r="72" customFormat="false" ht="15.75" hidden="false" customHeight="true" outlineLevel="0" collapsed="false">
      <c r="A72" s="18"/>
      <c r="B72" s="18"/>
      <c r="C72" s="19"/>
      <c r="D72" s="20"/>
      <c r="E72" s="20"/>
      <c r="F72" s="20"/>
      <c r="G72" s="20" t="str">
        <f aca="false">IF(COUNTBLANK(D72:F72)=3,"",IF(OR(D72="Fail",E72="Fail",F72="Fail"),"Fail",IF(AND(D72="Pass",E72="Pass",F72="Pass"),"Pass","Incomplete")))</f>
        <v/>
      </c>
      <c r="H72" s="18"/>
      <c r="I72" s="18"/>
    </row>
    <row r="73" customFormat="false" ht="15.75" hidden="false" customHeight="true" outlineLevel="0" collapsed="false">
      <c r="A73" s="18"/>
      <c r="B73" s="18"/>
      <c r="C73" s="19"/>
      <c r="D73" s="20"/>
      <c r="E73" s="20"/>
      <c r="F73" s="20"/>
      <c r="G73" s="20" t="str">
        <f aca="false">IF(COUNTBLANK(D73:F73)=3,"",IF(OR(D73="Fail",E73="Fail",F73="Fail"),"Fail",IF(AND(D73="Pass",E73="Pass",F73="Pass"),"Pass","Incomplete")))</f>
        <v/>
      </c>
      <c r="H73" s="18"/>
      <c r="I73" s="18"/>
    </row>
    <row r="74" customFormat="false" ht="15.75" hidden="false" customHeight="true" outlineLevel="0" collapsed="false">
      <c r="A74" s="18"/>
      <c r="B74" s="18"/>
      <c r="C74" s="19"/>
      <c r="D74" s="20"/>
      <c r="E74" s="20"/>
      <c r="F74" s="20"/>
      <c r="G74" s="20" t="str">
        <f aca="false">IF(COUNTBLANK(D74:F74)=3,"",IF(OR(D74="Fail",E74="Fail",F74="Fail"),"Fail",IF(AND(D74="Pass",E74="Pass",F74="Pass"),"Pass","Incomplete")))</f>
        <v/>
      </c>
      <c r="H74" s="18"/>
      <c r="I74" s="18"/>
    </row>
    <row r="75" customFormat="false" ht="15.75" hidden="false" customHeight="true" outlineLevel="0" collapsed="false">
      <c r="A75" s="18"/>
      <c r="B75" s="18"/>
      <c r="C75" s="19"/>
      <c r="D75" s="20"/>
      <c r="E75" s="20"/>
      <c r="F75" s="20"/>
      <c r="G75" s="20" t="str">
        <f aca="false">IF(COUNTBLANK(D75:F75)=3,"",IF(OR(D75="Fail",E75="Fail",F75="Fail"),"Fail",IF(AND(D75="Pass",E75="Pass",F75="Pass"),"Pass","Incomplete")))</f>
        <v/>
      </c>
      <c r="H75" s="18"/>
      <c r="I75" s="18"/>
    </row>
    <row r="76" customFormat="false" ht="15.75" hidden="false" customHeight="true" outlineLevel="0" collapsed="false">
      <c r="A76" s="18"/>
      <c r="B76" s="18"/>
      <c r="C76" s="19"/>
      <c r="D76" s="20"/>
      <c r="E76" s="20"/>
      <c r="F76" s="20"/>
      <c r="G76" s="20" t="str">
        <f aca="false">IF(COUNTBLANK(D76:F76)=3,"",IF(OR(D76="Fail",E76="Fail",F76="Fail"),"Fail",IF(AND(D76="Pass",E76="Pass",F76="Pass"),"Pass","Incomplete")))</f>
        <v/>
      </c>
      <c r="H76" s="18"/>
      <c r="I76" s="18"/>
    </row>
    <row r="77" customFormat="false" ht="15.75" hidden="false" customHeight="true" outlineLevel="0" collapsed="false">
      <c r="A77" s="18"/>
      <c r="B77" s="18"/>
      <c r="C77" s="19"/>
      <c r="D77" s="20"/>
      <c r="E77" s="20"/>
      <c r="F77" s="20"/>
      <c r="G77" s="20" t="str">
        <f aca="false">IF(COUNTBLANK(D77:F77)=3,"",IF(OR(D77="Fail",E77="Fail",F77="Fail"),"Fail",IF(AND(D77="Pass",E77="Pass",F77="Pass"),"Pass","Incomplete")))</f>
        <v/>
      </c>
      <c r="H77" s="18"/>
      <c r="I77" s="18"/>
    </row>
    <row r="78" customFormat="false" ht="15.75" hidden="false" customHeight="true" outlineLevel="0" collapsed="false">
      <c r="A78" s="18"/>
      <c r="B78" s="18"/>
      <c r="C78" s="19"/>
      <c r="D78" s="20"/>
      <c r="E78" s="20"/>
      <c r="F78" s="20"/>
      <c r="G78" s="20" t="str">
        <f aca="false">IF(COUNTBLANK(D78:F78)=3,"",IF(OR(D78="Fail",E78="Fail",F78="Fail"),"Fail",IF(AND(D78="Pass",E78="Pass",F78="Pass"),"Pass","Incomplete")))</f>
        <v/>
      </c>
      <c r="H78" s="18"/>
      <c r="I78" s="18"/>
    </row>
    <row r="79" customFormat="false" ht="15.75" hidden="false" customHeight="true" outlineLevel="0" collapsed="false">
      <c r="A79" s="18"/>
      <c r="B79" s="18"/>
      <c r="C79" s="19"/>
      <c r="D79" s="20"/>
      <c r="E79" s="20"/>
      <c r="F79" s="20"/>
      <c r="G79" s="20" t="str">
        <f aca="false">IF(COUNTBLANK(D79:F79)=3,"",IF(OR(D79="Fail",E79="Fail",F79="Fail"),"Fail",IF(AND(D79="Pass",E79="Pass",F79="Pass"),"Pass","Incomplete")))</f>
        <v/>
      </c>
      <c r="H79" s="18"/>
      <c r="I79" s="18"/>
    </row>
    <row r="80" customFormat="false" ht="15.75" hidden="false" customHeight="true" outlineLevel="0" collapsed="false">
      <c r="A80" s="18"/>
      <c r="B80" s="18"/>
      <c r="C80" s="19"/>
      <c r="D80" s="20"/>
      <c r="E80" s="20"/>
      <c r="F80" s="20"/>
      <c r="G80" s="20" t="str">
        <f aca="false">IF(COUNTBLANK(D80:F80)=3,"",IF(OR(D80="Fail",E80="Fail",F80="Fail"),"Fail",IF(AND(D80="Pass",E80="Pass",F80="Pass"),"Pass","Incomplete")))</f>
        <v/>
      </c>
      <c r="H80" s="18"/>
      <c r="I80" s="18"/>
    </row>
    <row r="81" customFormat="false" ht="15.75" hidden="false" customHeight="true" outlineLevel="0" collapsed="false">
      <c r="A81" s="18"/>
      <c r="B81" s="18"/>
      <c r="C81" s="19"/>
      <c r="D81" s="20"/>
      <c r="E81" s="20"/>
      <c r="F81" s="20"/>
      <c r="G81" s="20" t="str">
        <f aca="false">IF(COUNTBLANK(D81:F81)=3,"",IF(OR(D81="Fail",E81="Fail",F81="Fail"),"Fail",IF(AND(D81="Pass",E81="Pass",F81="Pass"),"Pass","Incomplete")))</f>
        <v/>
      </c>
      <c r="H81" s="18"/>
      <c r="I81" s="18"/>
    </row>
    <row r="82" customFormat="false" ht="15.75" hidden="false" customHeight="true" outlineLevel="0" collapsed="false">
      <c r="A82" s="18"/>
      <c r="B82" s="18"/>
      <c r="C82" s="19"/>
      <c r="D82" s="20"/>
      <c r="E82" s="20"/>
      <c r="F82" s="20"/>
      <c r="G82" s="20" t="str">
        <f aca="false">IF(COUNTBLANK(D82:F82)=3,"",IF(OR(D82="Fail",E82="Fail",F82="Fail"),"Fail",IF(AND(D82="Pass",E82="Pass",F82="Pass"),"Pass","Incomplete")))</f>
        <v/>
      </c>
      <c r="H82" s="18"/>
      <c r="I82" s="18"/>
    </row>
    <row r="83" customFormat="false" ht="15.75" hidden="false" customHeight="true" outlineLevel="0" collapsed="false">
      <c r="A83" s="18"/>
      <c r="B83" s="18"/>
      <c r="C83" s="19"/>
      <c r="D83" s="20"/>
      <c r="E83" s="20"/>
      <c r="F83" s="20"/>
      <c r="G83" s="20" t="str">
        <f aca="false">IF(COUNTBLANK(D83:F83)=3,"",IF(OR(D83="Fail",E83="Fail",F83="Fail"),"Fail",IF(AND(D83="Pass",E83="Pass",F83="Pass"),"Pass","Incomplete")))</f>
        <v/>
      </c>
      <c r="H83" s="18"/>
      <c r="I83" s="18"/>
    </row>
    <row r="84" customFormat="false" ht="15.75" hidden="false" customHeight="true" outlineLevel="0" collapsed="false">
      <c r="A84" s="18"/>
      <c r="B84" s="18"/>
      <c r="C84" s="19"/>
      <c r="D84" s="20"/>
      <c r="E84" s="20"/>
      <c r="F84" s="20"/>
      <c r="G84" s="20" t="str">
        <f aca="false">IF(COUNTBLANK(D84:F84)=3,"",IF(OR(D84="Fail",E84="Fail",F84="Fail"),"Fail",IF(AND(D84="Pass",E84="Pass",F84="Pass"),"Pass","Incomplete")))</f>
        <v/>
      </c>
      <c r="H84" s="18"/>
      <c r="I84" s="18"/>
    </row>
    <row r="85" customFormat="false" ht="15.75" hidden="false" customHeight="true" outlineLevel="0" collapsed="false">
      <c r="A85" s="18"/>
      <c r="B85" s="18"/>
      <c r="C85" s="19"/>
      <c r="D85" s="20"/>
      <c r="E85" s="20"/>
      <c r="F85" s="20"/>
      <c r="G85" s="20" t="str">
        <f aca="false">IF(COUNTBLANK(D85:F85)=3,"",IF(OR(D85="Fail",E85="Fail",F85="Fail"),"Fail",IF(AND(D85="Pass",E85="Pass",F85="Pass"),"Pass","Incomplete")))</f>
        <v/>
      </c>
      <c r="H85" s="18"/>
      <c r="I85" s="18"/>
    </row>
    <row r="86" customFormat="false" ht="15.75" hidden="false" customHeight="true" outlineLevel="0" collapsed="false">
      <c r="A86" s="18"/>
      <c r="B86" s="18"/>
      <c r="C86" s="19"/>
      <c r="D86" s="20"/>
      <c r="E86" s="20"/>
      <c r="F86" s="20"/>
      <c r="G86" s="20" t="str">
        <f aca="false">IF(COUNTBLANK(D86:F86)=3,"",IF(OR(D86="Fail",E86="Fail",F86="Fail"),"Fail",IF(AND(D86="Pass",E86="Pass",F86="Pass"),"Pass","Incomplete")))</f>
        <v/>
      </c>
      <c r="H86" s="18"/>
      <c r="I86" s="18"/>
    </row>
    <row r="87" customFormat="false" ht="15.75" hidden="false" customHeight="true" outlineLevel="0" collapsed="false">
      <c r="A87" s="18"/>
      <c r="B87" s="18"/>
      <c r="C87" s="19"/>
      <c r="D87" s="20"/>
      <c r="E87" s="20"/>
      <c r="F87" s="20"/>
      <c r="G87" s="20" t="str">
        <f aca="false">IF(COUNTBLANK(D87:F87)=3,"",IF(OR(D87="Fail",E87="Fail",F87="Fail"),"Fail",IF(AND(D87="Pass",E87="Pass",F87="Pass"),"Pass","Incomplete")))</f>
        <v/>
      </c>
      <c r="H87" s="18"/>
      <c r="I87" s="18"/>
    </row>
    <row r="88" customFormat="false" ht="15.75" hidden="false" customHeight="true" outlineLevel="0" collapsed="false">
      <c r="A88" s="18"/>
      <c r="B88" s="18"/>
      <c r="C88" s="19"/>
      <c r="D88" s="20"/>
      <c r="E88" s="20"/>
      <c r="F88" s="20"/>
      <c r="G88" s="20" t="str">
        <f aca="false">IF(COUNTBLANK(D88:F88)=3,"",IF(OR(D88="Fail",E88="Fail",F88="Fail"),"Fail",IF(AND(D88="Pass",E88="Pass",F88="Pass"),"Pass","Incomplete")))</f>
        <v/>
      </c>
      <c r="H88" s="18"/>
      <c r="I88" s="18"/>
    </row>
    <row r="89" customFormat="false" ht="15.75" hidden="false" customHeight="true" outlineLevel="0" collapsed="false">
      <c r="A89" s="18"/>
      <c r="B89" s="18"/>
      <c r="C89" s="19"/>
      <c r="D89" s="20"/>
      <c r="E89" s="20"/>
      <c r="F89" s="20"/>
      <c r="G89" s="20" t="str">
        <f aca="false">IF(COUNTBLANK(D89:F89)=3,"",IF(OR(D89="Fail",E89="Fail",F89="Fail"),"Fail",IF(AND(D89="Pass",E89="Pass",F89="Pass"),"Pass","Incomplete")))</f>
        <v/>
      </c>
      <c r="H89" s="18"/>
      <c r="I89" s="18"/>
    </row>
    <row r="90" customFormat="false" ht="15.75" hidden="false" customHeight="true" outlineLevel="0" collapsed="false">
      <c r="A90" s="18"/>
      <c r="B90" s="18"/>
      <c r="C90" s="19"/>
      <c r="D90" s="20"/>
      <c r="E90" s="20"/>
      <c r="F90" s="20"/>
      <c r="G90" s="20" t="str">
        <f aca="false">IF(COUNTBLANK(D90:F90)=3,"",IF(OR(D90="Fail",E90="Fail",F90="Fail"),"Fail",IF(AND(D90="Pass",E90="Pass",F90="Pass"),"Pass","Incomplete")))</f>
        <v/>
      </c>
      <c r="H90" s="18"/>
      <c r="I90" s="18"/>
    </row>
    <row r="91" customFormat="false" ht="15.75" hidden="false" customHeight="true" outlineLevel="0" collapsed="false">
      <c r="A91" s="18"/>
      <c r="B91" s="18"/>
      <c r="C91" s="19"/>
      <c r="D91" s="20"/>
      <c r="E91" s="20"/>
      <c r="F91" s="20"/>
      <c r="G91" s="20" t="str">
        <f aca="false">IF(COUNTBLANK(D91:F91)=3,"",IF(OR(D91="Fail",E91="Fail",F91="Fail"),"Fail",IF(AND(D91="Pass",E91="Pass",F91="Pass"),"Pass","Incomplete")))</f>
        <v/>
      </c>
      <c r="H91" s="18"/>
      <c r="I91" s="18"/>
    </row>
    <row r="92" customFormat="false" ht="15.75" hidden="false" customHeight="true" outlineLevel="0" collapsed="false">
      <c r="A92" s="18"/>
      <c r="B92" s="18"/>
      <c r="C92" s="19"/>
      <c r="D92" s="20"/>
      <c r="E92" s="20"/>
      <c r="F92" s="20"/>
      <c r="G92" s="20" t="str">
        <f aca="false">IF(COUNTBLANK(D92:F92)=3,"",IF(OR(D92="Fail",E92="Fail",F92="Fail"),"Fail",IF(AND(D92="Pass",E92="Pass",F92="Pass"),"Pass","Incomplete")))</f>
        <v/>
      </c>
      <c r="H92" s="18"/>
      <c r="I92" s="18"/>
    </row>
    <row r="93" customFormat="false" ht="15.75" hidden="false" customHeight="true" outlineLevel="0" collapsed="false">
      <c r="A93" s="18"/>
      <c r="B93" s="18"/>
      <c r="C93" s="19"/>
      <c r="D93" s="20"/>
      <c r="E93" s="20"/>
      <c r="F93" s="20"/>
      <c r="G93" s="20" t="str">
        <f aca="false">IF(COUNTBLANK(D93:F93)=3,"",IF(OR(D93="Fail",E93="Fail",F93="Fail"),"Fail",IF(AND(D93="Pass",E93="Pass",F93="Pass"),"Pass","Incomplete")))</f>
        <v/>
      </c>
      <c r="H93" s="18"/>
      <c r="I93" s="18"/>
    </row>
    <row r="94" customFormat="false" ht="15.75" hidden="false" customHeight="true" outlineLevel="0" collapsed="false">
      <c r="A94" s="18"/>
      <c r="B94" s="18"/>
      <c r="C94" s="19"/>
      <c r="D94" s="20"/>
      <c r="E94" s="20"/>
      <c r="F94" s="20"/>
      <c r="G94" s="20" t="str">
        <f aca="false">IF(COUNTBLANK(D94:F94)=3,"",IF(OR(D94="Fail",E94="Fail",F94="Fail"),"Fail",IF(AND(D94="Pass",E94="Pass",F94="Pass"),"Pass","Incomplete")))</f>
        <v/>
      </c>
      <c r="H94" s="18"/>
      <c r="I94" s="18"/>
    </row>
    <row r="95" customFormat="false" ht="15.75" hidden="false" customHeight="true" outlineLevel="0" collapsed="false">
      <c r="A95" s="18"/>
      <c r="B95" s="18"/>
      <c r="C95" s="19"/>
      <c r="D95" s="20"/>
      <c r="E95" s="20"/>
      <c r="F95" s="20"/>
      <c r="G95" s="20" t="str">
        <f aca="false">IF(COUNTBLANK(D95:F95)=3,"",IF(OR(D95="Fail",E95="Fail",F95="Fail"),"Fail",IF(AND(D95="Pass",E95="Pass",F95="Pass"),"Pass","Incomplete")))</f>
        <v/>
      </c>
      <c r="H95" s="18"/>
      <c r="I95" s="18"/>
    </row>
    <row r="96" customFormat="false" ht="15.75" hidden="false" customHeight="true" outlineLevel="0" collapsed="false">
      <c r="A96" s="18"/>
      <c r="B96" s="18"/>
      <c r="C96" s="19"/>
      <c r="D96" s="20"/>
      <c r="E96" s="20"/>
      <c r="F96" s="20"/>
      <c r="G96" s="20" t="str">
        <f aca="false">IF(COUNTBLANK(D96:F96)=3,"",IF(OR(D96="Fail",E96="Fail",F96="Fail"),"Fail",IF(AND(D96="Pass",E96="Pass",F96="Pass"),"Pass","Incomplete")))</f>
        <v/>
      </c>
      <c r="H96" s="18"/>
      <c r="I96" s="18"/>
    </row>
    <row r="97" customFormat="false" ht="15.75" hidden="false" customHeight="true" outlineLevel="0" collapsed="false">
      <c r="A97" s="18"/>
      <c r="B97" s="18"/>
      <c r="C97" s="19"/>
      <c r="D97" s="20"/>
      <c r="E97" s="20"/>
      <c r="F97" s="20"/>
      <c r="G97" s="20" t="str">
        <f aca="false">IF(COUNTBLANK(D97:F97)=3,"",IF(OR(D97="Fail",E97="Fail",F97="Fail"),"Fail",IF(AND(D97="Pass",E97="Pass",F97="Pass"),"Pass","Incomplete")))</f>
        <v/>
      </c>
      <c r="H97" s="18"/>
      <c r="I97" s="18"/>
    </row>
    <row r="98" customFormat="false" ht="15.75" hidden="false" customHeight="true" outlineLevel="0" collapsed="false">
      <c r="A98" s="18"/>
      <c r="B98" s="18"/>
      <c r="C98" s="19"/>
      <c r="D98" s="20"/>
      <c r="E98" s="20"/>
      <c r="F98" s="20"/>
      <c r="G98" s="20" t="str">
        <f aca="false">IF(COUNTBLANK(D98:F98)=3,"",IF(OR(D98="Fail",E98="Fail",F98="Fail"),"Fail",IF(AND(D98="Pass",E98="Pass",F98="Pass"),"Pass","Incomplete")))</f>
        <v/>
      </c>
      <c r="H98" s="18"/>
      <c r="I98" s="18"/>
    </row>
    <row r="99" customFormat="false" ht="15.75" hidden="false" customHeight="true" outlineLevel="0" collapsed="false">
      <c r="A99" s="18"/>
      <c r="B99" s="18"/>
      <c r="C99" s="19"/>
      <c r="D99" s="20"/>
      <c r="E99" s="20"/>
      <c r="F99" s="20"/>
      <c r="G99" s="20" t="str">
        <f aca="false">IF(COUNTBLANK(D99:F99)=3,"",IF(OR(D99="Fail",E99="Fail",F99="Fail"),"Fail",IF(AND(D99="Pass",E99="Pass",F99="Pass"),"Pass","Incomplete")))</f>
        <v/>
      </c>
      <c r="H99" s="18"/>
      <c r="I99" s="18"/>
    </row>
    <row r="100" customFormat="false" ht="15.75" hidden="false" customHeight="true" outlineLevel="0" collapsed="false">
      <c r="A100" s="18"/>
      <c r="B100" s="18"/>
      <c r="C100" s="19"/>
      <c r="D100" s="20"/>
      <c r="E100" s="20"/>
      <c r="F100" s="20"/>
      <c r="G100" s="20" t="str">
        <f aca="false">IF(COUNTBLANK(D100:F100)=3,"",IF(OR(D100="Fail",E100="Fail",F100="Fail"),"Fail",IF(AND(D100="Pass",E100="Pass",F100="Pass"),"Pass","Incomplete")))</f>
        <v/>
      </c>
      <c r="H100" s="18"/>
      <c r="I100" s="18"/>
    </row>
    <row r="101" customFormat="false" ht="15.75" hidden="false" customHeight="true" outlineLevel="0" collapsed="false">
      <c r="A101" s="18"/>
      <c r="B101" s="18"/>
      <c r="C101" s="19"/>
      <c r="D101" s="20"/>
      <c r="E101" s="20"/>
      <c r="F101" s="20"/>
      <c r="G101" s="20" t="str">
        <f aca="false">IF(COUNTBLANK(D101:F101)=3,"",IF(OR(D101="Fail",E101="Fail",F101="Fail"),"Fail",IF(AND(D101="Pass",E101="Pass",F101="Pass"),"Pass","Incomplete")))</f>
        <v/>
      </c>
      <c r="H101" s="18"/>
      <c r="I101" s="18"/>
    </row>
    <row r="102" customFormat="false" ht="15.75" hidden="false" customHeight="true" outlineLevel="0" collapsed="false">
      <c r="A102" s="18"/>
      <c r="B102" s="18"/>
      <c r="C102" s="19"/>
      <c r="D102" s="20"/>
      <c r="E102" s="20"/>
      <c r="F102" s="20"/>
      <c r="G102" s="20" t="str">
        <f aca="false">IF(COUNTBLANK(D102:F102)=3,"",IF(OR(D102="Fail",E102="Fail",F102="Fail"),"Fail",IF(AND(D102="Pass",E102="Pass",F102="Pass"),"Pass","Incomplete")))</f>
        <v/>
      </c>
      <c r="H102" s="18"/>
      <c r="I102" s="18"/>
    </row>
    <row r="103" customFormat="false" ht="15.75" hidden="false" customHeight="true" outlineLevel="0" collapsed="false">
      <c r="A103" s="18"/>
      <c r="B103" s="18"/>
      <c r="C103" s="19"/>
      <c r="D103" s="20"/>
      <c r="E103" s="20"/>
      <c r="F103" s="20"/>
      <c r="G103" s="20" t="str">
        <f aca="false">IF(COUNTBLANK(D103:F103)=3,"",IF(OR(D103="Fail",E103="Fail",F103="Fail"),"Fail",IF(AND(D103="Pass",E103="Pass",F103="Pass"),"Pass","Incomplete")))</f>
        <v/>
      </c>
      <c r="H103" s="18"/>
      <c r="I103" s="18"/>
    </row>
    <row r="104" customFormat="false" ht="15.75" hidden="false" customHeight="true" outlineLevel="0" collapsed="false">
      <c r="A104" s="18"/>
      <c r="B104" s="18"/>
      <c r="C104" s="19"/>
      <c r="D104" s="20"/>
      <c r="E104" s="20"/>
      <c r="F104" s="20"/>
      <c r="G104" s="20" t="str">
        <f aca="false">IF(COUNTBLANK(D104:F104)=3,"",IF(OR(D104="Fail",E104="Fail",F104="Fail"),"Fail",IF(AND(D104="Pass",E104="Pass",F104="Pass"),"Pass","Incomplete")))</f>
        <v/>
      </c>
      <c r="H104" s="18"/>
      <c r="I104" s="18"/>
    </row>
    <row r="105" customFormat="false" ht="15.75" hidden="false" customHeight="true" outlineLevel="0" collapsed="false">
      <c r="A105" s="18"/>
      <c r="B105" s="18"/>
      <c r="C105" s="19"/>
      <c r="D105" s="20"/>
      <c r="E105" s="20"/>
      <c r="F105" s="20"/>
      <c r="G105" s="20" t="str">
        <f aca="false">IF(COUNTBLANK(D105:F105)=3,"",IF(OR(D105="Fail",E105="Fail",F105="Fail"),"Fail",IF(AND(D105="Pass",E105="Pass",F105="Pass"),"Pass","Incomplete")))</f>
        <v/>
      </c>
      <c r="H105" s="18"/>
      <c r="I105" s="18"/>
    </row>
    <row r="106" customFormat="false" ht="15.75" hidden="false" customHeight="true" outlineLevel="0" collapsed="false">
      <c r="A106" s="18"/>
      <c r="B106" s="18"/>
      <c r="C106" s="19"/>
      <c r="D106" s="20"/>
      <c r="E106" s="20"/>
      <c r="F106" s="20"/>
      <c r="G106" s="20" t="str">
        <f aca="false">IF(COUNTBLANK(D106:F106)=3,"",IF(OR(D106="Fail",E106="Fail",F106="Fail"),"Fail",IF(AND(D106="Pass",E106="Pass",F106="Pass"),"Pass","Incomplete")))</f>
        <v/>
      </c>
      <c r="H106" s="18"/>
      <c r="I106" s="18"/>
    </row>
    <row r="107" customFormat="false" ht="15.75" hidden="false" customHeight="true" outlineLevel="0" collapsed="false">
      <c r="A107" s="18"/>
      <c r="B107" s="18"/>
      <c r="C107" s="19"/>
      <c r="D107" s="20"/>
      <c r="E107" s="20"/>
      <c r="F107" s="20"/>
      <c r="G107" s="20" t="str">
        <f aca="false">IF(COUNTBLANK(D107:F107)=3,"",IF(OR(D107="Fail",E107="Fail",F107="Fail"),"Fail",IF(AND(D107="Pass",E107="Pass",F107="Pass"),"Pass","Incomplete")))</f>
        <v/>
      </c>
      <c r="H107" s="18"/>
      <c r="I107" s="18"/>
    </row>
    <row r="108" customFormat="false" ht="15.75" hidden="false" customHeight="true" outlineLevel="0" collapsed="false">
      <c r="A108" s="18"/>
      <c r="B108" s="18"/>
      <c r="C108" s="19"/>
      <c r="D108" s="20"/>
      <c r="E108" s="20"/>
      <c r="F108" s="20"/>
      <c r="G108" s="20" t="str">
        <f aca="false">IF(COUNTBLANK(D108:F108)=3,"",IF(OR(D108="Fail",E108="Fail",F108="Fail"),"Fail",IF(AND(D108="Pass",E108="Pass",F108="Pass"),"Pass","Incomplete")))</f>
        <v/>
      </c>
      <c r="H108" s="18"/>
      <c r="I108" s="18"/>
    </row>
    <row r="109" customFormat="false" ht="15.75" hidden="false" customHeight="true" outlineLevel="0" collapsed="false">
      <c r="A109" s="18"/>
      <c r="B109" s="18"/>
      <c r="C109" s="19"/>
      <c r="D109" s="20"/>
      <c r="E109" s="20"/>
      <c r="F109" s="20"/>
      <c r="G109" s="20" t="str">
        <f aca="false">IF(COUNTBLANK(D109:F109)=3,"",IF(OR(D109="Fail",E109="Fail",F109="Fail"),"Fail",IF(AND(D109="Pass",E109="Pass",F109="Pass"),"Pass","Incomplete")))</f>
        <v/>
      </c>
      <c r="H109" s="18"/>
      <c r="I109" s="18"/>
    </row>
    <row r="110" customFormat="false" ht="15.75" hidden="false" customHeight="true" outlineLevel="0" collapsed="false">
      <c r="A110" s="18"/>
      <c r="B110" s="18"/>
      <c r="C110" s="19"/>
      <c r="D110" s="20"/>
      <c r="E110" s="20"/>
      <c r="F110" s="20"/>
      <c r="G110" s="20" t="str">
        <f aca="false">IF(COUNTBLANK(D110:F110)=3,"",IF(OR(D110="Fail",E110="Fail",F110="Fail"),"Fail",IF(AND(D110="Pass",E110="Pass",F110="Pass"),"Pass","Incomplete")))</f>
        <v/>
      </c>
      <c r="H110" s="18"/>
      <c r="I110" s="18"/>
    </row>
    <row r="111" customFormat="false" ht="15.75" hidden="false" customHeight="true" outlineLevel="0" collapsed="false">
      <c r="A111" s="18"/>
      <c r="B111" s="18"/>
      <c r="C111" s="19"/>
      <c r="D111" s="20"/>
      <c r="E111" s="20"/>
      <c r="F111" s="20"/>
      <c r="G111" s="20" t="str">
        <f aca="false">IF(COUNTBLANK(D111:F111)=3,"",IF(OR(D111="Fail",E111="Fail",F111="Fail"),"Fail",IF(AND(D111="Pass",E111="Pass",F111="Pass"),"Pass","Incomplete")))</f>
        <v/>
      </c>
      <c r="H111" s="18"/>
      <c r="I111" s="18"/>
    </row>
    <row r="112" customFormat="false" ht="15.75" hidden="false" customHeight="true" outlineLevel="0" collapsed="false">
      <c r="A112" s="18"/>
      <c r="B112" s="18"/>
      <c r="C112" s="19"/>
      <c r="D112" s="20"/>
      <c r="E112" s="20"/>
      <c r="F112" s="20"/>
      <c r="G112" s="20" t="str">
        <f aca="false">IF(COUNTBLANK(D112:F112)=3,"",IF(OR(D112="Fail",E112="Fail",F112="Fail"),"Fail",IF(AND(D112="Pass",E112="Pass",F112="Pass"),"Pass","Incomplete")))</f>
        <v/>
      </c>
      <c r="H112" s="18"/>
      <c r="I112" s="18"/>
    </row>
    <row r="113" customFormat="false" ht="15.75" hidden="false" customHeight="true" outlineLevel="0" collapsed="false">
      <c r="A113" s="18"/>
      <c r="B113" s="18"/>
      <c r="C113" s="19"/>
      <c r="D113" s="20"/>
      <c r="E113" s="20"/>
      <c r="F113" s="20"/>
      <c r="G113" s="20" t="str">
        <f aca="false">IF(COUNTBLANK(D113:F113)=3,"",IF(OR(D113="Fail",E113="Fail",F113="Fail"),"Fail",IF(AND(D113="Pass",E113="Pass",F113="Pass"),"Pass","Incomplete")))</f>
        <v/>
      </c>
      <c r="H113" s="18"/>
      <c r="I113" s="18"/>
    </row>
    <row r="114" customFormat="false" ht="15.75" hidden="false" customHeight="true" outlineLevel="0" collapsed="false">
      <c r="A114" s="18"/>
      <c r="B114" s="18"/>
      <c r="C114" s="19"/>
      <c r="D114" s="20"/>
      <c r="E114" s="20"/>
      <c r="F114" s="20"/>
      <c r="G114" s="20" t="str">
        <f aca="false">IF(COUNTBLANK(D114:F114)=3,"",IF(OR(D114="Fail",E114="Fail",F114="Fail"),"Fail",IF(AND(D114="Pass",E114="Pass",F114="Pass"),"Pass","Incomplete")))</f>
        <v/>
      </c>
      <c r="H114" s="18"/>
      <c r="I114" s="18"/>
    </row>
    <row r="115" customFormat="false" ht="15.75" hidden="false" customHeight="true" outlineLevel="0" collapsed="false">
      <c r="A115" s="18"/>
      <c r="B115" s="18"/>
      <c r="C115" s="19"/>
      <c r="D115" s="20"/>
      <c r="E115" s="20"/>
      <c r="F115" s="20"/>
      <c r="G115" s="20" t="str">
        <f aca="false">IF(COUNTBLANK(D115:F115)=3,"",IF(OR(D115="Fail",E115="Fail",F115="Fail"),"Fail",IF(AND(D115="Pass",E115="Pass",F115="Pass"),"Pass","Incomplete")))</f>
        <v/>
      </c>
      <c r="H115" s="18"/>
      <c r="I115" s="18"/>
    </row>
    <row r="116" customFormat="false" ht="15.75" hidden="false" customHeight="true" outlineLevel="0" collapsed="false">
      <c r="A116" s="18"/>
      <c r="B116" s="18"/>
      <c r="C116" s="19"/>
      <c r="D116" s="20"/>
      <c r="E116" s="20"/>
      <c r="F116" s="20"/>
      <c r="G116" s="20" t="str">
        <f aca="false">IF(COUNTBLANK(D116:F116)=3,"",IF(OR(D116="Fail",E116="Fail",F116="Fail"),"Fail",IF(AND(D116="Pass",E116="Pass",F116="Pass"),"Pass","Incomplete")))</f>
        <v/>
      </c>
      <c r="H116" s="18"/>
      <c r="I116" s="18"/>
    </row>
    <row r="117" customFormat="false" ht="15.75" hidden="false" customHeight="true" outlineLevel="0" collapsed="false">
      <c r="A117" s="18"/>
      <c r="B117" s="18"/>
      <c r="C117" s="19"/>
      <c r="D117" s="20"/>
      <c r="E117" s="20"/>
      <c r="F117" s="20"/>
      <c r="G117" s="20" t="str">
        <f aca="false">IF(COUNTBLANK(D117:F117)=3,"",IF(OR(D117="Fail",E117="Fail",F117="Fail"),"Fail",IF(AND(D117="Pass",E117="Pass",F117="Pass"),"Pass","Incomplete")))</f>
        <v/>
      </c>
      <c r="H117" s="18"/>
      <c r="I117" s="18"/>
    </row>
    <row r="118" customFormat="false" ht="15.75" hidden="false" customHeight="true" outlineLevel="0" collapsed="false">
      <c r="A118" s="18"/>
      <c r="B118" s="18"/>
      <c r="C118" s="19"/>
      <c r="D118" s="20"/>
      <c r="E118" s="20"/>
      <c r="F118" s="20"/>
      <c r="G118" s="20" t="str">
        <f aca="false">IF(COUNTBLANK(D118:F118)=3,"",IF(OR(D118="Fail",E118="Fail",F118="Fail"),"Fail",IF(AND(D118="Pass",E118="Pass",F118="Pass"),"Pass","Incomplete")))</f>
        <v/>
      </c>
      <c r="H118" s="18"/>
      <c r="I118" s="18"/>
    </row>
    <row r="119" customFormat="false" ht="15.75" hidden="false" customHeight="true" outlineLevel="0" collapsed="false">
      <c r="A119" s="18"/>
      <c r="B119" s="18"/>
      <c r="C119" s="19"/>
      <c r="D119" s="20"/>
      <c r="E119" s="20"/>
      <c r="F119" s="20"/>
      <c r="G119" s="20" t="str">
        <f aca="false">IF(COUNTBLANK(D119:F119)=3,"",IF(OR(D119="Fail",E119="Fail",F119="Fail"),"Fail",IF(AND(D119="Pass",E119="Pass",F119="Pass"),"Pass","Incomplete")))</f>
        <v/>
      </c>
      <c r="H119" s="18"/>
      <c r="I119" s="18"/>
    </row>
    <row r="120" customFormat="false" ht="15.75" hidden="false" customHeight="true" outlineLevel="0" collapsed="false">
      <c r="A120" s="18"/>
      <c r="B120" s="18"/>
      <c r="C120" s="19"/>
      <c r="D120" s="20"/>
      <c r="E120" s="20"/>
      <c r="F120" s="20"/>
      <c r="G120" s="20" t="str">
        <f aca="false">IF(COUNTBLANK(D120:F120)=3,"",IF(OR(D120="Fail",E120="Fail",F120="Fail"),"Fail",IF(AND(D120="Pass",E120="Pass",F120="Pass"),"Pass","Incomplete")))</f>
        <v/>
      </c>
      <c r="H120" s="18"/>
      <c r="I120" s="18"/>
    </row>
    <row r="121" customFormat="false" ht="15.75" hidden="false" customHeight="true" outlineLevel="0" collapsed="false">
      <c r="A121" s="18"/>
      <c r="B121" s="18"/>
      <c r="C121" s="19"/>
      <c r="D121" s="20"/>
      <c r="E121" s="20"/>
      <c r="F121" s="20"/>
      <c r="G121" s="20" t="str">
        <f aca="false">IF(COUNTBLANK(D121:F121)=3,"",IF(OR(D121="Fail",E121="Fail",F121="Fail"),"Fail",IF(AND(D121="Pass",E121="Pass",F121="Pass"),"Pass","Incomplete")))</f>
        <v/>
      </c>
      <c r="H121" s="18"/>
      <c r="I121" s="18"/>
    </row>
    <row r="122" customFormat="false" ht="15.75" hidden="false" customHeight="true" outlineLevel="0" collapsed="false">
      <c r="A122" s="18"/>
      <c r="B122" s="18"/>
      <c r="C122" s="19"/>
      <c r="D122" s="20"/>
      <c r="E122" s="20"/>
      <c r="F122" s="20"/>
      <c r="G122" s="20" t="str">
        <f aca="false">IF(COUNTBLANK(D122:F122)=3,"",IF(OR(D122="Fail",E122="Fail",F122="Fail"),"Fail",IF(AND(D122="Pass",E122="Pass",F122="Pass"),"Pass","Incomplete")))</f>
        <v/>
      </c>
      <c r="H122" s="18"/>
      <c r="I122" s="18"/>
    </row>
    <row r="123" customFormat="false" ht="15.75" hidden="false" customHeight="true" outlineLevel="0" collapsed="false">
      <c r="A123" s="18"/>
      <c r="B123" s="18"/>
      <c r="C123" s="19"/>
      <c r="D123" s="20"/>
      <c r="E123" s="20"/>
      <c r="F123" s="20"/>
      <c r="G123" s="20" t="str">
        <f aca="false">IF(COUNTBLANK(D123:F123)=3,"",IF(OR(D123="Fail",E123="Fail",F123="Fail"),"Fail",IF(AND(D123="Pass",E123="Pass",F123="Pass"),"Pass","Incomplete")))</f>
        <v/>
      </c>
      <c r="H123" s="18"/>
      <c r="I123" s="18"/>
    </row>
    <row r="124" customFormat="false" ht="15.75" hidden="false" customHeight="true" outlineLevel="0" collapsed="false">
      <c r="A124" s="18"/>
      <c r="B124" s="18"/>
      <c r="C124" s="19"/>
      <c r="D124" s="20"/>
      <c r="E124" s="20"/>
      <c r="F124" s="20"/>
      <c r="G124" s="20" t="str">
        <f aca="false">IF(COUNTBLANK(D124:F124)=3,"",IF(OR(D124="Fail",E124="Fail",F124="Fail"),"Fail",IF(AND(D124="Pass",E124="Pass",F124="Pass"),"Pass","Incomplete")))</f>
        <v/>
      </c>
      <c r="H124" s="18"/>
      <c r="I124" s="18"/>
    </row>
    <row r="125" customFormat="false" ht="15.75" hidden="false" customHeight="true" outlineLevel="0" collapsed="false">
      <c r="A125" s="18"/>
      <c r="B125" s="18"/>
      <c r="C125" s="19"/>
      <c r="D125" s="20"/>
      <c r="E125" s="20"/>
      <c r="F125" s="20"/>
      <c r="G125" s="20" t="str">
        <f aca="false">IF(COUNTBLANK(D125:F125)=3,"",IF(OR(D125="Fail",E125="Fail",F125="Fail"),"Fail",IF(AND(D125="Pass",E125="Pass",F125="Pass"),"Pass","Incomplete")))</f>
        <v/>
      </c>
      <c r="H125" s="18"/>
      <c r="I125" s="18"/>
    </row>
    <row r="126" customFormat="false" ht="15.75" hidden="false" customHeight="true" outlineLevel="0" collapsed="false">
      <c r="A126" s="18"/>
      <c r="B126" s="18"/>
      <c r="C126" s="19"/>
      <c r="D126" s="20"/>
      <c r="E126" s="20"/>
      <c r="F126" s="20"/>
      <c r="G126" s="20" t="str">
        <f aca="false">IF(COUNTBLANK(D126:F126)=3,"",IF(OR(D126="Fail",E126="Fail",F126="Fail"),"Fail",IF(AND(D126="Pass",E126="Pass",F126="Pass"),"Pass","Incomplete")))</f>
        <v/>
      </c>
      <c r="H126" s="18"/>
      <c r="I126" s="18"/>
    </row>
    <row r="127" customFormat="false" ht="15.75" hidden="false" customHeight="true" outlineLevel="0" collapsed="false">
      <c r="A127" s="18"/>
      <c r="B127" s="18"/>
      <c r="C127" s="19"/>
      <c r="D127" s="20"/>
      <c r="E127" s="20"/>
      <c r="F127" s="20"/>
      <c r="G127" s="20" t="str">
        <f aca="false">IF(COUNTBLANK(D127:F127)=3,"",IF(OR(D127="Fail",E127="Fail",F127="Fail"),"Fail",IF(AND(D127="Pass",E127="Pass",F127="Pass"),"Pass","Incomplete")))</f>
        <v/>
      </c>
      <c r="H127" s="18"/>
      <c r="I127" s="18"/>
    </row>
    <row r="128" customFormat="false" ht="15.75" hidden="false" customHeight="true" outlineLevel="0" collapsed="false">
      <c r="A128" s="18"/>
      <c r="B128" s="18"/>
      <c r="C128" s="19"/>
      <c r="D128" s="20"/>
      <c r="E128" s="20"/>
      <c r="F128" s="20"/>
      <c r="G128" s="20" t="str">
        <f aca="false">IF(COUNTBLANK(D128:F128)=3,"",IF(OR(D128="Fail",E128="Fail",F128="Fail"),"Fail",IF(AND(D128="Pass",E128="Pass",F128="Pass"),"Pass","Incomplete")))</f>
        <v/>
      </c>
      <c r="H128" s="18"/>
      <c r="I128" s="18"/>
    </row>
    <row r="129" customFormat="false" ht="15.75" hidden="false" customHeight="true" outlineLevel="0" collapsed="false">
      <c r="A129" s="18"/>
      <c r="B129" s="18"/>
      <c r="C129" s="19"/>
      <c r="D129" s="20"/>
      <c r="E129" s="20"/>
      <c r="F129" s="20"/>
      <c r="G129" s="20" t="str">
        <f aca="false">IF(COUNTBLANK(D129:F129)=3,"",IF(OR(D129="Fail",E129="Fail",F129="Fail"),"Fail",IF(AND(D129="Pass",E129="Pass",F129="Pass"),"Pass","Incomplete")))</f>
        <v/>
      </c>
      <c r="H129" s="18"/>
      <c r="I129" s="18"/>
    </row>
    <row r="130" customFormat="false" ht="15.75" hidden="false" customHeight="true" outlineLevel="0" collapsed="false">
      <c r="A130" s="18"/>
      <c r="B130" s="18"/>
      <c r="C130" s="19"/>
      <c r="D130" s="20"/>
      <c r="E130" s="20"/>
      <c r="F130" s="20"/>
      <c r="G130" s="20" t="str">
        <f aca="false">IF(COUNTBLANK(D130:F130)=3,"",IF(OR(D130="Fail",E130="Fail",F130="Fail"),"Fail",IF(AND(D130="Pass",E130="Pass",F130="Pass"),"Pass","Incomplete")))</f>
        <v/>
      </c>
      <c r="H130" s="18"/>
      <c r="I130" s="18"/>
    </row>
    <row r="131" customFormat="false" ht="15.75" hidden="false" customHeight="true" outlineLevel="0" collapsed="false">
      <c r="A131" s="18"/>
      <c r="B131" s="18"/>
      <c r="C131" s="19"/>
      <c r="D131" s="20"/>
      <c r="E131" s="20"/>
      <c r="F131" s="20"/>
      <c r="G131" s="20" t="str">
        <f aca="false">IF(COUNTBLANK(D131:F131)=3,"",IF(OR(D131="Fail",E131="Fail",F131="Fail"),"Fail",IF(AND(D131="Pass",E131="Pass",F131="Pass"),"Pass","Incomplete")))</f>
        <v/>
      </c>
      <c r="H131" s="18"/>
      <c r="I131" s="18"/>
    </row>
    <row r="132" customFormat="false" ht="15.75" hidden="false" customHeight="true" outlineLevel="0" collapsed="false">
      <c r="A132" s="18"/>
      <c r="B132" s="18"/>
      <c r="C132" s="19"/>
      <c r="D132" s="20"/>
      <c r="E132" s="20"/>
      <c r="F132" s="20"/>
      <c r="G132" s="20" t="str">
        <f aca="false">IF(COUNTBLANK(D132:F132)=3,"",IF(OR(D132="Fail",E132="Fail",F132="Fail"),"Fail",IF(AND(D132="Pass",E132="Pass",F132="Pass"),"Pass","Incomplete")))</f>
        <v/>
      </c>
      <c r="H132" s="18"/>
      <c r="I132" s="18"/>
    </row>
    <row r="133" customFormat="false" ht="15.75" hidden="false" customHeight="true" outlineLevel="0" collapsed="false">
      <c r="A133" s="18"/>
      <c r="B133" s="18"/>
      <c r="C133" s="19"/>
      <c r="D133" s="20"/>
      <c r="E133" s="20"/>
      <c r="F133" s="20"/>
      <c r="G133" s="20" t="str">
        <f aca="false">IF(COUNTBLANK(D133:F133)=3,"",IF(OR(D133="Fail",E133="Fail",F133="Fail"),"Fail",IF(AND(D133="Pass",E133="Pass",F133="Pass"),"Pass","Incomplete")))</f>
        <v/>
      </c>
      <c r="H133" s="18"/>
      <c r="I133" s="18"/>
    </row>
    <row r="134" customFormat="false" ht="15.75" hidden="false" customHeight="true" outlineLevel="0" collapsed="false">
      <c r="A134" s="18"/>
      <c r="B134" s="18"/>
      <c r="C134" s="19"/>
      <c r="D134" s="20"/>
      <c r="E134" s="20"/>
      <c r="F134" s="20"/>
      <c r="G134" s="20" t="str">
        <f aca="false">IF(COUNTBLANK(D134:F134)=3,"",IF(OR(D134="Fail",E134="Fail",F134="Fail"),"Fail",IF(AND(D134="Pass",E134="Pass",F134="Pass"),"Pass","Incomplete")))</f>
        <v/>
      </c>
      <c r="H134" s="18"/>
      <c r="I134" s="18"/>
    </row>
    <row r="135" customFormat="false" ht="15.75" hidden="false" customHeight="true" outlineLevel="0" collapsed="false">
      <c r="A135" s="18"/>
      <c r="B135" s="18"/>
      <c r="C135" s="19"/>
      <c r="D135" s="20"/>
      <c r="E135" s="20"/>
      <c r="F135" s="20"/>
      <c r="G135" s="20" t="str">
        <f aca="false">IF(COUNTBLANK(D135:F135)=3,"",IF(OR(D135="Fail",E135="Fail",F135="Fail"),"Fail",IF(AND(D135="Pass",E135="Pass",F135="Pass"),"Pass","Incomplete")))</f>
        <v/>
      </c>
      <c r="H135" s="18"/>
      <c r="I135" s="18"/>
    </row>
    <row r="136" customFormat="false" ht="15.75" hidden="false" customHeight="true" outlineLevel="0" collapsed="false">
      <c r="A136" s="18"/>
      <c r="B136" s="18"/>
      <c r="C136" s="19"/>
      <c r="D136" s="20"/>
      <c r="E136" s="20"/>
      <c r="F136" s="20"/>
      <c r="G136" s="20" t="str">
        <f aca="false">IF(COUNTBLANK(D136:F136)=3,"",IF(OR(D136="Fail",E136="Fail",F136="Fail"),"Fail",IF(AND(D136="Pass",E136="Pass",F136="Pass"),"Pass","Incomplete")))</f>
        <v/>
      </c>
      <c r="H136" s="18"/>
      <c r="I136" s="18"/>
    </row>
    <row r="137" customFormat="false" ht="15.75" hidden="false" customHeight="true" outlineLevel="0" collapsed="false">
      <c r="A137" s="18"/>
      <c r="B137" s="18"/>
      <c r="C137" s="19"/>
      <c r="D137" s="20"/>
      <c r="E137" s="20"/>
      <c r="F137" s="20"/>
      <c r="G137" s="20" t="str">
        <f aca="false">IF(COUNTBLANK(D137:F137)=3,"",IF(OR(D137="Fail",E137="Fail",F137="Fail"),"Fail",IF(AND(D137="Pass",E137="Pass",F137="Pass"),"Pass","Incomplete")))</f>
        <v/>
      </c>
      <c r="H137" s="18"/>
      <c r="I137" s="18"/>
    </row>
    <row r="138" customFormat="false" ht="15.75" hidden="false" customHeight="true" outlineLevel="0" collapsed="false">
      <c r="A138" s="18"/>
      <c r="B138" s="18"/>
      <c r="C138" s="19"/>
      <c r="D138" s="20"/>
      <c r="E138" s="20"/>
      <c r="F138" s="20"/>
      <c r="G138" s="20" t="str">
        <f aca="false">IF(COUNTBLANK(D138:F138)=3,"",IF(OR(D138="Fail",E138="Fail",F138="Fail"),"Fail",IF(AND(D138="Pass",E138="Pass",F138="Pass"),"Pass","Incomplete")))</f>
        <v/>
      </c>
      <c r="H138" s="18"/>
      <c r="I138" s="18"/>
    </row>
    <row r="139" customFormat="false" ht="15.75" hidden="false" customHeight="true" outlineLevel="0" collapsed="false">
      <c r="A139" s="18"/>
      <c r="B139" s="18"/>
      <c r="C139" s="19"/>
      <c r="D139" s="20"/>
      <c r="E139" s="20"/>
      <c r="F139" s="20"/>
      <c r="G139" s="20" t="str">
        <f aca="false">IF(COUNTBLANK(D139:F139)=3,"",IF(OR(D139="Fail",E139="Fail",F139="Fail"),"Fail",IF(AND(D139="Pass",E139="Pass",F139="Pass"),"Pass","Incomplete")))</f>
        <v/>
      </c>
      <c r="H139" s="18"/>
      <c r="I139" s="18"/>
    </row>
    <row r="140" customFormat="false" ht="15.75" hidden="false" customHeight="true" outlineLevel="0" collapsed="false">
      <c r="A140" s="18"/>
      <c r="B140" s="18"/>
      <c r="C140" s="19"/>
      <c r="D140" s="20"/>
      <c r="E140" s="20"/>
      <c r="F140" s="20"/>
      <c r="G140" s="20" t="str">
        <f aca="false">IF(COUNTBLANK(D140:F140)=3,"",IF(OR(D140="Fail",E140="Fail",F140="Fail"),"Fail",IF(AND(D140="Pass",E140="Pass",F140="Pass"),"Pass","Incomplete")))</f>
        <v/>
      </c>
      <c r="H140" s="18"/>
      <c r="I140" s="18"/>
    </row>
    <row r="141" customFormat="false" ht="15.75" hidden="false" customHeight="true" outlineLevel="0" collapsed="false">
      <c r="A141" s="18"/>
      <c r="B141" s="18"/>
      <c r="C141" s="19"/>
      <c r="D141" s="20"/>
      <c r="E141" s="20"/>
      <c r="F141" s="20"/>
      <c r="G141" s="20" t="str">
        <f aca="false">IF(COUNTBLANK(D141:F141)=3,"",IF(OR(D141="Fail",E141="Fail",F141="Fail"),"Fail",IF(AND(D141="Pass",E141="Pass",F141="Pass"),"Pass","Incomplete")))</f>
        <v/>
      </c>
      <c r="H141" s="18"/>
      <c r="I141" s="18"/>
    </row>
    <row r="142" customFormat="false" ht="15.75" hidden="false" customHeight="true" outlineLevel="0" collapsed="false">
      <c r="A142" s="18"/>
      <c r="B142" s="18"/>
      <c r="C142" s="19"/>
      <c r="D142" s="20"/>
      <c r="E142" s="20"/>
      <c r="F142" s="20"/>
      <c r="G142" s="20" t="str">
        <f aca="false">IF(COUNTBLANK(D142:F142)=3,"",IF(OR(D142="Fail",E142="Fail",F142="Fail"),"Fail",IF(AND(D142="Pass",E142="Pass",F142="Pass"),"Pass","Incomplete")))</f>
        <v/>
      </c>
      <c r="H142" s="18"/>
      <c r="I142" s="18"/>
    </row>
    <row r="143" customFormat="false" ht="15.75" hidden="false" customHeight="true" outlineLevel="0" collapsed="false">
      <c r="A143" s="18"/>
      <c r="B143" s="18"/>
      <c r="C143" s="19"/>
      <c r="D143" s="20"/>
      <c r="E143" s="20"/>
      <c r="F143" s="20"/>
      <c r="G143" s="20" t="str">
        <f aca="false">IF(COUNTBLANK(D143:F143)=3,"",IF(OR(D143="Fail",E143="Fail",F143="Fail"),"Fail",IF(AND(D143="Pass",E143="Pass",F143="Pass"),"Pass","Incomplete")))</f>
        <v/>
      </c>
      <c r="H143" s="18"/>
      <c r="I143" s="18"/>
    </row>
    <row r="144" customFormat="false" ht="15.75" hidden="false" customHeight="true" outlineLevel="0" collapsed="false">
      <c r="A144" s="18"/>
      <c r="B144" s="18"/>
      <c r="C144" s="19"/>
      <c r="D144" s="20"/>
      <c r="E144" s="20"/>
      <c r="F144" s="20"/>
      <c r="G144" s="20" t="str">
        <f aca="false">IF(COUNTBLANK(D144:F144)=3,"",IF(OR(D144="Fail",E144="Fail",F144="Fail"),"Fail",IF(AND(D144="Pass",E144="Pass",F144="Pass"),"Pass","Incomplete")))</f>
        <v/>
      </c>
      <c r="H144" s="18"/>
      <c r="I144" s="18"/>
    </row>
    <row r="145" customFormat="false" ht="15.75" hidden="false" customHeight="true" outlineLevel="0" collapsed="false">
      <c r="A145" s="18"/>
      <c r="B145" s="18"/>
      <c r="C145" s="19"/>
      <c r="D145" s="20"/>
      <c r="E145" s="20"/>
      <c r="F145" s="20"/>
      <c r="G145" s="20" t="str">
        <f aca="false">IF(COUNTBLANK(D145:F145)=3,"",IF(OR(D145="Fail",E145="Fail",F145="Fail"),"Fail",IF(AND(D145="Pass",E145="Pass",F145="Pass"),"Pass","Incomplete")))</f>
        <v/>
      </c>
      <c r="H145" s="18"/>
      <c r="I145" s="18"/>
    </row>
    <row r="146" customFormat="false" ht="15.75" hidden="false" customHeight="true" outlineLevel="0" collapsed="false">
      <c r="A146" s="18"/>
      <c r="B146" s="18"/>
      <c r="C146" s="19"/>
      <c r="D146" s="20"/>
      <c r="E146" s="20"/>
      <c r="F146" s="20"/>
      <c r="G146" s="20" t="str">
        <f aca="false">IF(COUNTBLANK(D146:F146)=3,"",IF(OR(D146="Fail",E146="Fail",F146="Fail"),"Fail",IF(AND(D146="Pass",E146="Pass",F146="Pass"),"Pass","Incomplete")))</f>
        <v/>
      </c>
      <c r="H146" s="18"/>
      <c r="I146" s="18"/>
    </row>
    <row r="147" customFormat="false" ht="15.75" hidden="false" customHeight="true" outlineLevel="0" collapsed="false">
      <c r="A147" s="18"/>
      <c r="B147" s="18"/>
      <c r="C147" s="19"/>
      <c r="D147" s="20"/>
      <c r="E147" s="20"/>
      <c r="F147" s="20"/>
      <c r="G147" s="20" t="str">
        <f aca="false">IF(COUNTBLANK(D147:F147)=3,"",IF(OR(D147="Fail",E147="Fail",F147="Fail"),"Fail",IF(AND(D147="Pass",E147="Pass",F147="Pass"),"Pass","Incomplete")))</f>
        <v/>
      </c>
      <c r="H147" s="18"/>
      <c r="I147" s="18"/>
    </row>
    <row r="148" customFormat="false" ht="15.75" hidden="false" customHeight="true" outlineLevel="0" collapsed="false">
      <c r="A148" s="18"/>
      <c r="B148" s="18"/>
      <c r="C148" s="19"/>
      <c r="D148" s="20"/>
      <c r="E148" s="20"/>
      <c r="F148" s="20"/>
      <c r="G148" s="20" t="str">
        <f aca="false">IF(COUNTBLANK(D148:F148)=3,"",IF(OR(D148="Fail",E148="Fail",F148="Fail"),"Fail",IF(AND(D148="Pass",E148="Pass",F148="Pass"),"Pass","Incomplete")))</f>
        <v/>
      </c>
      <c r="H148" s="18"/>
      <c r="I148" s="18"/>
    </row>
    <row r="149" customFormat="false" ht="15.75" hidden="false" customHeight="true" outlineLevel="0" collapsed="false">
      <c r="A149" s="18"/>
      <c r="B149" s="18"/>
      <c r="C149" s="19"/>
      <c r="D149" s="20"/>
      <c r="E149" s="20"/>
      <c r="F149" s="20"/>
      <c r="G149" s="20" t="str">
        <f aca="false">IF(COUNTBLANK(D149:F149)=3,"",IF(OR(D149="Fail",E149="Fail",F149="Fail"),"Fail",IF(AND(D149="Pass",E149="Pass",F149="Pass"),"Pass","Incomplete")))</f>
        <v/>
      </c>
      <c r="H149" s="18"/>
      <c r="I149" s="18"/>
    </row>
    <row r="150" customFormat="false" ht="15.75" hidden="false" customHeight="true" outlineLevel="0" collapsed="false">
      <c r="A150" s="18"/>
      <c r="B150" s="18"/>
      <c r="C150" s="19"/>
      <c r="D150" s="20"/>
      <c r="E150" s="20"/>
      <c r="F150" s="20"/>
      <c r="G150" s="20" t="str">
        <f aca="false">IF(COUNTBLANK(D150:F150)=3,"",IF(OR(D150="Fail",E150="Fail",F150="Fail"),"Fail",IF(AND(D150="Pass",E150="Pass",F150="Pass"),"Pass","Incomplete")))</f>
        <v/>
      </c>
      <c r="H150" s="18"/>
      <c r="I150" s="18"/>
    </row>
    <row r="151" customFormat="false" ht="15.75" hidden="false" customHeight="true" outlineLevel="0" collapsed="false">
      <c r="A151" s="18"/>
      <c r="B151" s="18"/>
      <c r="C151" s="19"/>
      <c r="D151" s="20"/>
      <c r="E151" s="20"/>
      <c r="F151" s="20"/>
      <c r="G151" s="20" t="str">
        <f aca="false">IF(COUNTBLANK(D151:F151)=3,"",IF(OR(D151="Fail",E151="Fail",F151="Fail"),"Fail",IF(AND(D151="Pass",E151="Pass",F151="Pass"),"Pass","Incomplete")))</f>
        <v/>
      </c>
      <c r="H151" s="18"/>
      <c r="I151" s="18"/>
    </row>
    <row r="152" customFormat="false" ht="15.75" hidden="false" customHeight="true" outlineLevel="0" collapsed="false">
      <c r="A152" s="18"/>
      <c r="B152" s="18"/>
      <c r="C152" s="19"/>
      <c r="D152" s="20"/>
      <c r="E152" s="20"/>
      <c r="F152" s="20"/>
      <c r="G152" s="20" t="str">
        <f aca="false">IF(COUNTBLANK(D152:F152)=3,"",IF(OR(D152="Fail",E152="Fail",F152="Fail"),"Fail",IF(AND(D152="Pass",E152="Pass",F152="Pass"),"Pass","Incomplete")))</f>
        <v/>
      </c>
      <c r="H152" s="18"/>
      <c r="I152" s="18"/>
    </row>
    <row r="153" customFormat="false" ht="15.75" hidden="false" customHeight="true" outlineLevel="0" collapsed="false">
      <c r="A153" s="18"/>
      <c r="B153" s="18"/>
      <c r="C153" s="19"/>
      <c r="D153" s="20"/>
      <c r="E153" s="20"/>
      <c r="F153" s="20"/>
      <c r="G153" s="20" t="str">
        <f aca="false">IF(COUNTBLANK(D153:F153)=3,"",IF(OR(D153="Fail",E153="Fail",F153="Fail"),"Fail",IF(AND(D153="Pass",E153="Pass",F153="Pass"),"Pass","Incomplete")))</f>
        <v/>
      </c>
      <c r="H153" s="18"/>
      <c r="I153" s="18"/>
    </row>
    <row r="154" customFormat="false" ht="15.75" hidden="false" customHeight="true" outlineLevel="0" collapsed="false">
      <c r="A154" s="18"/>
      <c r="B154" s="18"/>
      <c r="C154" s="19"/>
      <c r="D154" s="20"/>
      <c r="E154" s="20"/>
      <c r="F154" s="20"/>
      <c r="G154" s="20" t="str">
        <f aca="false">IF(COUNTBLANK(D154:F154)=3,"",IF(OR(D154="Fail",E154="Fail",F154="Fail"),"Fail",IF(AND(D154="Pass",E154="Pass",F154="Pass"),"Pass","Incomplete")))</f>
        <v/>
      </c>
      <c r="H154" s="18"/>
      <c r="I154" s="18"/>
    </row>
    <row r="155" customFormat="false" ht="15.75" hidden="false" customHeight="true" outlineLevel="0" collapsed="false">
      <c r="A155" s="18"/>
      <c r="B155" s="18"/>
      <c r="C155" s="19"/>
      <c r="D155" s="20"/>
      <c r="E155" s="20"/>
      <c r="F155" s="20"/>
      <c r="G155" s="20" t="str">
        <f aca="false">IF(COUNTBLANK(D155:F155)=3,"",IF(OR(D155="Fail",E155="Fail",F155="Fail"),"Fail",IF(AND(D155="Pass",E155="Pass",F155="Pass"),"Pass","Incomplete")))</f>
        <v/>
      </c>
      <c r="H155" s="18"/>
      <c r="I155" s="18"/>
    </row>
    <row r="156" customFormat="false" ht="15.75" hidden="false" customHeight="true" outlineLevel="0" collapsed="false">
      <c r="A156" s="18"/>
      <c r="B156" s="18"/>
      <c r="C156" s="19"/>
      <c r="D156" s="20"/>
      <c r="E156" s="20"/>
      <c r="F156" s="20"/>
      <c r="G156" s="20" t="str">
        <f aca="false">IF(COUNTBLANK(D156:F156)=3,"",IF(OR(D156="Fail",E156="Fail",F156="Fail"),"Fail",IF(AND(D156="Pass",E156="Pass",F156="Pass"),"Pass","Incomplete")))</f>
        <v/>
      </c>
      <c r="H156" s="18"/>
      <c r="I156" s="18"/>
    </row>
    <row r="157" customFormat="false" ht="15.75" hidden="false" customHeight="true" outlineLevel="0" collapsed="false">
      <c r="A157" s="18"/>
      <c r="B157" s="18"/>
      <c r="C157" s="19"/>
      <c r="D157" s="20"/>
      <c r="E157" s="20"/>
      <c r="F157" s="20"/>
      <c r="G157" s="20" t="str">
        <f aca="false">IF(COUNTBLANK(D157:F157)=3,"",IF(OR(D157="Fail",E157="Fail",F157="Fail"),"Fail",IF(AND(D157="Pass",E157="Pass",F157="Pass"),"Pass","Incomplete")))</f>
        <v/>
      </c>
      <c r="H157" s="18"/>
      <c r="I157" s="18"/>
    </row>
    <row r="158" customFormat="false" ht="15.75" hidden="false" customHeight="true" outlineLevel="0" collapsed="false">
      <c r="A158" s="18"/>
      <c r="B158" s="18"/>
      <c r="C158" s="19"/>
      <c r="D158" s="20"/>
      <c r="E158" s="20"/>
      <c r="F158" s="20"/>
      <c r="G158" s="20" t="str">
        <f aca="false">IF(COUNTBLANK(D158:F158)=3,"",IF(OR(D158="Fail",E158="Fail",F158="Fail"),"Fail",IF(AND(D158="Pass",E158="Pass",F158="Pass"),"Pass","Incomplete")))</f>
        <v/>
      </c>
      <c r="H158" s="18"/>
      <c r="I158" s="18"/>
    </row>
    <row r="159" customFormat="false" ht="15.75" hidden="false" customHeight="true" outlineLevel="0" collapsed="false">
      <c r="A159" s="18"/>
      <c r="B159" s="18"/>
      <c r="C159" s="19"/>
      <c r="D159" s="20"/>
      <c r="E159" s="20"/>
      <c r="F159" s="20"/>
      <c r="G159" s="20" t="str">
        <f aca="false">IF(COUNTBLANK(D159:F159)=3,"",IF(OR(D159="Fail",E159="Fail",F159="Fail"),"Fail",IF(AND(D159="Pass",E159="Pass",F159="Pass"),"Pass","Incomplete")))</f>
        <v/>
      </c>
      <c r="H159" s="18"/>
      <c r="I159" s="18"/>
    </row>
    <row r="160" customFormat="false" ht="15.75" hidden="false" customHeight="true" outlineLevel="0" collapsed="false">
      <c r="A160" s="18"/>
      <c r="B160" s="18"/>
      <c r="C160" s="19"/>
      <c r="D160" s="20"/>
      <c r="E160" s="20"/>
      <c r="F160" s="20"/>
      <c r="G160" s="20" t="str">
        <f aca="false">IF(COUNTBLANK(D160:F160)=3,"",IF(OR(D160="Fail",E160="Fail",F160="Fail"),"Fail",IF(AND(D160="Pass",E160="Pass",F160="Pass"),"Pass","Incomplete")))</f>
        <v/>
      </c>
      <c r="H160" s="18"/>
      <c r="I160" s="18"/>
    </row>
    <row r="161" customFormat="false" ht="15.75" hidden="false" customHeight="true" outlineLevel="0" collapsed="false">
      <c r="A161" s="18"/>
      <c r="B161" s="18"/>
      <c r="C161" s="19"/>
      <c r="D161" s="20"/>
      <c r="E161" s="20"/>
      <c r="F161" s="20"/>
      <c r="G161" s="20" t="str">
        <f aca="false">IF(COUNTBLANK(D161:F161)=3,"",IF(OR(D161="Fail",E161="Fail",F161="Fail"),"Fail",IF(AND(D161="Pass",E161="Pass",F161="Pass"),"Pass","Incomplete")))</f>
        <v/>
      </c>
      <c r="H161" s="18"/>
      <c r="I161" s="18"/>
    </row>
    <row r="162" customFormat="false" ht="15.75" hidden="false" customHeight="true" outlineLevel="0" collapsed="false">
      <c r="A162" s="18"/>
      <c r="B162" s="18"/>
      <c r="C162" s="19"/>
      <c r="D162" s="20"/>
      <c r="E162" s="20"/>
      <c r="F162" s="20"/>
      <c r="G162" s="20" t="str">
        <f aca="false">IF(COUNTBLANK(D162:F162)=3,"",IF(OR(D162="Fail",E162="Fail",F162="Fail"),"Fail",IF(AND(D162="Pass",E162="Pass",F162="Pass"),"Pass","Incomplete")))</f>
        <v/>
      </c>
      <c r="H162" s="18"/>
      <c r="I162" s="18"/>
    </row>
    <row r="163" customFormat="false" ht="15.75" hidden="false" customHeight="true" outlineLevel="0" collapsed="false">
      <c r="A163" s="18"/>
      <c r="B163" s="18"/>
      <c r="C163" s="19"/>
      <c r="D163" s="20"/>
      <c r="E163" s="20"/>
      <c r="F163" s="20"/>
      <c r="G163" s="20" t="str">
        <f aca="false">IF(COUNTBLANK(D163:F163)=3,"",IF(OR(D163="Fail",E163="Fail",F163="Fail"),"Fail",IF(AND(D163="Pass",E163="Pass",F163="Pass"),"Pass","Incomplete")))</f>
        <v/>
      </c>
      <c r="H163" s="18"/>
      <c r="I163" s="18"/>
    </row>
    <row r="164" customFormat="false" ht="15.75" hidden="false" customHeight="true" outlineLevel="0" collapsed="false">
      <c r="A164" s="18"/>
      <c r="B164" s="18"/>
      <c r="C164" s="19"/>
      <c r="D164" s="20"/>
      <c r="E164" s="20"/>
      <c r="F164" s="20"/>
      <c r="G164" s="20" t="str">
        <f aca="false">IF(COUNTBLANK(D164:F164)=3,"",IF(OR(D164="Fail",E164="Fail",F164="Fail"),"Fail",IF(AND(D164="Pass",E164="Pass",F164="Pass"),"Pass","Incomplete")))</f>
        <v/>
      </c>
      <c r="H164" s="18"/>
      <c r="I164" s="18"/>
    </row>
    <row r="165" customFormat="false" ht="15.75" hidden="false" customHeight="true" outlineLevel="0" collapsed="false">
      <c r="A165" s="18"/>
      <c r="B165" s="18"/>
      <c r="C165" s="19"/>
      <c r="D165" s="20"/>
      <c r="E165" s="20"/>
      <c r="F165" s="20"/>
      <c r="G165" s="20" t="str">
        <f aca="false">IF(COUNTBLANK(D165:F165)=3,"",IF(OR(D165="Fail",E165="Fail",F165="Fail"),"Fail",IF(AND(D165="Pass",E165="Pass",F165="Pass"),"Pass","Incomplete")))</f>
        <v/>
      </c>
      <c r="H165" s="18"/>
      <c r="I165" s="18"/>
    </row>
    <row r="166" customFormat="false" ht="15.75" hidden="false" customHeight="true" outlineLevel="0" collapsed="false">
      <c r="A166" s="18"/>
      <c r="B166" s="18"/>
      <c r="C166" s="19"/>
      <c r="D166" s="20"/>
      <c r="E166" s="20"/>
      <c r="F166" s="20"/>
      <c r="G166" s="20" t="str">
        <f aca="false">IF(COUNTBLANK(D166:F166)=3,"",IF(OR(D166="Fail",E166="Fail",F166="Fail"),"Fail",IF(AND(D166="Pass",E166="Pass",F166="Pass"),"Pass","Incomplete")))</f>
        <v/>
      </c>
      <c r="H166" s="18"/>
      <c r="I166" s="18"/>
    </row>
    <row r="167" customFormat="false" ht="15.75" hidden="false" customHeight="true" outlineLevel="0" collapsed="false">
      <c r="A167" s="18"/>
      <c r="B167" s="18"/>
      <c r="C167" s="19"/>
      <c r="D167" s="20"/>
      <c r="E167" s="20"/>
      <c r="F167" s="20"/>
      <c r="G167" s="20" t="str">
        <f aca="false">IF(COUNTBLANK(D167:F167)=3,"",IF(OR(D167="Fail",E167="Fail",F167="Fail"),"Fail",IF(AND(D167="Pass",E167="Pass",F167="Pass"),"Pass","Incomplete")))</f>
        <v/>
      </c>
      <c r="H167" s="18"/>
      <c r="I167" s="18"/>
    </row>
    <row r="168" customFormat="false" ht="15.75" hidden="false" customHeight="true" outlineLevel="0" collapsed="false">
      <c r="A168" s="18"/>
      <c r="B168" s="18"/>
      <c r="C168" s="19"/>
      <c r="D168" s="20"/>
      <c r="E168" s="20"/>
      <c r="F168" s="20"/>
      <c r="G168" s="20" t="str">
        <f aca="false">IF(COUNTBLANK(D168:F168)=3,"",IF(OR(D168="Fail",E168="Fail",F168="Fail"),"Fail",IF(AND(D168="Pass",E168="Pass",F168="Pass"),"Pass","Incomplete")))</f>
        <v/>
      </c>
      <c r="H168" s="18"/>
      <c r="I168" s="18"/>
    </row>
    <row r="169" customFormat="false" ht="15.75" hidden="false" customHeight="true" outlineLevel="0" collapsed="false">
      <c r="A169" s="18"/>
      <c r="B169" s="18"/>
      <c r="C169" s="19"/>
      <c r="D169" s="20"/>
      <c r="E169" s="20"/>
      <c r="F169" s="20"/>
      <c r="G169" s="20" t="str">
        <f aca="false">IF(COUNTBLANK(D169:F169)=3,"",IF(OR(D169="Fail",E169="Fail",F169="Fail"),"Fail",IF(AND(D169="Pass",E169="Pass",F169="Pass"),"Pass","Incomplete")))</f>
        <v/>
      </c>
      <c r="H169" s="18"/>
      <c r="I169" s="18"/>
    </row>
    <row r="170" customFormat="false" ht="15.75" hidden="false" customHeight="true" outlineLevel="0" collapsed="false">
      <c r="A170" s="18"/>
      <c r="B170" s="18"/>
      <c r="C170" s="19"/>
      <c r="D170" s="20"/>
      <c r="E170" s="20"/>
      <c r="F170" s="20"/>
      <c r="G170" s="20" t="str">
        <f aca="false">IF(COUNTBLANK(D170:F170)=3,"",IF(OR(D170="Fail",E170="Fail",F170="Fail"),"Fail",IF(AND(D170="Pass",E170="Pass",F170="Pass"),"Pass","Incomplete")))</f>
        <v/>
      </c>
      <c r="H170" s="18"/>
      <c r="I170" s="18"/>
    </row>
    <row r="171" customFormat="false" ht="15.75" hidden="false" customHeight="true" outlineLevel="0" collapsed="false">
      <c r="A171" s="18"/>
      <c r="B171" s="18"/>
      <c r="C171" s="19"/>
      <c r="D171" s="20"/>
      <c r="E171" s="20"/>
      <c r="F171" s="20"/>
      <c r="G171" s="20" t="str">
        <f aca="false">IF(COUNTBLANK(D171:F171)=3,"",IF(OR(D171="Fail",E171="Fail",F171="Fail"),"Fail",IF(AND(D171="Pass",E171="Pass",F171="Pass"),"Pass","Incomplete")))</f>
        <v/>
      </c>
      <c r="H171" s="18"/>
      <c r="I171" s="18"/>
    </row>
    <row r="172" customFormat="false" ht="15.75" hidden="false" customHeight="true" outlineLevel="0" collapsed="false">
      <c r="A172" s="18"/>
      <c r="B172" s="18"/>
      <c r="C172" s="19"/>
      <c r="D172" s="20"/>
      <c r="E172" s="20"/>
      <c r="F172" s="20"/>
      <c r="G172" s="20" t="str">
        <f aca="false">IF(COUNTBLANK(D172:F172)=3,"",IF(OR(D172="Fail",E172="Fail",F172="Fail"),"Fail",IF(AND(D172="Pass",E172="Pass",F172="Pass"),"Pass","Incomplete")))</f>
        <v/>
      </c>
      <c r="H172" s="18"/>
      <c r="I172" s="18"/>
    </row>
    <row r="173" customFormat="false" ht="15.75" hidden="false" customHeight="true" outlineLevel="0" collapsed="false">
      <c r="A173" s="18"/>
      <c r="B173" s="18"/>
      <c r="C173" s="19"/>
      <c r="D173" s="20"/>
      <c r="E173" s="20"/>
      <c r="F173" s="20"/>
      <c r="G173" s="20" t="str">
        <f aca="false">IF(COUNTBLANK(D173:F173)=3,"",IF(OR(D173="Fail",E173="Fail",F173="Fail"),"Fail",IF(AND(D173="Pass",E173="Pass",F173="Pass"),"Pass","Incomplete")))</f>
        <v/>
      </c>
      <c r="H173" s="18"/>
      <c r="I173" s="18"/>
    </row>
    <row r="174" customFormat="false" ht="15.75" hidden="false" customHeight="true" outlineLevel="0" collapsed="false">
      <c r="A174" s="18"/>
      <c r="B174" s="18"/>
      <c r="C174" s="19"/>
      <c r="D174" s="20"/>
      <c r="E174" s="20"/>
      <c r="F174" s="20"/>
      <c r="G174" s="20" t="str">
        <f aca="false">IF(COUNTBLANK(D174:F174)=3,"",IF(OR(D174="Fail",E174="Fail",F174="Fail"),"Fail",IF(AND(D174="Pass",E174="Pass",F174="Pass"),"Pass","Incomplete")))</f>
        <v/>
      </c>
      <c r="H174" s="18"/>
      <c r="I174" s="18"/>
    </row>
    <row r="175" customFormat="false" ht="15.75" hidden="false" customHeight="true" outlineLevel="0" collapsed="false">
      <c r="A175" s="18"/>
      <c r="B175" s="18"/>
      <c r="C175" s="19"/>
      <c r="D175" s="20"/>
      <c r="E175" s="20"/>
      <c r="F175" s="20"/>
      <c r="G175" s="20" t="str">
        <f aca="false">IF(COUNTBLANK(D175:F175)=3,"",IF(OR(D175="Fail",E175="Fail",F175="Fail"),"Fail",IF(AND(D175="Pass",E175="Pass",F175="Pass"),"Pass","Incomplete")))</f>
        <v/>
      </c>
      <c r="H175" s="18"/>
      <c r="I175" s="18"/>
    </row>
    <row r="176" customFormat="false" ht="15.75" hidden="false" customHeight="true" outlineLevel="0" collapsed="false">
      <c r="A176" s="18"/>
      <c r="B176" s="18"/>
      <c r="C176" s="19"/>
      <c r="D176" s="20"/>
      <c r="E176" s="20"/>
      <c r="F176" s="20"/>
      <c r="G176" s="20" t="str">
        <f aca="false">IF(COUNTBLANK(D176:F176)=3,"",IF(OR(D176="Fail",E176="Fail",F176="Fail"),"Fail",IF(AND(D176="Pass",E176="Pass",F176="Pass"),"Pass","Incomplete")))</f>
        <v/>
      </c>
      <c r="H176" s="18"/>
      <c r="I176" s="18"/>
    </row>
    <row r="177" customFormat="false" ht="15.75" hidden="false" customHeight="true" outlineLevel="0" collapsed="false">
      <c r="A177" s="18"/>
      <c r="B177" s="18"/>
      <c r="C177" s="19"/>
      <c r="D177" s="20"/>
      <c r="E177" s="20"/>
      <c r="F177" s="20"/>
      <c r="G177" s="20" t="str">
        <f aca="false">IF(COUNTBLANK(D177:F177)=3,"",IF(OR(D177="Fail",E177="Fail",F177="Fail"),"Fail",IF(AND(D177="Pass",E177="Pass",F177="Pass"),"Pass","Incomplete")))</f>
        <v/>
      </c>
      <c r="H177" s="18"/>
      <c r="I177" s="18"/>
    </row>
    <row r="178" customFormat="false" ht="15.75" hidden="false" customHeight="true" outlineLevel="0" collapsed="false">
      <c r="A178" s="18"/>
      <c r="B178" s="18"/>
      <c r="C178" s="19"/>
      <c r="D178" s="20"/>
      <c r="E178" s="20"/>
      <c r="F178" s="20"/>
      <c r="G178" s="20" t="str">
        <f aca="false">IF(COUNTBLANK(D178:F178)=3,"",IF(OR(D178="Fail",E178="Fail",F178="Fail"),"Fail",IF(AND(D178="Pass",E178="Pass",F178="Pass"),"Pass","Incomplete")))</f>
        <v/>
      </c>
      <c r="H178" s="18"/>
      <c r="I178" s="18"/>
    </row>
    <row r="179" customFormat="false" ht="15.75" hidden="false" customHeight="true" outlineLevel="0" collapsed="false">
      <c r="A179" s="18"/>
      <c r="B179" s="18"/>
      <c r="C179" s="19"/>
      <c r="D179" s="20"/>
      <c r="E179" s="20"/>
      <c r="F179" s="20"/>
      <c r="G179" s="20" t="str">
        <f aca="false">IF(COUNTBLANK(D179:F179)=3,"",IF(OR(D179="Fail",E179="Fail",F179="Fail"),"Fail",IF(AND(D179="Pass",E179="Pass",F179="Pass"),"Pass","Incomplete")))</f>
        <v/>
      </c>
      <c r="H179" s="18"/>
      <c r="I179" s="18"/>
    </row>
    <row r="180" customFormat="false" ht="15.75" hidden="false" customHeight="true" outlineLevel="0" collapsed="false">
      <c r="A180" s="18"/>
      <c r="B180" s="18"/>
      <c r="C180" s="19"/>
      <c r="D180" s="20"/>
      <c r="E180" s="20"/>
      <c r="F180" s="20"/>
      <c r="G180" s="20" t="str">
        <f aca="false">IF(COUNTBLANK(D180:F180)=3,"",IF(OR(D180="Fail",E180="Fail",F180="Fail"),"Fail",IF(AND(D180="Pass",E180="Pass",F180="Pass"),"Pass","Incomplete")))</f>
        <v/>
      </c>
      <c r="H180" s="18"/>
      <c r="I180" s="18"/>
    </row>
    <row r="181" customFormat="false" ht="15.75" hidden="false" customHeight="true" outlineLevel="0" collapsed="false">
      <c r="A181" s="18"/>
      <c r="B181" s="18"/>
      <c r="C181" s="19"/>
      <c r="D181" s="20"/>
      <c r="E181" s="20"/>
      <c r="F181" s="20"/>
      <c r="G181" s="20" t="str">
        <f aca="false">IF(COUNTBLANK(D181:F181)=3,"",IF(OR(D181="Fail",E181="Fail",F181="Fail"),"Fail",IF(AND(D181="Pass",E181="Pass",F181="Pass"),"Pass","Incomplete")))</f>
        <v/>
      </c>
      <c r="H181" s="18"/>
      <c r="I181" s="18"/>
    </row>
    <row r="182" customFormat="false" ht="15.75" hidden="false" customHeight="true" outlineLevel="0" collapsed="false">
      <c r="A182" s="18"/>
      <c r="B182" s="18"/>
      <c r="C182" s="19"/>
      <c r="D182" s="20"/>
      <c r="E182" s="20"/>
      <c r="F182" s="20"/>
      <c r="G182" s="20" t="str">
        <f aca="false">IF(COUNTBLANK(D182:F182)=3,"",IF(OR(D182="Fail",E182="Fail",F182="Fail"),"Fail",IF(AND(D182="Pass",E182="Pass",F182="Pass"),"Pass","Incomplete")))</f>
        <v/>
      </c>
      <c r="H182" s="18"/>
      <c r="I182" s="18"/>
    </row>
    <row r="183" customFormat="false" ht="15.75" hidden="false" customHeight="true" outlineLevel="0" collapsed="false">
      <c r="A183" s="18"/>
      <c r="B183" s="18"/>
      <c r="C183" s="19"/>
      <c r="D183" s="20"/>
      <c r="E183" s="20"/>
      <c r="F183" s="20"/>
      <c r="G183" s="20" t="str">
        <f aca="false">IF(COUNTBLANK(D183:F183)=3,"",IF(OR(D183="Fail",E183="Fail",F183="Fail"),"Fail",IF(AND(D183="Pass",E183="Pass",F183="Pass"),"Pass","Incomplete")))</f>
        <v/>
      </c>
      <c r="H183" s="18"/>
      <c r="I183" s="18"/>
    </row>
    <row r="184" customFormat="false" ht="15.75" hidden="false" customHeight="true" outlineLevel="0" collapsed="false">
      <c r="A184" s="18"/>
      <c r="B184" s="18"/>
      <c r="C184" s="19"/>
      <c r="D184" s="20"/>
      <c r="E184" s="20"/>
      <c r="F184" s="20"/>
      <c r="G184" s="20" t="str">
        <f aca="false">IF(COUNTBLANK(D184:F184)=3,"",IF(OR(D184="Fail",E184="Fail",F184="Fail"),"Fail",IF(AND(D184="Pass",E184="Pass",F184="Pass"),"Pass","Incomplete")))</f>
        <v/>
      </c>
      <c r="H184" s="18"/>
      <c r="I184" s="18"/>
    </row>
    <row r="185" customFormat="false" ht="15.75" hidden="false" customHeight="true" outlineLevel="0" collapsed="false">
      <c r="A185" s="18"/>
      <c r="B185" s="18"/>
      <c r="C185" s="19"/>
      <c r="D185" s="20"/>
      <c r="E185" s="20"/>
      <c r="F185" s="20"/>
      <c r="G185" s="20" t="str">
        <f aca="false">IF(COUNTBLANK(D185:F185)=3,"",IF(OR(D185="Fail",E185="Fail",F185="Fail"),"Fail",IF(AND(D185="Pass",E185="Pass",F185="Pass"),"Pass","Incomplete")))</f>
        <v/>
      </c>
      <c r="H185" s="18"/>
      <c r="I185" s="18"/>
    </row>
    <row r="186" customFormat="false" ht="15.75" hidden="false" customHeight="true" outlineLevel="0" collapsed="false">
      <c r="A186" s="18"/>
      <c r="B186" s="18"/>
      <c r="C186" s="19"/>
      <c r="D186" s="20"/>
      <c r="E186" s="20"/>
      <c r="F186" s="20"/>
      <c r="G186" s="20" t="str">
        <f aca="false">IF(COUNTBLANK(D186:F186)=3,"",IF(OR(D186="Fail",E186="Fail",F186="Fail"),"Fail",IF(AND(D186="Pass",E186="Pass",F186="Pass"),"Pass","Incomplete")))</f>
        <v/>
      </c>
      <c r="H186" s="18"/>
      <c r="I186" s="18"/>
    </row>
    <row r="187" customFormat="false" ht="15.75" hidden="false" customHeight="true" outlineLevel="0" collapsed="false">
      <c r="A187" s="18"/>
      <c r="B187" s="18"/>
      <c r="C187" s="19"/>
      <c r="D187" s="20"/>
      <c r="E187" s="20"/>
      <c r="F187" s="20"/>
      <c r="G187" s="20" t="str">
        <f aca="false">IF(COUNTBLANK(D187:F187)=3,"",IF(OR(D187="Fail",E187="Fail",F187="Fail"),"Fail",IF(AND(D187="Pass",E187="Pass",F187="Pass"),"Pass","Incomplete")))</f>
        <v/>
      </c>
      <c r="H187" s="18"/>
      <c r="I187" s="18"/>
    </row>
    <row r="188" customFormat="false" ht="15.75" hidden="false" customHeight="true" outlineLevel="0" collapsed="false">
      <c r="A188" s="18"/>
      <c r="B188" s="18"/>
      <c r="C188" s="19"/>
      <c r="D188" s="20"/>
      <c r="E188" s="20"/>
      <c r="F188" s="20"/>
      <c r="G188" s="20" t="str">
        <f aca="false">IF(COUNTBLANK(D188:F188)=3,"",IF(OR(D188="Fail",E188="Fail",F188="Fail"),"Fail",IF(AND(D188="Pass",E188="Pass",F188="Pass"),"Pass","Incomplete")))</f>
        <v/>
      </c>
      <c r="H188" s="18"/>
      <c r="I188" s="18"/>
    </row>
    <row r="189" customFormat="false" ht="15.75" hidden="false" customHeight="true" outlineLevel="0" collapsed="false">
      <c r="A189" s="18"/>
      <c r="B189" s="18"/>
      <c r="C189" s="19"/>
      <c r="D189" s="20"/>
      <c r="E189" s="20"/>
      <c r="F189" s="20"/>
      <c r="G189" s="20" t="str">
        <f aca="false">IF(COUNTBLANK(D189:F189)=3,"",IF(OR(D189="Fail",E189="Fail",F189="Fail"),"Fail",IF(AND(D189="Pass",E189="Pass",F189="Pass"),"Pass","Incomplete")))</f>
        <v/>
      </c>
      <c r="H189" s="18"/>
      <c r="I189" s="18"/>
    </row>
    <row r="190" customFormat="false" ht="15.75" hidden="false" customHeight="true" outlineLevel="0" collapsed="false">
      <c r="A190" s="18"/>
      <c r="B190" s="18"/>
      <c r="C190" s="19"/>
      <c r="D190" s="20"/>
      <c r="E190" s="20"/>
      <c r="F190" s="20"/>
      <c r="G190" s="20" t="str">
        <f aca="false">IF(COUNTBLANK(D190:F190)=3,"",IF(OR(D190="Fail",E190="Fail",F190="Fail"),"Fail",IF(AND(D190="Pass",E190="Pass",F190="Pass"),"Pass","Incomplete")))</f>
        <v/>
      </c>
      <c r="H190" s="18"/>
      <c r="I190" s="18"/>
    </row>
    <row r="191" customFormat="false" ht="15.75" hidden="false" customHeight="true" outlineLevel="0" collapsed="false">
      <c r="A191" s="18"/>
      <c r="B191" s="18"/>
      <c r="C191" s="19"/>
      <c r="D191" s="20"/>
      <c r="E191" s="20"/>
      <c r="F191" s="20"/>
      <c r="G191" s="20" t="str">
        <f aca="false">IF(COUNTBLANK(D191:F191)=3,"",IF(OR(D191="Fail",E191="Fail",F191="Fail"),"Fail",IF(AND(D191="Pass",E191="Pass",F191="Pass"),"Pass","Incomplete")))</f>
        <v/>
      </c>
      <c r="H191" s="18"/>
      <c r="I191" s="18"/>
    </row>
    <row r="192" customFormat="false" ht="15.75" hidden="false" customHeight="true" outlineLevel="0" collapsed="false">
      <c r="A192" s="18"/>
      <c r="B192" s="18"/>
      <c r="C192" s="19"/>
      <c r="D192" s="20"/>
      <c r="E192" s="20"/>
      <c r="F192" s="20"/>
      <c r="G192" s="20" t="str">
        <f aca="false">IF(COUNTBLANK(D192:F192)=3,"",IF(OR(D192="Fail",E192="Fail",F192="Fail"),"Fail",IF(AND(D192="Pass",E192="Pass",F192="Pass"),"Pass","Incomplete")))</f>
        <v/>
      </c>
      <c r="H192" s="18"/>
      <c r="I192" s="18"/>
    </row>
    <row r="193" customFormat="false" ht="15.75" hidden="false" customHeight="true" outlineLevel="0" collapsed="false">
      <c r="A193" s="18"/>
      <c r="B193" s="18"/>
      <c r="C193" s="19"/>
      <c r="D193" s="20"/>
      <c r="E193" s="20"/>
      <c r="F193" s="20"/>
      <c r="G193" s="20" t="str">
        <f aca="false">IF(COUNTBLANK(D193:F193)=3,"",IF(OR(D193="Fail",E193="Fail",F193="Fail"),"Fail",IF(AND(D193="Pass",E193="Pass",F193="Pass"),"Pass","Incomplete")))</f>
        <v/>
      </c>
      <c r="H193" s="18"/>
      <c r="I193" s="18"/>
    </row>
    <row r="194" customFormat="false" ht="15.75" hidden="false" customHeight="true" outlineLevel="0" collapsed="false">
      <c r="A194" s="18"/>
      <c r="B194" s="18"/>
      <c r="C194" s="19"/>
      <c r="D194" s="20"/>
      <c r="E194" s="20"/>
      <c r="F194" s="20"/>
      <c r="G194" s="20" t="str">
        <f aca="false">IF(COUNTBLANK(D194:F194)=3,"",IF(OR(D194="Fail",E194="Fail",F194="Fail"),"Fail",IF(AND(D194="Pass",E194="Pass",F194="Pass"),"Pass","Incomplete")))</f>
        <v/>
      </c>
      <c r="H194" s="18"/>
      <c r="I194" s="18"/>
    </row>
    <row r="195" customFormat="false" ht="15.75" hidden="false" customHeight="true" outlineLevel="0" collapsed="false">
      <c r="A195" s="18"/>
      <c r="B195" s="18"/>
      <c r="C195" s="19"/>
      <c r="D195" s="20"/>
      <c r="E195" s="20"/>
      <c r="F195" s="20"/>
      <c r="G195" s="20" t="str">
        <f aca="false">IF(COUNTBLANK(D195:F195)=3,"",IF(OR(D195="Fail",E195="Fail",F195="Fail"),"Fail",IF(AND(D195="Pass",E195="Pass",F195="Pass"),"Pass","Incomplete")))</f>
        <v/>
      </c>
      <c r="H195" s="18"/>
      <c r="I195" s="18"/>
    </row>
    <row r="196" customFormat="false" ht="15.75" hidden="false" customHeight="true" outlineLevel="0" collapsed="false">
      <c r="A196" s="18"/>
      <c r="B196" s="18"/>
      <c r="C196" s="19"/>
      <c r="D196" s="20"/>
      <c r="E196" s="20"/>
      <c r="F196" s="20"/>
      <c r="G196" s="20" t="str">
        <f aca="false">IF(COUNTBLANK(D196:F196)=3,"",IF(OR(D196="Fail",E196="Fail",F196="Fail"),"Fail",IF(AND(D196="Pass",E196="Pass",F196="Pass"),"Pass","Incomplete")))</f>
        <v/>
      </c>
      <c r="H196" s="18"/>
      <c r="I196" s="18"/>
    </row>
    <row r="197" customFormat="false" ht="15.75" hidden="false" customHeight="true" outlineLevel="0" collapsed="false">
      <c r="A197" s="18"/>
      <c r="B197" s="18"/>
      <c r="C197" s="19"/>
      <c r="D197" s="20"/>
      <c r="E197" s="20"/>
      <c r="F197" s="20"/>
      <c r="G197" s="20" t="str">
        <f aca="false">IF(COUNTBLANK(D197:F197)=3,"",IF(OR(D197="Fail",E197="Fail",F197="Fail"),"Fail",IF(AND(D197="Pass",E197="Pass",F197="Pass"),"Pass","Incomplete")))</f>
        <v/>
      </c>
      <c r="H197" s="18"/>
      <c r="I197" s="18"/>
    </row>
    <row r="198" customFormat="false" ht="15.75" hidden="false" customHeight="true" outlineLevel="0" collapsed="false">
      <c r="A198" s="18"/>
      <c r="B198" s="18"/>
      <c r="C198" s="19"/>
      <c r="D198" s="20"/>
      <c r="E198" s="20"/>
      <c r="F198" s="20"/>
      <c r="G198" s="20" t="str">
        <f aca="false">IF(COUNTBLANK(D198:F198)=3,"",IF(OR(D198="Fail",E198="Fail",F198="Fail"),"Fail",IF(AND(D198="Pass",E198="Pass",F198="Pass"),"Pass","Incomplete")))</f>
        <v/>
      </c>
      <c r="H198" s="18"/>
      <c r="I198" s="18"/>
    </row>
    <row r="199" customFormat="false" ht="15.75" hidden="false" customHeight="true" outlineLevel="0" collapsed="false">
      <c r="A199" s="18"/>
      <c r="B199" s="18"/>
      <c r="C199" s="19"/>
      <c r="D199" s="20"/>
      <c r="E199" s="20"/>
      <c r="F199" s="20"/>
      <c r="G199" s="20" t="str">
        <f aca="false">IF(COUNTBLANK(D199:F199)=3,"",IF(OR(D199="Fail",E199="Fail",F199="Fail"),"Fail",IF(AND(D199="Pass",E199="Pass",F199="Pass"),"Pass","Incomplete")))</f>
        <v/>
      </c>
      <c r="H199" s="18"/>
      <c r="I199" s="18"/>
    </row>
    <row r="200" customFormat="false" ht="15.75" hidden="false" customHeight="true" outlineLevel="0" collapsed="false">
      <c r="A200" s="18"/>
      <c r="B200" s="18"/>
      <c r="C200" s="19"/>
      <c r="D200" s="20"/>
      <c r="E200" s="20"/>
      <c r="F200" s="20"/>
      <c r="G200" s="20" t="str">
        <f aca="false">IF(COUNTBLANK(D200:F200)=3,"",IF(OR(D200="Fail",E200="Fail",F200="Fail"),"Fail",IF(AND(D200="Pass",E200="Pass",F200="Pass"),"Pass","Incomplete")))</f>
        <v/>
      </c>
      <c r="H200" s="18"/>
      <c r="I200" s="18"/>
    </row>
    <row r="201" customFormat="false" ht="15.75" hidden="false" customHeight="true" outlineLevel="0" collapsed="false">
      <c r="A201" s="18"/>
      <c r="B201" s="18"/>
      <c r="C201" s="19"/>
      <c r="D201" s="20"/>
      <c r="E201" s="20"/>
      <c r="F201" s="20"/>
      <c r="G201" s="20" t="str">
        <f aca="false">IF(COUNTBLANK(D201:F201)=3,"",IF(OR(D201="Fail",E201="Fail",F201="Fail"),"Fail",IF(AND(D201="Pass",E201="Pass",F201="Pass"),"Pass","Incomplete")))</f>
        <v/>
      </c>
      <c r="H201" s="18"/>
      <c r="I201" s="18"/>
    </row>
    <row r="202" customFormat="false" ht="15.75" hidden="false" customHeight="true" outlineLevel="0" collapsed="false">
      <c r="A202" s="18"/>
      <c r="B202" s="18"/>
      <c r="C202" s="19"/>
      <c r="D202" s="20"/>
      <c r="E202" s="20"/>
      <c r="F202" s="20"/>
      <c r="G202" s="20" t="str">
        <f aca="false">IF(COUNTBLANK(D202:F202)=3,"",IF(OR(D202="Fail",E202="Fail",F202="Fail"),"Fail",IF(AND(D202="Pass",E202="Pass",F202="Pass"),"Pass","Incomplete")))</f>
        <v/>
      </c>
      <c r="H202" s="18"/>
      <c r="I202" s="18"/>
    </row>
    <row r="203" customFormat="false" ht="15.75" hidden="false" customHeight="true" outlineLevel="0" collapsed="false">
      <c r="A203" s="18"/>
      <c r="B203" s="18"/>
      <c r="C203" s="19"/>
      <c r="D203" s="20"/>
      <c r="E203" s="20"/>
      <c r="F203" s="20"/>
      <c r="G203" s="20" t="str">
        <f aca="false">IF(COUNTBLANK(D203:F203)=3,"",IF(OR(D203="Fail",E203="Fail",F203="Fail"),"Fail",IF(AND(D203="Pass",E203="Pass",F203="Pass"),"Pass","Incomplete")))</f>
        <v/>
      </c>
      <c r="H203" s="18"/>
      <c r="I203" s="18"/>
    </row>
    <row r="204" customFormat="false" ht="15.75" hidden="false" customHeight="true" outlineLevel="0" collapsed="false">
      <c r="A204" s="18"/>
      <c r="B204" s="18"/>
      <c r="C204" s="19"/>
      <c r="D204" s="20"/>
      <c r="E204" s="20"/>
      <c r="F204" s="20"/>
      <c r="G204" s="20" t="str">
        <f aca="false">IF(COUNTBLANK(D204:F204)=3,"",IF(OR(D204="Fail",E204="Fail",F204="Fail"),"Fail",IF(AND(D204="Pass",E204="Pass",F204="Pass"),"Pass","Incomplete")))</f>
        <v/>
      </c>
      <c r="H204" s="18"/>
      <c r="I204" s="18"/>
    </row>
    <row r="205" customFormat="false" ht="15.75" hidden="false" customHeight="true" outlineLevel="0" collapsed="false">
      <c r="A205" s="18"/>
      <c r="B205" s="18"/>
      <c r="C205" s="19"/>
      <c r="D205" s="20"/>
      <c r="E205" s="20"/>
      <c r="F205" s="20"/>
      <c r="G205" s="20" t="str">
        <f aca="false">IF(COUNTBLANK(D205:F205)=3,"",IF(OR(D205="Fail",E205="Fail",F205="Fail"),"Fail",IF(AND(D205="Pass",E205="Pass",F205="Pass"),"Pass","Incomplete")))</f>
        <v/>
      </c>
      <c r="H205" s="18"/>
      <c r="I205" s="18"/>
    </row>
    <row r="206" customFormat="false" ht="15.75" hidden="false" customHeight="true" outlineLevel="0" collapsed="false">
      <c r="A206" s="18"/>
      <c r="B206" s="18"/>
      <c r="C206" s="19"/>
      <c r="D206" s="20"/>
      <c r="E206" s="20"/>
      <c r="F206" s="20"/>
      <c r="G206" s="20" t="str">
        <f aca="false">IF(COUNTBLANK(D206:F206)=3,"",IF(OR(D206="Fail",E206="Fail",F206="Fail"),"Fail",IF(AND(D206="Pass",E206="Pass",F206="Pass"),"Pass","Incomplete")))</f>
        <v/>
      </c>
      <c r="H206" s="18"/>
      <c r="I206" s="18"/>
    </row>
    <row r="207" customFormat="false" ht="15.75" hidden="false" customHeight="true" outlineLevel="0" collapsed="false">
      <c r="A207" s="18"/>
      <c r="B207" s="18"/>
      <c r="C207" s="19"/>
      <c r="D207" s="20"/>
      <c r="E207" s="20"/>
      <c r="F207" s="20"/>
      <c r="G207" s="20" t="str">
        <f aca="false">IF(COUNTBLANK(D207:F207)=3,"",IF(OR(D207="Fail",E207="Fail",F207="Fail"),"Fail",IF(AND(D207="Pass",E207="Pass",F207="Pass"),"Pass","Incomplete")))</f>
        <v/>
      </c>
      <c r="H207" s="18"/>
      <c r="I207" s="18"/>
    </row>
    <row r="208" customFormat="false" ht="15.75" hidden="false" customHeight="true" outlineLevel="0" collapsed="false">
      <c r="A208" s="18"/>
      <c r="B208" s="18"/>
      <c r="C208" s="19"/>
      <c r="D208" s="20"/>
      <c r="E208" s="20"/>
      <c r="F208" s="20"/>
      <c r="G208" s="20" t="str">
        <f aca="false">IF(COUNTBLANK(D208:F208)=3,"",IF(OR(D208="Fail",E208="Fail",F208="Fail"),"Fail",IF(AND(D208="Pass",E208="Pass",F208="Pass"),"Pass","Incomplete")))</f>
        <v/>
      </c>
      <c r="H208" s="18"/>
      <c r="I208" s="18"/>
    </row>
    <row r="209" customFormat="false" ht="15.75" hidden="false" customHeight="true" outlineLevel="0" collapsed="false">
      <c r="A209" s="18"/>
      <c r="B209" s="18"/>
      <c r="C209" s="19"/>
      <c r="D209" s="20"/>
      <c r="E209" s="20"/>
      <c r="F209" s="20"/>
      <c r="G209" s="20" t="str">
        <f aca="false">IF(COUNTBLANK(D209:F209)=3,"",IF(OR(D209="Fail",E209="Fail",F209="Fail"),"Fail",IF(AND(D209="Pass",E209="Pass",F209="Pass"),"Pass","Incomplete")))</f>
        <v/>
      </c>
      <c r="H209" s="18"/>
      <c r="I209" s="18"/>
    </row>
    <row r="210" customFormat="false" ht="15.75" hidden="false" customHeight="true" outlineLevel="0" collapsed="false">
      <c r="A210" s="18"/>
      <c r="B210" s="18"/>
      <c r="C210" s="19"/>
      <c r="D210" s="20"/>
      <c r="E210" s="20"/>
      <c r="F210" s="20"/>
      <c r="G210" s="20" t="str">
        <f aca="false">IF(COUNTBLANK(D210:F210)=3,"",IF(OR(D210="Fail",E210="Fail",F210="Fail"),"Fail",IF(AND(D210="Pass",E210="Pass",F210="Pass"),"Pass","Incomplete")))</f>
        <v/>
      </c>
      <c r="H210" s="18"/>
      <c r="I210" s="18"/>
    </row>
    <row r="211" customFormat="false" ht="15.75" hidden="false" customHeight="true" outlineLevel="0" collapsed="false">
      <c r="A211" s="18"/>
      <c r="B211" s="18"/>
      <c r="C211" s="19"/>
      <c r="D211" s="20"/>
      <c r="E211" s="20"/>
      <c r="F211" s="20"/>
      <c r="G211" s="20" t="str">
        <f aca="false">IF(COUNTBLANK(D211:F211)=3,"",IF(OR(D211="Fail",E211="Fail",F211="Fail"),"Fail",IF(AND(D211="Pass",E211="Pass",F211="Pass"),"Pass","Incomplete")))</f>
        <v/>
      </c>
      <c r="H211" s="18"/>
      <c r="I211" s="18"/>
    </row>
    <row r="212" customFormat="false" ht="15.75" hidden="false" customHeight="true" outlineLevel="0" collapsed="false">
      <c r="A212" s="18"/>
      <c r="B212" s="18"/>
      <c r="C212" s="19"/>
      <c r="D212" s="20"/>
      <c r="E212" s="20"/>
      <c r="F212" s="20"/>
      <c r="G212" s="20" t="str">
        <f aca="false">IF(COUNTBLANK(D212:F212)=3,"",IF(OR(D212="Fail",E212="Fail",F212="Fail"),"Fail",IF(AND(D212="Pass",E212="Pass",F212="Pass"),"Pass","Incomplete")))</f>
        <v/>
      </c>
      <c r="H212" s="18"/>
      <c r="I212" s="18"/>
    </row>
    <row r="213" customFormat="false" ht="15.75" hidden="false" customHeight="true" outlineLevel="0" collapsed="false">
      <c r="A213" s="18"/>
      <c r="B213" s="18"/>
      <c r="C213" s="19"/>
      <c r="D213" s="20"/>
      <c r="E213" s="20"/>
      <c r="F213" s="20"/>
      <c r="G213" s="20" t="str">
        <f aca="false">IF(COUNTBLANK(D213:F213)=3,"",IF(OR(D213="Fail",E213="Fail",F213="Fail"),"Fail",IF(AND(D213="Pass",E213="Pass",F213="Pass"),"Pass","Incomplete")))</f>
        <v/>
      </c>
      <c r="H213" s="18"/>
      <c r="I213" s="18"/>
    </row>
    <row r="214" customFormat="false" ht="15.75" hidden="false" customHeight="true" outlineLevel="0" collapsed="false">
      <c r="A214" s="18"/>
      <c r="B214" s="18"/>
      <c r="C214" s="19"/>
      <c r="D214" s="20"/>
      <c r="E214" s="20"/>
      <c r="F214" s="20"/>
      <c r="G214" s="20" t="str">
        <f aca="false">IF(COUNTBLANK(D214:F214)=3,"",IF(OR(D214="Fail",E214="Fail",F214="Fail"),"Fail",IF(AND(D214="Pass",E214="Pass",F214="Pass"),"Pass","Incomplete")))</f>
        <v/>
      </c>
      <c r="H214" s="18"/>
      <c r="I214" s="18"/>
    </row>
    <row r="215" customFormat="false" ht="15.75" hidden="false" customHeight="true" outlineLevel="0" collapsed="false">
      <c r="A215" s="18"/>
      <c r="B215" s="18"/>
      <c r="C215" s="19"/>
      <c r="D215" s="20"/>
      <c r="E215" s="20"/>
      <c r="F215" s="20"/>
      <c r="G215" s="20" t="str">
        <f aca="false">IF(COUNTBLANK(D215:F215)=3,"",IF(OR(D215="Fail",E215="Fail",F215="Fail"),"Fail",IF(AND(D215="Pass",E215="Pass",F215="Pass"),"Pass","Incomplete")))</f>
        <v/>
      </c>
      <c r="H215" s="18"/>
      <c r="I215" s="18"/>
    </row>
    <row r="216" customFormat="false" ht="15.75" hidden="false" customHeight="true" outlineLevel="0" collapsed="false">
      <c r="A216" s="18"/>
      <c r="B216" s="18"/>
      <c r="C216" s="19"/>
      <c r="D216" s="20"/>
      <c r="E216" s="20"/>
      <c r="F216" s="20"/>
      <c r="G216" s="20" t="str">
        <f aca="false">IF(COUNTBLANK(D216:F216)=3,"",IF(OR(D216="Fail",E216="Fail",F216="Fail"),"Fail",IF(AND(D216="Pass",E216="Pass",F216="Pass"),"Pass","Incomplete")))</f>
        <v/>
      </c>
      <c r="H216" s="18"/>
      <c r="I216" s="18"/>
    </row>
    <row r="217" customFormat="false" ht="15.75" hidden="false" customHeight="true" outlineLevel="0" collapsed="false">
      <c r="A217" s="18"/>
      <c r="B217" s="18"/>
      <c r="C217" s="19"/>
      <c r="D217" s="20"/>
      <c r="E217" s="20"/>
      <c r="F217" s="20"/>
      <c r="G217" s="20" t="str">
        <f aca="false">IF(COUNTBLANK(D217:F217)=3,"",IF(OR(D217="Fail",E217="Fail",F217="Fail"),"Fail",IF(AND(D217="Pass",E217="Pass",F217="Pass"),"Pass","Incomplete")))</f>
        <v/>
      </c>
      <c r="H217" s="18"/>
      <c r="I217" s="18"/>
    </row>
    <row r="218" customFormat="false" ht="15.75" hidden="false" customHeight="true" outlineLevel="0" collapsed="false">
      <c r="A218" s="18"/>
      <c r="B218" s="18"/>
      <c r="C218" s="19"/>
      <c r="D218" s="20"/>
      <c r="E218" s="20"/>
      <c r="F218" s="20"/>
      <c r="G218" s="20" t="str">
        <f aca="false">IF(COUNTBLANK(D218:F218)=3,"",IF(OR(D218="Fail",E218="Fail",F218="Fail"),"Fail",IF(AND(D218="Pass",E218="Pass",F218="Pass"),"Pass","Incomplete")))</f>
        <v/>
      </c>
      <c r="H218" s="18"/>
      <c r="I218" s="18"/>
    </row>
    <row r="219" customFormat="false" ht="15.75" hidden="false" customHeight="true" outlineLevel="0" collapsed="false">
      <c r="A219" s="18"/>
      <c r="B219" s="18"/>
      <c r="C219" s="19"/>
      <c r="D219" s="20"/>
      <c r="E219" s="20"/>
      <c r="F219" s="20"/>
      <c r="G219" s="20" t="str">
        <f aca="false">IF(COUNTBLANK(D219:F219)=3,"",IF(OR(D219="Fail",E219="Fail",F219="Fail"),"Fail",IF(AND(D219="Pass",E219="Pass",F219="Pass"),"Pass","Incomplete")))</f>
        <v/>
      </c>
      <c r="H219" s="18"/>
      <c r="I219" s="18"/>
    </row>
    <row r="220" customFormat="false" ht="15.75" hidden="false" customHeight="true" outlineLevel="0" collapsed="false">
      <c r="A220" s="18"/>
      <c r="B220" s="18"/>
      <c r="C220" s="19"/>
      <c r="D220" s="20"/>
      <c r="E220" s="20"/>
      <c r="F220" s="20"/>
      <c r="G220" s="20" t="str">
        <f aca="false">IF(COUNTBLANK(D220:F220)=3,"",IF(OR(D220="Fail",E220="Fail",F220="Fail"),"Fail",IF(AND(D220="Pass",E220="Pass",F220="Pass"),"Pass","Incomplete")))</f>
        <v/>
      </c>
      <c r="H220" s="18"/>
      <c r="I220" s="18"/>
    </row>
    <row r="221" customFormat="false" ht="15.75" hidden="false" customHeight="true" outlineLevel="0" collapsed="false">
      <c r="A221" s="18"/>
      <c r="B221" s="18"/>
      <c r="C221" s="19"/>
      <c r="D221" s="20"/>
      <c r="E221" s="20"/>
      <c r="F221" s="20"/>
      <c r="G221" s="20" t="str">
        <f aca="false">IF(COUNTBLANK(D221:F221)=3,"",IF(OR(D221="Fail",E221="Fail",F221="Fail"),"Fail",IF(AND(D221="Pass",E221="Pass",F221="Pass"),"Pass","Incomplete")))</f>
        <v/>
      </c>
      <c r="H221" s="18"/>
      <c r="I221" s="18"/>
    </row>
    <row r="222" customFormat="false" ht="15.75" hidden="false" customHeight="true" outlineLevel="0" collapsed="false">
      <c r="A222" s="18"/>
      <c r="B222" s="18"/>
      <c r="C222" s="19"/>
      <c r="D222" s="20"/>
      <c r="E222" s="20"/>
      <c r="F222" s="20"/>
      <c r="G222" s="20" t="str">
        <f aca="false">IF(COUNTBLANK(D222:F222)=3,"",IF(OR(D222="Fail",E222="Fail",F222="Fail"),"Fail",IF(AND(D222="Pass",E222="Pass",F222="Pass"),"Pass","Incomplete")))</f>
        <v/>
      </c>
      <c r="H222" s="18"/>
      <c r="I222" s="18"/>
    </row>
    <row r="223" customFormat="false" ht="15.75" hidden="false" customHeight="true" outlineLevel="0" collapsed="false">
      <c r="A223" s="18"/>
      <c r="B223" s="18"/>
      <c r="C223" s="19"/>
      <c r="D223" s="20"/>
      <c r="E223" s="20"/>
      <c r="F223" s="20"/>
      <c r="G223" s="20" t="str">
        <f aca="false">IF(COUNTBLANK(D223:F223)=3,"",IF(OR(D223="Fail",E223="Fail",F223="Fail"),"Fail",IF(AND(D223="Pass",E223="Pass",F223="Pass"),"Pass","Incomplete")))</f>
        <v/>
      </c>
      <c r="H223" s="18"/>
      <c r="I223" s="18"/>
    </row>
    <row r="224" customFormat="false" ht="15.75" hidden="false" customHeight="true" outlineLevel="0" collapsed="false">
      <c r="A224" s="18"/>
      <c r="B224" s="18"/>
      <c r="C224" s="19"/>
      <c r="D224" s="20"/>
      <c r="E224" s="20"/>
      <c r="F224" s="20"/>
      <c r="G224" s="20" t="str">
        <f aca="false">IF(COUNTBLANK(D224:F224)=3,"",IF(OR(D224="Fail",E224="Fail",F224="Fail"),"Fail",IF(AND(D224="Pass",E224="Pass",F224="Pass"),"Pass","Incomplete")))</f>
        <v/>
      </c>
      <c r="H224" s="18"/>
      <c r="I224" s="18"/>
    </row>
    <row r="225" customFormat="false" ht="15.75" hidden="false" customHeight="true" outlineLevel="0" collapsed="false">
      <c r="A225" s="18"/>
      <c r="B225" s="18"/>
      <c r="C225" s="19"/>
      <c r="D225" s="20"/>
      <c r="E225" s="20"/>
      <c r="F225" s="20"/>
      <c r="G225" s="20" t="str">
        <f aca="false">IF(COUNTBLANK(D225:F225)=3,"",IF(OR(D225="Fail",E225="Fail",F225="Fail"),"Fail",IF(AND(D225="Pass",E225="Pass",F225="Pass"),"Pass","Incomplete")))</f>
        <v/>
      </c>
      <c r="H225" s="18"/>
      <c r="I225" s="18"/>
    </row>
    <row r="226" customFormat="false" ht="15.75" hidden="false" customHeight="true" outlineLevel="0" collapsed="false">
      <c r="A226" s="18"/>
      <c r="B226" s="18"/>
      <c r="C226" s="19"/>
      <c r="D226" s="20"/>
      <c r="E226" s="20"/>
      <c r="F226" s="20"/>
      <c r="G226" s="20" t="str">
        <f aca="false">IF(COUNTBLANK(D226:F226)=3,"",IF(OR(D226="Fail",E226="Fail",F226="Fail"),"Fail",IF(AND(D226="Pass",E226="Pass",F226="Pass"),"Pass","Incomplete")))</f>
        <v/>
      </c>
      <c r="H226" s="18"/>
      <c r="I226" s="18"/>
    </row>
    <row r="227" customFormat="false" ht="15.75" hidden="false" customHeight="true" outlineLevel="0" collapsed="false">
      <c r="A227" s="18"/>
      <c r="B227" s="18"/>
      <c r="C227" s="19"/>
      <c r="D227" s="20"/>
      <c r="E227" s="20"/>
      <c r="F227" s="20"/>
      <c r="G227" s="20" t="str">
        <f aca="false">IF(COUNTBLANK(D227:F227)=3,"",IF(OR(D227="Fail",E227="Fail",F227="Fail"),"Fail",IF(AND(D227="Pass",E227="Pass",F227="Pass"),"Pass","Incomplete")))</f>
        <v/>
      </c>
      <c r="H227" s="18"/>
      <c r="I227" s="18"/>
    </row>
    <row r="228" customFormat="false" ht="15.75" hidden="false" customHeight="true" outlineLevel="0" collapsed="false">
      <c r="A228" s="18"/>
      <c r="B228" s="18"/>
      <c r="C228" s="19"/>
      <c r="D228" s="20"/>
      <c r="E228" s="20"/>
      <c r="F228" s="20"/>
      <c r="G228" s="20" t="str">
        <f aca="false">IF(COUNTBLANK(D228:F228)=3,"",IF(OR(D228="Fail",E228="Fail",F228="Fail"),"Fail",IF(AND(D228="Pass",E228="Pass",F228="Pass"),"Pass","Incomplete")))</f>
        <v/>
      </c>
      <c r="H228" s="18"/>
      <c r="I228" s="18"/>
    </row>
    <row r="229" customFormat="false" ht="15.75" hidden="false" customHeight="true" outlineLevel="0" collapsed="false">
      <c r="A229" s="18"/>
      <c r="B229" s="18"/>
      <c r="C229" s="19"/>
      <c r="D229" s="20"/>
      <c r="E229" s="20"/>
      <c r="F229" s="20"/>
      <c r="G229" s="20" t="str">
        <f aca="false">IF(COUNTBLANK(D229:F229)=3,"",IF(OR(D229="Fail",E229="Fail",F229="Fail"),"Fail",IF(AND(D229="Pass",E229="Pass",F229="Pass"),"Pass","Incomplete")))</f>
        <v/>
      </c>
      <c r="H229" s="18"/>
      <c r="I229" s="18"/>
    </row>
    <row r="230" customFormat="false" ht="15.75" hidden="false" customHeight="true" outlineLevel="0" collapsed="false">
      <c r="A230" s="18"/>
      <c r="B230" s="18"/>
      <c r="C230" s="19"/>
      <c r="D230" s="20"/>
      <c r="E230" s="20"/>
      <c r="F230" s="20"/>
      <c r="G230" s="20" t="str">
        <f aca="false">IF(COUNTBLANK(D230:F230)=3,"",IF(OR(D230="Fail",E230="Fail",F230="Fail"),"Fail",IF(AND(D230="Pass",E230="Pass",F230="Pass"),"Pass","Incomplete")))</f>
        <v/>
      </c>
      <c r="H230" s="18"/>
      <c r="I230" s="18"/>
    </row>
    <row r="231" customFormat="false" ht="15.75" hidden="false" customHeight="true" outlineLevel="0" collapsed="false">
      <c r="A231" s="18"/>
      <c r="B231" s="18"/>
      <c r="C231" s="19"/>
      <c r="D231" s="20"/>
      <c r="E231" s="20"/>
      <c r="F231" s="20"/>
      <c r="G231" s="20" t="str">
        <f aca="false">IF(COUNTBLANK(D231:F231)=3,"",IF(OR(D231="Fail",E231="Fail",F231="Fail"),"Fail",IF(AND(D231="Pass",E231="Pass",F231="Pass"),"Pass","Incomplete")))</f>
        <v/>
      </c>
      <c r="H231" s="18"/>
      <c r="I231" s="18"/>
    </row>
    <row r="232" customFormat="false" ht="15.75" hidden="false" customHeight="true" outlineLevel="0" collapsed="false">
      <c r="A232" s="18"/>
      <c r="B232" s="18"/>
      <c r="C232" s="19"/>
      <c r="D232" s="20"/>
      <c r="E232" s="20"/>
      <c r="F232" s="20"/>
      <c r="G232" s="20" t="str">
        <f aca="false">IF(COUNTBLANK(D232:F232)=3,"",IF(OR(D232="Fail",E232="Fail",F232="Fail"),"Fail",IF(AND(D232="Pass",E232="Pass",F232="Pass"),"Pass","Incomplete")))</f>
        <v/>
      </c>
      <c r="H232" s="18"/>
      <c r="I232" s="18"/>
    </row>
    <row r="233" customFormat="false" ht="15.75" hidden="false" customHeight="true" outlineLevel="0" collapsed="false">
      <c r="A233" s="18"/>
      <c r="B233" s="18"/>
      <c r="C233" s="19"/>
      <c r="D233" s="20"/>
      <c r="E233" s="20"/>
      <c r="F233" s="20"/>
      <c r="G233" s="20" t="str">
        <f aca="false">IF(COUNTBLANK(D233:F233)=3,"",IF(OR(D233="Fail",E233="Fail",F233="Fail"),"Fail",IF(AND(D233="Pass",E233="Pass",F233="Pass"),"Pass","Incomplete")))</f>
        <v/>
      </c>
      <c r="H233" s="18"/>
      <c r="I233" s="18"/>
    </row>
    <row r="234" customFormat="false" ht="15.75" hidden="false" customHeight="true" outlineLevel="0" collapsed="false">
      <c r="A234" s="18"/>
      <c r="B234" s="18"/>
      <c r="C234" s="19"/>
      <c r="D234" s="20"/>
      <c r="E234" s="20"/>
      <c r="F234" s="20"/>
      <c r="G234" s="20" t="str">
        <f aca="false">IF(COUNTBLANK(D234:F234)=3,"",IF(OR(D234="Fail",E234="Fail",F234="Fail"),"Fail",IF(AND(D234="Pass",E234="Pass",F234="Pass"),"Pass","Incomplete")))</f>
        <v/>
      </c>
      <c r="H234" s="18"/>
      <c r="I234" s="18"/>
    </row>
    <row r="235" customFormat="false" ht="15.75" hidden="false" customHeight="true" outlineLevel="0" collapsed="false">
      <c r="A235" s="18"/>
      <c r="B235" s="18"/>
      <c r="C235" s="19"/>
      <c r="D235" s="20"/>
      <c r="E235" s="20"/>
      <c r="F235" s="20"/>
      <c r="G235" s="20" t="str">
        <f aca="false">IF(COUNTBLANK(D235:F235)=3,"",IF(OR(D235="Fail",E235="Fail",F235="Fail"),"Fail",IF(AND(D235="Pass",E235="Pass",F235="Pass"),"Pass","Incomplete")))</f>
        <v/>
      </c>
      <c r="H235" s="18"/>
      <c r="I235" s="18"/>
    </row>
    <row r="236" customFormat="false" ht="15.75" hidden="false" customHeight="true" outlineLevel="0" collapsed="false">
      <c r="A236" s="18"/>
      <c r="B236" s="18"/>
      <c r="C236" s="19"/>
      <c r="D236" s="20"/>
      <c r="E236" s="20"/>
      <c r="F236" s="20"/>
      <c r="G236" s="20" t="str">
        <f aca="false">IF(COUNTBLANK(D236:F236)=3,"",IF(OR(D236="Fail",E236="Fail",F236="Fail"),"Fail",IF(AND(D236="Pass",E236="Pass",F236="Pass"),"Pass","Incomplete")))</f>
        <v/>
      </c>
      <c r="H236" s="18"/>
      <c r="I236" s="18"/>
    </row>
    <row r="237" customFormat="false" ht="15.75" hidden="false" customHeight="true" outlineLevel="0" collapsed="false">
      <c r="A237" s="18"/>
      <c r="B237" s="18"/>
      <c r="C237" s="19"/>
      <c r="D237" s="20"/>
      <c r="E237" s="20"/>
      <c r="F237" s="20"/>
      <c r="G237" s="20" t="str">
        <f aca="false">IF(COUNTBLANK(D237:F237)=3,"",IF(OR(D237="Fail",E237="Fail",F237="Fail"),"Fail",IF(AND(D237="Pass",E237="Pass",F237="Pass"),"Pass","Incomplete")))</f>
        <v/>
      </c>
      <c r="H237" s="18"/>
      <c r="I237" s="18"/>
    </row>
    <row r="238" customFormat="false" ht="15.75" hidden="false" customHeight="true" outlineLevel="0" collapsed="false">
      <c r="A238" s="18"/>
      <c r="B238" s="18"/>
      <c r="C238" s="19"/>
      <c r="D238" s="20"/>
      <c r="E238" s="20"/>
      <c r="F238" s="20"/>
      <c r="G238" s="20" t="str">
        <f aca="false">IF(COUNTBLANK(D238:F238)=3,"",IF(OR(D238="Fail",E238="Fail",F238="Fail"),"Fail",IF(AND(D238="Pass",E238="Pass",F238="Pass"),"Pass","Incomplete")))</f>
        <v/>
      </c>
      <c r="H238" s="18"/>
      <c r="I238" s="18"/>
    </row>
    <row r="239" customFormat="false" ht="15.75" hidden="false" customHeight="true" outlineLevel="0" collapsed="false">
      <c r="A239" s="18"/>
      <c r="B239" s="18"/>
      <c r="C239" s="19"/>
      <c r="D239" s="20"/>
      <c r="E239" s="20"/>
      <c r="F239" s="20"/>
      <c r="G239" s="20" t="str">
        <f aca="false">IF(COUNTBLANK(D239:F239)=3,"",IF(OR(D239="Fail",E239="Fail",F239="Fail"),"Fail",IF(AND(D239="Pass",E239="Pass",F239="Pass"),"Pass","Incomplete")))</f>
        <v/>
      </c>
      <c r="H239" s="18"/>
      <c r="I239" s="18"/>
    </row>
    <row r="240" customFormat="false" ht="15.75" hidden="false" customHeight="true" outlineLevel="0" collapsed="false">
      <c r="A240" s="18"/>
      <c r="B240" s="18"/>
      <c r="C240" s="19"/>
      <c r="D240" s="20"/>
      <c r="E240" s="20"/>
      <c r="F240" s="20"/>
      <c r="G240" s="20" t="str">
        <f aca="false">IF(COUNTBLANK(D240:F240)=3,"",IF(OR(D240="Fail",E240="Fail",F240="Fail"),"Fail",IF(AND(D240="Pass",E240="Pass",F240="Pass"),"Pass","Incomplete")))</f>
        <v/>
      </c>
      <c r="H240" s="18"/>
      <c r="I240" s="18"/>
    </row>
    <row r="241" customFormat="false" ht="15.75" hidden="false" customHeight="true" outlineLevel="0" collapsed="false">
      <c r="A241" s="18"/>
      <c r="B241" s="18"/>
      <c r="C241" s="19"/>
      <c r="D241" s="20"/>
      <c r="E241" s="20"/>
      <c r="F241" s="20"/>
      <c r="G241" s="20" t="str">
        <f aca="false">IF(COUNTBLANK(D241:F241)=3,"",IF(OR(D241="Fail",E241="Fail",F241="Fail"),"Fail",IF(AND(D241="Pass",E241="Pass",F241="Pass"),"Pass","Incomplete")))</f>
        <v/>
      </c>
      <c r="H241" s="18"/>
      <c r="I241" s="18"/>
    </row>
    <row r="242" customFormat="false" ht="15.75" hidden="false" customHeight="true" outlineLevel="0" collapsed="false">
      <c r="A242" s="18"/>
      <c r="B242" s="18"/>
      <c r="C242" s="19"/>
      <c r="D242" s="20"/>
      <c r="E242" s="20"/>
      <c r="F242" s="20"/>
      <c r="G242" s="20" t="str">
        <f aca="false">IF(COUNTBLANK(D242:F242)=3,"",IF(OR(D242="Fail",E242="Fail",F242="Fail"),"Fail",IF(AND(D242="Pass",E242="Pass",F242="Pass"),"Pass","Incomplete")))</f>
        <v/>
      </c>
      <c r="H242" s="18"/>
      <c r="I242" s="18"/>
    </row>
    <row r="243" customFormat="false" ht="15.75" hidden="false" customHeight="true" outlineLevel="0" collapsed="false">
      <c r="A243" s="18"/>
      <c r="B243" s="18"/>
      <c r="C243" s="19"/>
      <c r="D243" s="20"/>
      <c r="E243" s="20"/>
      <c r="F243" s="20"/>
      <c r="G243" s="20" t="str">
        <f aca="false">IF(COUNTBLANK(D243:F243)=3,"",IF(OR(D243="Fail",E243="Fail",F243="Fail"),"Fail",IF(AND(D243="Pass",E243="Pass",F243="Pass"),"Pass","Incomplete")))</f>
        <v/>
      </c>
      <c r="H243" s="18"/>
      <c r="I243" s="18"/>
    </row>
    <row r="244" customFormat="false" ht="15.75" hidden="false" customHeight="true" outlineLevel="0" collapsed="false">
      <c r="A244" s="18"/>
      <c r="B244" s="18"/>
      <c r="C244" s="19"/>
      <c r="D244" s="20"/>
      <c r="E244" s="20"/>
      <c r="F244" s="20"/>
      <c r="G244" s="20" t="str">
        <f aca="false">IF(COUNTBLANK(D244:F244)=3,"",IF(OR(D244="Fail",E244="Fail",F244="Fail"),"Fail",IF(AND(D244="Pass",E244="Pass",F244="Pass"),"Pass","Incomplete")))</f>
        <v/>
      </c>
      <c r="H244" s="18"/>
      <c r="I244" s="18"/>
    </row>
    <row r="245" customFormat="false" ht="15.75" hidden="false" customHeight="true" outlineLevel="0" collapsed="false">
      <c r="A245" s="18"/>
      <c r="B245" s="18"/>
      <c r="C245" s="19"/>
      <c r="D245" s="20"/>
      <c r="E245" s="20"/>
      <c r="F245" s="20"/>
      <c r="G245" s="20" t="str">
        <f aca="false">IF(COUNTBLANK(D245:F245)=3,"",IF(OR(D245="Fail",E245="Fail",F245="Fail"),"Fail",IF(AND(D245="Pass",E245="Pass",F245="Pass"),"Pass","Incomplete")))</f>
        <v/>
      </c>
      <c r="H245" s="18"/>
      <c r="I245" s="18"/>
    </row>
    <row r="246" customFormat="false" ht="15.75" hidden="false" customHeight="true" outlineLevel="0" collapsed="false">
      <c r="A246" s="18"/>
      <c r="B246" s="18"/>
      <c r="C246" s="19"/>
      <c r="D246" s="20"/>
      <c r="E246" s="20"/>
      <c r="F246" s="20"/>
      <c r="G246" s="20" t="str">
        <f aca="false">IF(COUNTBLANK(D246:F246)=3,"",IF(OR(D246="Fail",E246="Fail",F246="Fail"),"Fail",IF(AND(D246="Pass",E246="Pass",F246="Pass"),"Pass","Incomplete")))</f>
        <v/>
      </c>
      <c r="H246" s="18"/>
      <c r="I246" s="18"/>
    </row>
    <row r="247" customFormat="false" ht="15.75" hidden="false" customHeight="true" outlineLevel="0" collapsed="false">
      <c r="A247" s="18"/>
      <c r="B247" s="18"/>
      <c r="C247" s="19"/>
      <c r="D247" s="20"/>
      <c r="E247" s="20"/>
      <c r="F247" s="20"/>
      <c r="G247" s="20" t="str">
        <f aca="false">IF(COUNTBLANK(D247:F247)=3,"",IF(OR(D247="Fail",E247="Fail",F247="Fail"),"Fail",IF(AND(D247="Pass",E247="Pass",F247="Pass"),"Pass","Incomplete")))</f>
        <v/>
      </c>
      <c r="H247" s="18"/>
      <c r="I247" s="18"/>
    </row>
    <row r="248" customFormat="false" ht="15.75" hidden="false" customHeight="true" outlineLevel="0" collapsed="false">
      <c r="A248" s="18"/>
      <c r="B248" s="18"/>
      <c r="C248" s="19"/>
      <c r="D248" s="20"/>
      <c r="E248" s="20"/>
      <c r="F248" s="20"/>
      <c r="G248" s="20" t="str">
        <f aca="false">IF(COUNTBLANK(D248:F248)=3,"",IF(OR(D248="Fail",E248="Fail",F248="Fail"),"Fail",IF(AND(D248="Pass",E248="Pass",F248="Pass"),"Pass","Incomplete")))</f>
        <v/>
      </c>
      <c r="H248" s="18"/>
      <c r="I248" s="18"/>
    </row>
    <row r="249" customFormat="false" ht="15.75" hidden="false" customHeight="true" outlineLevel="0" collapsed="false">
      <c r="A249" s="18"/>
      <c r="B249" s="18"/>
      <c r="C249" s="19"/>
      <c r="D249" s="20"/>
      <c r="E249" s="20"/>
      <c r="F249" s="20"/>
      <c r="G249" s="20" t="str">
        <f aca="false">IF(COUNTBLANK(D249:F249)=3,"",IF(OR(D249="Fail",E249="Fail",F249="Fail"),"Fail",IF(AND(D249="Pass",E249="Pass",F249="Pass"),"Pass","Incomplete")))</f>
        <v/>
      </c>
      <c r="H249" s="18"/>
      <c r="I249" s="18"/>
    </row>
    <row r="250" customFormat="false" ht="15.75" hidden="false" customHeight="true" outlineLevel="0" collapsed="false">
      <c r="A250" s="18"/>
      <c r="B250" s="18"/>
      <c r="C250" s="19"/>
      <c r="D250" s="20"/>
      <c r="E250" s="20"/>
      <c r="F250" s="20"/>
      <c r="G250" s="20" t="str">
        <f aca="false">IF(COUNTBLANK(D250:F250)=3,"",IF(OR(D250="Fail",E250="Fail",F250="Fail"),"Fail",IF(AND(D250="Pass",E250="Pass",F250="Pass"),"Pass","Incomplete")))</f>
        <v/>
      </c>
      <c r="H250" s="18"/>
      <c r="I250" s="18"/>
    </row>
    <row r="251" customFormat="false" ht="15.75" hidden="false" customHeight="true" outlineLevel="0" collapsed="false">
      <c r="A251" s="18"/>
      <c r="B251" s="18"/>
      <c r="C251" s="19"/>
      <c r="D251" s="20"/>
      <c r="E251" s="20"/>
      <c r="F251" s="20"/>
      <c r="G251" s="20" t="str">
        <f aca="false">IF(COUNTBLANK(D251:F251)=3,"",IF(OR(D251="Fail",E251="Fail",F251="Fail"),"Fail",IF(AND(D251="Pass",E251="Pass",F251="Pass"),"Pass","Incomplete")))</f>
        <v/>
      </c>
      <c r="H251" s="18"/>
      <c r="I251" s="18"/>
    </row>
    <row r="252" customFormat="false" ht="15.75" hidden="false" customHeight="true" outlineLevel="0" collapsed="false">
      <c r="A252" s="18"/>
      <c r="B252" s="18"/>
      <c r="C252" s="19"/>
      <c r="D252" s="20"/>
      <c r="E252" s="20"/>
      <c r="F252" s="20"/>
      <c r="G252" s="20" t="str">
        <f aca="false">IF(COUNTBLANK(D252:F252)=3,"",IF(OR(D252="Fail",E252="Fail",F252="Fail"),"Fail",IF(AND(D252="Pass",E252="Pass",F252="Pass"),"Pass","Incomplete")))</f>
        <v/>
      </c>
      <c r="H252" s="18"/>
      <c r="I252" s="18"/>
    </row>
    <row r="253" customFormat="false" ht="15.75" hidden="false" customHeight="true" outlineLevel="0" collapsed="false">
      <c r="A253" s="18"/>
      <c r="B253" s="18"/>
      <c r="C253" s="19"/>
      <c r="D253" s="20"/>
      <c r="E253" s="20"/>
      <c r="F253" s="20"/>
      <c r="G253" s="20" t="str">
        <f aca="false">IF(COUNTBLANK(D253:F253)=3,"",IF(OR(D253="Fail",E253="Fail",F253="Fail"),"Fail",IF(AND(D253="Pass",E253="Pass",F253="Pass"),"Pass","Incomplete")))</f>
        <v/>
      </c>
      <c r="H253" s="18"/>
      <c r="I253" s="18"/>
    </row>
    <row r="254" customFormat="false" ht="15.75" hidden="false" customHeight="true" outlineLevel="0" collapsed="false">
      <c r="A254" s="18"/>
      <c r="B254" s="18"/>
      <c r="C254" s="19"/>
      <c r="D254" s="20"/>
      <c r="E254" s="20"/>
      <c r="F254" s="20"/>
      <c r="G254" s="20" t="str">
        <f aca="false">IF(COUNTBLANK(D254:F254)=3,"",IF(OR(D254="Fail",E254="Fail",F254="Fail"),"Fail",IF(AND(D254="Pass",E254="Pass",F254="Pass"),"Pass","Incomplete")))</f>
        <v/>
      </c>
      <c r="H254" s="18"/>
      <c r="I254" s="18"/>
    </row>
    <row r="255" customFormat="false" ht="15.75" hidden="false" customHeight="true" outlineLevel="0" collapsed="false">
      <c r="A255" s="18"/>
      <c r="B255" s="18"/>
      <c r="C255" s="19"/>
      <c r="D255" s="20"/>
      <c r="E255" s="20"/>
      <c r="F255" s="20"/>
      <c r="G255" s="20" t="str">
        <f aca="false">IF(COUNTBLANK(D255:F255)=3,"",IF(OR(D255="Fail",E255="Fail",F255="Fail"),"Fail",IF(AND(D255="Pass",E255="Pass",F255="Pass"),"Pass","Incomplete")))</f>
        <v/>
      </c>
      <c r="H255" s="18"/>
      <c r="I255" s="18"/>
    </row>
    <row r="256" customFormat="false" ht="15.75" hidden="false" customHeight="true" outlineLevel="0" collapsed="false">
      <c r="A256" s="18"/>
      <c r="B256" s="18"/>
      <c r="C256" s="19"/>
      <c r="D256" s="20"/>
      <c r="E256" s="20"/>
      <c r="F256" s="20"/>
      <c r="G256" s="20" t="str">
        <f aca="false">IF(COUNTBLANK(D256:F256)=3,"",IF(OR(D256="Fail",E256="Fail",F256="Fail"),"Fail",IF(AND(D256="Pass",E256="Pass",F256="Pass"),"Pass","Incomplete")))</f>
        <v/>
      </c>
      <c r="H256" s="18"/>
      <c r="I256" s="18"/>
    </row>
    <row r="257" customFormat="false" ht="15.75" hidden="false" customHeight="true" outlineLevel="0" collapsed="false">
      <c r="A257" s="18"/>
      <c r="B257" s="18"/>
      <c r="C257" s="19"/>
      <c r="D257" s="20"/>
      <c r="E257" s="20"/>
      <c r="F257" s="20"/>
      <c r="G257" s="20" t="str">
        <f aca="false">IF(COUNTBLANK(D257:F257)=3,"",IF(OR(D257="Fail",E257="Fail",F257="Fail"),"Fail",IF(AND(D257="Pass",E257="Pass",F257="Pass"),"Pass","Incomplete")))</f>
        <v/>
      </c>
      <c r="H257" s="18"/>
      <c r="I257" s="18"/>
    </row>
    <row r="258" customFormat="false" ht="15.75" hidden="false" customHeight="true" outlineLevel="0" collapsed="false">
      <c r="A258" s="18"/>
      <c r="B258" s="18"/>
      <c r="C258" s="19"/>
      <c r="D258" s="20"/>
      <c r="E258" s="20"/>
      <c r="F258" s="20"/>
      <c r="G258" s="20" t="str">
        <f aca="false">IF(COUNTBLANK(D258:F258)=3,"",IF(OR(D258="Fail",E258="Fail",F258="Fail"),"Fail",IF(AND(D258="Pass",E258="Pass",F258="Pass"),"Pass","Incomplete")))</f>
        <v/>
      </c>
      <c r="H258" s="18"/>
      <c r="I258" s="18"/>
    </row>
    <row r="259" customFormat="false" ht="15.75" hidden="false" customHeight="true" outlineLevel="0" collapsed="false">
      <c r="A259" s="18"/>
      <c r="B259" s="18"/>
      <c r="C259" s="19"/>
      <c r="D259" s="20"/>
      <c r="E259" s="20"/>
      <c r="F259" s="20"/>
      <c r="G259" s="20" t="str">
        <f aca="false">IF(COUNTBLANK(D259:F259)=3,"",IF(OR(D259="Fail",E259="Fail",F259="Fail"),"Fail",IF(AND(D259="Pass",E259="Pass",F259="Pass"),"Pass","Incomplete")))</f>
        <v/>
      </c>
      <c r="H259" s="18"/>
      <c r="I259" s="18"/>
    </row>
    <row r="260" customFormat="false" ht="15.75" hidden="false" customHeight="true" outlineLevel="0" collapsed="false">
      <c r="A260" s="18"/>
      <c r="B260" s="18"/>
      <c r="C260" s="19"/>
      <c r="D260" s="20"/>
      <c r="E260" s="20"/>
      <c r="F260" s="20"/>
      <c r="G260" s="20" t="str">
        <f aca="false">IF(COUNTBLANK(D260:F260)=3,"",IF(OR(D260="Fail",E260="Fail",F260="Fail"),"Fail",IF(AND(D260="Pass",E260="Pass",F260="Pass"),"Pass","Incomplete")))</f>
        <v/>
      </c>
      <c r="H260" s="18"/>
      <c r="I260" s="18"/>
    </row>
    <row r="261" customFormat="false" ht="15.75" hidden="false" customHeight="true" outlineLevel="0" collapsed="false">
      <c r="A261" s="18"/>
      <c r="B261" s="18"/>
      <c r="C261" s="19"/>
      <c r="D261" s="20"/>
      <c r="E261" s="20"/>
      <c r="F261" s="20"/>
      <c r="G261" s="20" t="str">
        <f aca="false">IF(COUNTBLANK(D261:F261)=3,"",IF(OR(D261="Fail",E261="Fail",F261="Fail"),"Fail",IF(AND(D261="Pass",E261="Pass",F261="Pass"),"Pass","Incomplete")))</f>
        <v/>
      </c>
      <c r="H261" s="18"/>
      <c r="I261" s="18"/>
    </row>
    <row r="262" customFormat="false" ht="15.75" hidden="false" customHeight="true" outlineLevel="0" collapsed="false">
      <c r="A262" s="18"/>
      <c r="B262" s="18"/>
      <c r="C262" s="19"/>
      <c r="D262" s="20"/>
      <c r="E262" s="20"/>
      <c r="F262" s="20"/>
      <c r="G262" s="20" t="str">
        <f aca="false">IF(COUNTBLANK(D262:F262)=3,"",IF(OR(D262="Fail",E262="Fail",F262="Fail"),"Fail",IF(AND(D262="Pass",E262="Pass",F262="Pass"),"Pass","Incomplete")))</f>
        <v/>
      </c>
      <c r="H262" s="18"/>
      <c r="I262" s="18"/>
    </row>
    <row r="263" customFormat="false" ht="15.75" hidden="false" customHeight="true" outlineLevel="0" collapsed="false">
      <c r="A263" s="18"/>
      <c r="B263" s="18"/>
      <c r="C263" s="19"/>
      <c r="D263" s="20"/>
      <c r="E263" s="20"/>
      <c r="F263" s="20"/>
      <c r="G263" s="20" t="str">
        <f aca="false">IF(COUNTBLANK(D263:F263)=3,"",IF(OR(D263="Fail",E263="Fail",F263="Fail"),"Fail",IF(AND(D263="Pass",E263="Pass",F263="Pass"),"Pass","Incomplete")))</f>
        <v/>
      </c>
      <c r="H263" s="18"/>
      <c r="I263" s="18"/>
    </row>
    <row r="264" customFormat="false" ht="15.75" hidden="false" customHeight="true" outlineLevel="0" collapsed="false">
      <c r="A264" s="18"/>
      <c r="B264" s="18"/>
      <c r="C264" s="19"/>
      <c r="D264" s="20"/>
      <c r="E264" s="20"/>
      <c r="F264" s="20"/>
      <c r="G264" s="20" t="str">
        <f aca="false">IF(COUNTBLANK(D264:F264)=3,"",IF(OR(D264="Fail",E264="Fail",F264="Fail"),"Fail",IF(AND(D264="Pass",E264="Pass",F264="Pass"),"Pass","Incomplete")))</f>
        <v/>
      </c>
      <c r="H264" s="18"/>
      <c r="I264" s="18"/>
    </row>
    <row r="265" customFormat="false" ht="15.75" hidden="false" customHeight="true" outlineLevel="0" collapsed="false">
      <c r="A265" s="18"/>
      <c r="B265" s="18"/>
      <c r="C265" s="19"/>
      <c r="D265" s="20"/>
      <c r="E265" s="20"/>
      <c r="F265" s="20"/>
      <c r="G265" s="20" t="str">
        <f aca="false">IF(COUNTBLANK(D265:F265)=3,"",IF(OR(D265="Fail",E265="Fail",F265="Fail"),"Fail",IF(AND(D265="Pass",E265="Pass",F265="Pass"),"Pass","Incomplete")))</f>
        <v/>
      </c>
      <c r="H265" s="18"/>
      <c r="I265" s="18"/>
    </row>
    <row r="266" customFormat="false" ht="15.75" hidden="false" customHeight="true" outlineLevel="0" collapsed="false">
      <c r="A266" s="18"/>
      <c r="B266" s="18"/>
      <c r="C266" s="19"/>
      <c r="D266" s="20"/>
      <c r="E266" s="20"/>
      <c r="F266" s="20"/>
      <c r="G266" s="20" t="str">
        <f aca="false">IF(COUNTBLANK(D266:F266)=3,"",IF(OR(D266="Fail",E266="Fail",F266="Fail"),"Fail",IF(AND(D266="Pass",E266="Pass",F266="Pass"),"Pass","Incomplete")))</f>
        <v/>
      </c>
      <c r="H266" s="18"/>
      <c r="I266" s="18"/>
    </row>
    <row r="267" customFormat="false" ht="15.75" hidden="false" customHeight="true" outlineLevel="0" collapsed="false">
      <c r="A267" s="18"/>
      <c r="B267" s="18"/>
      <c r="C267" s="19"/>
      <c r="D267" s="20"/>
      <c r="E267" s="20"/>
      <c r="F267" s="20"/>
      <c r="G267" s="20" t="str">
        <f aca="false">IF(COUNTBLANK(D267:F267)=3,"",IF(OR(D267="Fail",E267="Fail",F267="Fail"),"Fail",IF(AND(D267="Pass",E267="Pass",F267="Pass"),"Pass","Incomplete")))</f>
        <v/>
      </c>
      <c r="H267" s="18"/>
      <c r="I267" s="18"/>
    </row>
    <row r="268" customFormat="false" ht="15.75" hidden="false" customHeight="true" outlineLevel="0" collapsed="false">
      <c r="A268" s="18"/>
      <c r="B268" s="18"/>
      <c r="C268" s="19"/>
      <c r="D268" s="20"/>
      <c r="E268" s="20"/>
      <c r="F268" s="20"/>
      <c r="G268" s="20" t="str">
        <f aca="false">IF(COUNTBLANK(D268:F268)=3,"",IF(OR(D268="Fail",E268="Fail",F268="Fail"),"Fail",IF(AND(D268="Pass",E268="Pass",F268="Pass"),"Pass","Incomplete")))</f>
        <v/>
      </c>
      <c r="H268" s="18"/>
      <c r="I268" s="18"/>
    </row>
    <row r="269" customFormat="false" ht="15.75" hidden="false" customHeight="true" outlineLevel="0" collapsed="false">
      <c r="A269" s="18"/>
      <c r="B269" s="18"/>
      <c r="C269" s="19"/>
      <c r="D269" s="20"/>
      <c r="E269" s="20"/>
      <c r="F269" s="20"/>
      <c r="G269" s="20" t="str">
        <f aca="false">IF(COUNTBLANK(D269:F269)=3,"",IF(OR(D269="Fail",E269="Fail",F269="Fail"),"Fail",IF(AND(D269="Pass",E269="Pass",F269="Pass"),"Pass","Incomplete")))</f>
        <v/>
      </c>
      <c r="H269" s="18"/>
      <c r="I269" s="18"/>
    </row>
    <row r="270" customFormat="false" ht="15.75" hidden="false" customHeight="true" outlineLevel="0" collapsed="false">
      <c r="A270" s="18"/>
      <c r="B270" s="18"/>
      <c r="C270" s="19"/>
      <c r="D270" s="20"/>
      <c r="E270" s="20"/>
      <c r="F270" s="20"/>
      <c r="G270" s="20" t="str">
        <f aca="false">IF(COUNTBLANK(D270:F270)=3,"",IF(OR(D270="Fail",E270="Fail",F270="Fail"),"Fail",IF(AND(D270="Pass",E270="Pass",F270="Pass"),"Pass","Incomplete")))</f>
        <v/>
      </c>
      <c r="H270" s="18"/>
      <c r="I270" s="18"/>
    </row>
    <row r="271" customFormat="false" ht="15.75" hidden="false" customHeight="true" outlineLevel="0" collapsed="false">
      <c r="A271" s="18"/>
      <c r="B271" s="18"/>
      <c r="C271" s="19"/>
      <c r="D271" s="20"/>
      <c r="E271" s="20"/>
      <c r="F271" s="20"/>
      <c r="G271" s="20" t="str">
        <f aca="false">IF(COUNTBLANK(D271:F271)=3,"",IF(OR(D271="Fail",E271="Fail",F271="Fail"),"Fail",IF(AND(D271="Pass",E271="Pass",F271="Pass"),"Pass","Incomplete")))</f>
        <v/>
      </c>
      <c r="H271" s="18"/>
      <c r="I271" s="18"/>
    </row>
    <row r="272" customFormat="false" ht="15.75" hidden="false" customHeight="true" outlineLevel="0" collapsed="false">
      <c r="A272" s="18"/>
      <c r="B272" s="18"/>
      <c r="C272" s="19"/>
      <c r="D272" s="20"/>
      <c r="E272" s="20"/>
      <c r="F272" s="20"/>
      <c r="G272" s="20" t="str">
        <f aca="false">IF(COUNTBLANK(D272:F272)=3,"",IF(OR(D272="Fail",E272="Fail",F272="Fail"),"Fail",IF(AND(D272="Pass",E272="Pass",F272="Pass"),"Pass","Incomplete")))</f>
        <v/>
      </c>
      <c r="H272" s="18"/>
      <c r="I272" s="18"/>
    </row>
    <row r="273" customFormat="false" ht="15.75" hidden="false" customHeight="true" outlineLevel="0" collapsed="false">
      <c r="A273" s="18"/>
      <c r="B273" s="18"/>
      <c r="C273" s="19"/>
      <c r="D273" s="20"/>
      <c r="E273" s="20"/>
      <c r="F273" s="20"/>
      <c r="G273" s="20" t="str">
        <f aca="false">IF(COUNTBLANK(D273:F273)=3,"",IF(OR(D273="Fail",E273="Fail",F273="Fail"),"Fail",IF(AND(D273="Pass",E273="Pass",F273="Pass"),"Pass","Incomplete")))</f>
        <v/>
      </c>
      <c r="H273" s="18"/>
      <c r="I273" s="18"/>
    </row>
    <row r="274" customFormat="false" ht="15.75" hidden="false" customHeight="true" outlineLevel="0" collapsed="false">
      <c r="A274" s="18"/>
      <c r="B274" s="18"/>
      <c r="C274" s="19"/>
      <c r="D274" s="20"/>
      <c r="E274" s="20"/>
      <c r="F274" s="20"/>
      <c r="G274" s="20" t="str">
        <f aca="false">IF(COUNTBLANK(D274:F274)=3,"",IF(OR(D274="Fail",E274="Fail",F274="Fail"),"Fail",IF(AND(D274="Pass",E274="Pass",F274="Pass"),"Pass","Incomplete")))</f>
        <v/>
      </c>
      <c r="H274" s="18"/>
      <c r="I274" s="18"/>
    </row>
    <row r="275" customFormat="false" ht="15.75" hidden="false" customHeight="true" outlineLevel="0" collapsed="false">
      <c r="A275" s="18"/>
      <c r="B275" s="18"/>
      <c r="C275" s="19"/>
      <c r="D275" s="20"/>
      <c r="E275" s="20"/>
      <c r="F275" s="20"/>
      <c r="G275" s="20" t="str">
        <f aca="false">IF(COUNTBLANK(D275:F275)=3,"",IF(OR(D275="Fail",E275="Fail",F275="Fail"),"Fail",IF(AND(D275="Pass",E275="Pass",F275="Pass"),"Pass","Incomplete")))</f>
        <v/>
      </c>
      <c r="H275" s="18"/>
      <c r="I275" s="18"/>
    </row>
    <row r="276" customFormat="false" ht="15.75" hidden="false" customHeight="true" outlineLevel="0" collapsed="false">
      <c r="A276" s="18"/>
      <c r="B276" s="18"/>
      <c r="C276" s="19"/>
      <c r="D276" s="20"/>
      <c r="E276" s="20"/>
      <c r="F276" s="20"/>
      <c r="G276" s="20" t="str">
        <f aca="false">IF(COUNTBLANK(D276:F276)=3,"",IF(OR(D276="Fail",E276="Fail",F276="Fail"),"Fail",IF(AND(D276="Pass",E276="Pass",F276="Pass"),"Pass","Incomplete")))</f>
        <v/>
      </c>
      <c r="H276" s="18"/>
      <c r="I276" s="18"/>
    </row>
    <row r="277" customFormat="false" ht="15.75" hidden="false" customHeight="true" outlineLevel="0" collapsed="false">
      <c r="A277" s="18"/>
      <c r="B277" s="18"/>
      <c r="C277" s="19"/>
      <c r="D277" s="20"/>
      <c r="E277" s="20"/>
      <c r="F277" s="20"/>
      <c r="G277" s="20" t="str">
        <f aca="false">IF(COUNTBLANK(D277:F277)=3,"",IF(OR(D277="Fail",E277="Fail",F277="Fail"),"Fail",IF(AND(D277="Pass",E277="Pass",F277="Pass"),"Pass","Incomplete")))</f>
        <v/>
      </c>
      <c r="H277" s="18"/>
      <c r="I277" s="18"/>
    </row>
    <row r="278" customFormat="false" ht="15.75" hidden="false" customHeight="true" outlineLevel="0" collapsed="false">
      <c r="A278" s="18"/>
      <c r="B278" s="18"/>
      <c r="C278" s="19"/>
      <c r="D278" s="20"/>
      <c r="E278" s="20"/>
      <c r="F278" s="20"/>
      <c r="G278" s="20" t="str">
        <f aca="false">IF(COUNTBLANK(D278:F278)=3,"",IF(OR(D278="Fail",E278="Fail",F278="Fail"),"Fail",IF(AND(D278="Pass",E278="Pass",F278="Pass"),"Pass","Incomplete")))</f>
        <v/>
      </c>
      <c r="H278" s="18"/>
      <c r="I278" s="18"/>
    </row>
    <row r="279" customFormat="false" ht="15.75" hidden="false" customHeight="true" outlineLevel="0" collapsed="false">
      <c r="A279" s="18"/>
      <c r="B279" s="18"/>
      <c r="C279" s="19"/>
      <c r="D279" s="20"/>
      <c r="E279" s="20"/>
      <c r="F279" s="20"/>
      <c r="G279" s="20" t="str">
        <f aca="false">IF(COUNTBLANK(D279:F279)=3,"",IF(OR(D279="Fail",E279="Fail",F279="Fail"),"Fail",IF(AND(D279="Pass",E279="Pass",F279="Pass"),"Pass","Incomplete")))</f>
        <v/>
      </c>
      <c r="H279" s="18"/>
      <c r="I279" s="18"/>
    </row>
    <row r="280" customFormat="false" ht="15.75" hidden="false" customHeight="true" outlineLevel="0" collapsed="false">
      <c r="A280" s="18"/>
      <c r="B280" s="18"/>
      <c r="C280" s="19"/>
      <c r="D280" s="20"/>
      <c r="E280" s="20"/>
      <c r="F280" s="20"/>
      <c r="G280" s="20" t="str">
        <f aca="false">IF(COUNTBLANK(D280:F280)=3,"",IF(OR(D280="Fail",E280="Fail",F280="Fail"),"Fail",IF(AND(D280="Pass",E280="Pass",F280="Pass"),"Pass","Incomplete")))</f>
        <v/>
      </c>
      <c r="H280" s="18"/>
      <c r="I280" s="18"/>
    </row>
    <row r="281" customFormat="false" ht="15.75" hidden="false" customHeight="true" outlineLevel="0" collapsed="false">
      <c r="A281" s="18"/>
      <c r="B281" s="18"/>
      <c r="C281" s="19"/>
      <c r="D281" s="20"/>
      <c r="E281" s="20"/>
      <c r="F281" s="20"/>
      <c r="G281" s="20" t="str">
        <f aca="false">IF(COUNTBLANK(D281:F281)=3,"",IF(OR(D281="Fail",E281="Fail",F281="Fail"),"Fail",IF(AND(D281="Pass",E281="Pass",F281="Pass"),"Pass","Incomplete")))</f>
        <v/>
      </c>
      <c r="H281" s="18"/>
      <c r="I281" s="18"/>
    </row>
    <row r="282" customFormat="false" ht="15.75" hidden="false" customHeight="true" outlineLevel="0" collapsed="false">
      <c r="A282" s="18"/>
      <c r="B282" s="18"/>
      <c r="C282" s="19"/>
      <c r="D282" s="20"/>
      <c r="E282" s="20"/>
      <c r="F282" s="20"/>
      <c r="G282" s="20" t="str">
        <f aca="false">IF(COUNTBLANK(D282:F282)=3,"",IF(OR(D282="Fail",E282="Fail",F282="Fail"),"Fail",IF(AND(D282="Pass",E282="Pass",F282="Pass"),"Pass","Incomplete")))</f>
        <v/>
      </c>
      <c r="H282" s="18"/>
      <c r="I282" s="18"/>
    </row>
    <row r="283" customFormat="false" ht="15.75" hidden="false" customHeight="true" outlineLevel="0" collapsed="false">
      <c r="A283" s="18"/>
      <c r="B283" s="18"/>
      <c r="C283" s="19"/>
      <c r="D283" s="20"/>
      <c r="E283" s="20"/>
      <c r="F283" s="20"/>
      <c r="G283" s="20" t="str">
        <f aca="false">IF(COUNTBLANK(D283:F283)=3,"",IF(OR(D283="Fail",E283="Fail",F283="Fail"),"Fail",IF(AND(D283="Pass",E283="Pass",F283="Pass"),"Pass","Incomplete")))</f>
        <v/>
      </c>
      <c r="H283" s="18"/>
      <c r="I283" s="18"/>
    </row>
    <row r="284" customFormat="false" ht="15.75" hidden="false" customHeight="true" outlineLevel="0" collapsed="false">
      <c r="A284" s="18"/>
      <c r="B284" s="18"/>
      <c r="C284" s="19"/>
      <c r="D284" s="20"/>
      <c r="E284" s="20"/>
      <c r="F284" s="20"/>
      <c r="G284" s="20" t="str">
        <f aca="false">IF(COUNTBLANK(D284:F284)=3,"",IF(OR(D284="Fail",E284="Fail",F284="Fail"),"Fail",IF(AND(D284="Pass",E284="Pass",F284="Pass"),"Pass","Incomplete")))</f>
        <v/>
      </c>
      <c r="H284" s="18"/>
      <c r="I284" s="18"/>
    </row>
    <row r="285" customFormat="false" ht="15.75" hidden="false" customHeight="true" outlineLevel="0" collapsed="false">
      <c r="A285" s="18"/>
      <c r="B285" s="18"/>
      <c r="C285" s="19"/>
      <c r="D285" s="20"/>
      <c r="E285" s="20"/>
      <c r="F285" s="20"/>
      <c r="G285" s="20" t="str">
        <f aca="false">IF(COUNTBLANK(D285:F285)=3,"",IF(OR(D285="Fail",E285="Fail",F285="Fail"),"Fail",IF(AND(D285="Pass",E285="Pass",F285="Pass"),"Pass","Incomplete")))</f>
        <v/>
      </c>
      <c r="H285" s="18"/>
      <c r="I285" s="18"/>
    </row>
    <row r="286" customFormat="false" ht="15.75" hidden="false" customHeight="true" outlineLevel="0" collapsed="false">
      <c r="A286" s="18"/>
      <c r="B286" s="18"/>
      <c r="C286" s="19"/>
      <c r="D286" s="20"/>
      <c r="E286" s="20"/>
      <c r="F286" s="20"/>
      <c r="G286" s="20" t="str">
        <f aca="false">IF(COUNTBLANK(D286:F286)=3,"",IF(OR(D286="Fail",E286="Fail",F286="Fail"),"Fail",IF(AND(D286="Pass",E286="Pass",F286="Pass"),"Pass","Incomplete")))</f>
        <v/>
      </c>
      <c r="H286" s="18"/>
      <c r="I286" s="18"/>
    </row>
    <row r="287" customFormat="false" ht="15.75" hidden="false" customHeight="true" outlineLevel="0" collapsed="false">
      <c r="A287" s="18"/>
      <c r="B287" s="18"/>
      <c r="C287" s="19"/>
      <c r="D287" s="20"/>
      <c r="E287" s="20"/>
      <c r="F287" s="20"/>
      <c r="G287" s="20" t="str">
        <f aca="false">IF(COUNTBLANK(D287:F287)=3,"",IF(OR(D287="Fail",E287="Fail",F287="Fail"),"Fail",IF(AND(D287="Pass",E287="Pass",F287="Pass"),"Pass","Incomplete")))</f>
        <v/>
      </c>
      <c r="H287" s="18"/>
      <c r="I287" s="18"/>
    </row>
    <row r="288" customFormat="false" ht="15.75" hidden="false" customHeight="true" outlineLevel="0" collapsed="false">
      <c r="A288" s="18"/>
      <c r="B288" s="18"/>
      <c r="C288" s="19"/>
      <c r="D288" s="20"/>
      <c r="E288" s="20"/>
      <c r="F288" s="20"/>
      <c r="G288" s="20" t="str">
        <f aca="false">IF(COUNTBLANK(D288:F288)=3,"",IF(OR(D288="Fail",E288="Fail",F288="Fail"),"Fail",IF(AND(D288="Pass",E288="Pass",F288="Pass"),"Pass","Incomplete")))</f>
        <v/>
      </c>
      <c r="H288" s="18"/>
      <c r="I288" s="18"/>
    </row>
    <row r="289" customFormat="false" ht="15.75" hidden="false" customHeight="true" outlineLevel="0" collapsed="false">
      <c r="A289" s="18"/>
      <c r="B289" s="18"/>
      <c r="C289" s="19"/>
      <c r="D289" s="20"/>
      <c r="E289" s="20"/>
      <c r="F289" s="20"/>
      <c r="G289" s="20" t="str">
        <f aca="false">IF(COUNTBLANK(D289:F289)=3,"",IF(OR(D289="Fail",E289="Fail",F289="Fail"),"Fail",IF(AND(D289="Pass",E289="Pass",F289="Pass"),"Pass","Incomplete")))</f>
        <v/>
      </c>
      <c r="H289" s="18"/>
      <c r="I289" s="18"/>
    </row>
    <row r="290" customFormat="false" ht="15.75" hidden="false" customHeight="true" outlineLevel="0" collapsed="false">
      <c r="A290" s="18"/>
      <c r="B290" s="18"/>
      <c r="C290" s="19"/>
      <c r="D290" s="20"/>
      <c r="E290" s="20"/>
      <c r="F290" s="20"/>
      <c r="G290" s="20" t="str">
        <f aca="false">IF(COUNTBLANK(D290:F290)=3,"",IF(OR(D290="Fail",E290="Fail",F290="Fail"),"Fail",IF(AND(D290="Pass",E290="Pass",F290="Pass"),"Pass","Incomplete")))</f>
        <v/>
      </c>
      <c r="H290" s="18"/>
      <c r="I290" s="18"/>
    </row>
    <row r="291" customFormat="false" ht="15.75" hidden="false" customHeight="true" outlineLevel="0" collapsed="false">
      <c r="A291" s="18"/>
      <c r="B291" s="18"/>
      <c r="C291" s="19"/>
      <c r="D291" s="20"/>
      <c r="E291" s="20"/>
      <c r="F291" s="20"/>
      <c r="G291" s="20" t="str">
        <f aca="false">IF(COUNTBLANK(D291:F291)=3,"",IF(OR(D291="Fail",E291="Fail",F291="Fail"),"Fail",IF(AND(D291="Pass",E291="Pass",F291="Pass"),"Pass","Incomplete")))</f>
        <v/>
      </c>
      <c r="H291" s="18"/>
      <c r="I291" s="18"/>
    </row>
    <row r="292" customFormat="false" ht="15.75" hidden="false" customHeight="true" outlineLevel="0" collapsed="false">
      <c r="A292" s="18"/>
      <c r="B292" s="18"/>
      <c r="C292" s="19"/>
      <c r="D292" s="20"/>
      <c r="E292" s="20"/>
      <c r="F292" s="20"/>
      <c r="G292" s="20" t="str">
        <f aca="false">IF(COUNTBLANK(D292:F292)=3,"",IF(OR(D292="Fail",E292="Fail",F292="Fail"),"Fail",IF(AND(D292="Pass",E292="Pass",F292="Pass"),"Pass","Incomplete")))</f>
        <v/>
      </c>
      <c r="H292" s="18"/>
      <c r="I292" s="18"/>
    </row>
    <row r="293" customFormat="false" ht="15.75" hidden="false" customHeight="true" outlineLevel="0" collapsed="false">
      <c r="A293" s="18"/>
      <c r="B293" s="18"/>
      <c r="C293" s="19"/>
      <c r="D293" s="20"/>
      <c r="E293" s="20"/>
      <c r="F293" s="20"/>
      <c r="G293" s="20" t="str">
        <f aca="false">IF(COUNTBLANK(D293:F293)=3,"",IF(OR(D293="Fail",E293="Fail",F293="Fail"),"Fail",IF(AND(D293="Pass",E293="Pass",F293="Pass"),"Pass","Incomplete")))</f>
        <v/>
      </c>
      <c r="H293" s="18"/>
      <c r="I293" s="18"/>
    </row>
    <row r="294" customFormat="false" ht="15.75" hidden="false" customHeight="true" outlineLevel="0" collapsed="false">
      <c r="A294" s="18"/>
      <c r="B294" s="18"/>
      <c r="C294" s="19"/>
      <c r="D294" s="20"/>
      <c r="E294" s="20"/>
      <c r="F294" s="20"/>
      <c r="G294" s="20" t="str">
        <f aca="false">IF(COUNTBLANK(D294:F294)=3,"",IF(OR(D294="Fail",E294="Fail",F294="Fail"),"Fail",IF(AND(D294="Pass",E294="Pass",F294="Pass"),"Pass","Incomplete")))</f>
        <v/>
      </c>
      <c r="H294" s="18"/>
      <c r="I294" s="18"/>
    </row>
    <row r="295" customFormat="false" ht="15.75" hidden="false" customHeight="true" outlineLevel="0" collapsed="false">
      <c r="A295" s="18"/>
      <c r="B295" s="18"/>
      <c r="C295" s="19"/>
      <c r="D295" s="20"/>
      <c r="E295" s="20"/>
      <c r="F295" s="20"/>
      <c r="G295" s="20" t="str">
        <f aca="false">IF(COUNTBLANK(D295:F295)=3,"",IF(OR(D295="Fail",E295="Fail",F295="Fail"),"Fail",IF(AND(D295="Pass",E295="Pass",F295="Pass"),"Pass","Incomplete")))</f>
        <v/>
      </c>
      <c r="H295" s="18"/>
      <c r="I295" s="18"/>
    </row>
    <row r="296" customFormat="false" ht="15.75" hidden="false" customHeight="true" outlineLevel="0" collapsed="false">
      <c r="A296" s="18"/>
      <c r="B296" s="18"/>
      <c r="C296" s="19"/>
      <c r="D296" s="20"/>
      <c r="E296" s="20"/>
      <c r="F296" s="20"/>
      <c r="G296" s="20" t="str">
        <f aca="false">IF(COUNTBLANK(D296:F296)=3,"",IF(OR(D296="Fail",E296="Fail",F296="Fail"),"Fail",IF(AND(D296="Pass",E296="Pass",F296="Pass"),"Pass","Incomplete")))</f>
        <v/>
      </c>
      <c r="H296" s="18"/>
      <c r="I296" s="18"/>
    </row>
    <row r="297" customFormat="false" ht="15.75" hidden="false" customHeight="true" outlineLevel="0" collapsed="false">
      <c r="A297" s="18"/>
      <c r="B297" s="18"/>
      <c r="C297" s="19"/>
      <c r="D297" s="20"/>
      <c r="E297" s="20"/>
      <c r="F297" s="20"/>
      <c r="G297" s="20" t="str">
        <f aca="false">IF(COUNTBLANK(D297:F297)=3,"",IF(OR(D297="Fail",E297="Fail",F297="Fail"),"Fail",IF(AND(D297="Pass",E297="Pass",F297="Pass"),"Pass","Incomplete")))</f>
        <v/>
      </c>
      <c r="H297" s="18"/>
      <c r="I297" s="18"/>
    </row>
    <row r="298" customFormat="false" ht="15.75" hidden="false" customHeight="true" outlineLevel="0" collapsed="false">
      <c r="A298" s="18"/>
      <c r="B298" s="18"/>
      <c r="C298" s="19"/>
      <c r="D298" s="20"/>
      <c r="E298" s="20"/>
      <c r="F298" s="20"/>
      <c r="G298" s="20" t="str">
        <f aca="false">IF(COUNTBLANK(D298:F298)=3,"",IF(OR(D298="Fail",E298="Fail",F298="Fail"),"Fail",IF(AND(D298="Pass",E298="Pass",F298="Pass"),"Pass","Incomplete")))</f>
        <v/>
      </c>
      <c r="H298" s="18"/>
      <c r="I298" s="18"/>
    </row>
    <row r="299" customFormat="false" ht="15.75" hidden="false" customHeight="true" outlineLevel="0" collapsed="false">
      <c r="A299" s="18"/>
      <c r="B299" s="18"/>
      <c r="C299" s="19"/>
      <c r="D299" s="20"/>
      <c r="E299" s="20"/>
      <c r="F299" s="20"/>
      <c r="G299" s="20" t="str">
        <f aca="false">IF(COUNTBLANK(D299:F299)=3,"",IF(OR(D299="Fail",E299="Fail",F299="Fail"),"Fail",IF(AND(D299="Pass",E299="Pass",F299="Pass"),"Pass","Incomplete")))</f>
        <v/>
      </c>
      <c r="H299" s="18"/>
      <c r="I299" s="18"/>
    </row>
    <row r="300" customFormat="false" ht="15.75" hidden="false" customHeight="true" outlineLevel="0" collapsed="false">
      <c r="A300" s="18"/>
      <c r="B300" s="18"/>
      <c r="C300" s="19"/>
      <c r="D300" s="20"/>
      <c r="E300" s="20"/>
      <c r="F300" s="20"/>
      <c r="G300" s="20" t="str">
        <f aca="false">IF(COUNTBLANK(D300:F300)=3,"",IF(OR(D300="Fail",E300="Fail",F300="Fail"),"Fail",IF(AND(D300="Pass",E300="Pass",F300="Pass"),"Pass","Incomplete")))</f>
        <v/>
      </c>
      <c r="H300" s="18"/>
      <c r="I300" s="18"/>
    </row>
    <row r="301" customFormat="false" ht="15.75" hidden="false" customHeight="true" outlineLevel="0" collapsed="false">
      <c r="A301" s="18"/>
      <c r="B301" s="18"/>
      <c r="C301" s="19"/>
      <c r="D301" s="20"/>
      <c r="E301" s="20"/>
      <c r="F301" s="20"/>
      <c r="G301" s="20" t="str">
        <f aca="false">IF(COUNTBLANK(D301:F301)=3,"",IF(OR(D301="Fail",E301="Fail",F301="Fail"),"Fail",IF(AND(D301="Pass",E301="Pass",F301="Pass"),"Pass","Incomplete")))</f>
        <v/>
      </c>
      <c r="H301" s="18"/>
      <c r="I301" s="18"/>
    </row>
    <row r="302" customFormat="false" ht="15.75" hidden="false" customHeight="true" outlineLevel="0" collapsed="false">
      <c r="A302" s="18"/>
      <c r="B302" s="18"/>
      <c r="C302" s="19"/>
      <c r="D302" s="20"/>
      <c r="E302" s="20"/>
      <c r="F302" s="20"/>
      <c r="G302" s="20" t="str">
        <f aca="false">IF(COUNTBLANK(D302:F302)=3,"",IF(OR(D302="Fail",E302="Fail",F302="Fail"),"Fail",IF(AND(D302="Pass",E302="Pass",F302="Pass"),"Pass","Incomplete")))</f>
        <v/>
      </c>
      <c r="H302" s="18"/>
      <c r="I302" s="18"/>
    </row>
    <row r="303" customFormat="false" ht="15.75" hidden="false" customHeight="true" outlineLevel="0" collapsed="false">
      <c r="A303" s="18"/>
      <c r="B303" s="18"/>
      <c r="C303" s="19"/>
      <c r="D303" s="20"/>
      <c r="E303" s="20"/>
      <c r="F303" s="20"/>
      <c r="G303" s="20" t="str">
        <f aca="false">IF(COUNTBLANK(D303:F303)=3,"",IF(OR(D303="Fail",E303="Fail",F303="Fail"),"Fail",IF(AND(D303="Pass",E303="Pass",F303="Pass"),"Pass","Incomplete")))</f>
        <v/>
      </c>
      <c r="H303" s="18"/>
      <c r="I303" s="18"/>
    </row>
    <row r="304" customFormat="false" ht="15.75" hidden="false" customHeight="true" outlineLevel="0" collapsed="false">
      <c r="A304" s="18"/>
      <c r="B304" s="18"/>
      <c r="C304" s="19"/>
      <c r="D304" s="20"/>
      <c r="E304" s="20"/>
      <c r="F304" s="20"/>
      <c r="G304" s="20" t="str">
        <f aca="false">IF(COUNTBLANK(D304:F304)=3,"",IF(OR(D304="Fail",E304="Fail",F304="Fail"),"Fail",IF(AND(D304="Pass",E304="Pass",F304="Pass"),"Pass","Incomplete")))</f>
        <v/>
      </c>
      <c r="H304" s="18"/>
      <c r="I304" s="18"/>
    </row>
    <row r="305" customFormat="false" ht="15.75" hidden="false" customHeight="true" outlineLevel="0" collapsed="false">
      <c r="A305" s="18"/>
      <c r="B305" s="18"/>
      <c r="C305" s="19"/>
      <c r="D305" s="20"/>
      <c r="E305" s="20"/>
      <c r="F305" s="20"/>
      <c r="G305" s="20" t="str">
        <f aca="false">IF(COUNTBLANK(D305:F305)=3,"",IF(OR(D305="Fail",E305="Fail",F305="Fail"),"Fail",IF(AND(D305="Pass",E305="Pass",F305="Pass"),"Pass","Incomplete")))</f>
        <v/>
      </c>
      <c r="H305" s="18"/>
      <c r="I305" s="18"/>
    </row>
    <row r="306" customFormat="false" ht="15.75" hidden="false" customHeight="true" outlineLevel="0" collapsed="false">
      <c r="A306" s="18"/>
      <c r="B306" s="18"/>
      <c r="C306" s="19"/>
      <c r="D306" s="20"/>
      <c r="E306" s="20"/>
      <c r="F306" s="20"/>
      <c r="G306" s="20" t="str">
        <f aca="false">IF(COUNTBLANK(D306:F306)=3,"",IF(OR(D306="Fail",E306="Fail",F306="Fail"),"Fail",IF(AND(D306="Pass",E306="Pass",F306="Pass"),"Pass","Incomplete")))</f>
        <v/>
      </c>
      <c r="H306" s="18"/>
      <c r="I306" s="18"/>
    </row>
    <row r="307" customFormat="false" ht="15.75" hidden="false" customHeight="true" outlineLevel="0" collapsed="false">
      <c r="A307" s="18"/>
      <c r="B307" s="18"/>
      <c r="C307" s="19"/>
      <c r="D307" s="20"/>
      <c r="E307" s="20"/>
      <c r="F307" s="20"/>
      <c r="G307" s="20" t="str">
        <f aca="false">IF(COUNTBLANK(D307:F307)=3,"",IF(OR(D307="Fail",E307="Fail",F307="Fail"),"Fail",IF(AND(D307="Pass",E307="Pass",F307="Pass"),"Pass","Incomplete")))</f>
        <v/>
      </c>
      <c r="H307" s="18"/>
      <c r="I307" s="18"/>
    </row>
    <row r="308" customFormat="false" ht="15.75" hidden="false" customHeight="true" outlineLevel="0" collapsed="false">
      <c r="A308" s="18"/>
      <c r="B308" s="18"/>
      <c r="C308" s="19"/>
      <c r="D308" s="20"/>
      <c r="E308" s="20"/>
      <c r="F308" s="20"/>
      <c r="G308" s="20" t="str">
        <f aca="false">IF(COUNTBLANK(D308:F308)=3,"",IF(OR(D308="Fail",E308="Fail",F308="Fail"),"Fail",IF(AND(D308="Pass",E308="Pass",F308="Pass"),"Pass","Incomplete")))</f>
        <v/>
      </c>
      <c r="H308" s="18"/>
      <c r="I308" s="18"/>
    </row>
    <row r="309" customFormat="false" ht="15.75" hidden="false" customHeight="true" outlineLevel="0" collapsed="false">
      <c r="A309" s="18"/>
      <c r="B309" s="18"/>
      <c r="C309" s="19"/>
      <c r="D309" s="20"/>
      <c r="E309" s="20"/>
      <c r="F309" s="20"/>
      <c r="G309" s="20" t="str">
        <f aca="false">IF(COUNTBLANK(D309:F309)=3,"",IF(OR(D309="Fail",E309="Fail",F309="Fail"),"Fail",IF(AND(D309="Pass",E309="Pass",F309="Pass"),"Pass","Incomplete")))</f>
        <v/>
      </c>
      <c r="H309" s="18"/>
      <c r="I309" s="18"/>
    </row>
    <row r="310" customFormat="false" ht="15.75" hidden="false" customHeight="true" outlineLevel="0" collapsed="false">
      <c r="A310" s="18"/>
      <c r="B310" s="18"/>
      <c r="C310" s="19"/>
      <c r="D310" s="20"/>
      <c r="E310" s="20"/>
      <c r="F310" s="20"/>
      <c r="G310" s="20" t="str">
        <f aca="false">IF(COUNTBLANK(D310:F310)=3,"",IF(OR(D310="Fail",E310="Fail",F310="Fail"),"Fail",IF(AND(D310="Pass",E310="Pass",F310="Pass"),"Pass","Incomplete")))</f>
        <v/>
      </c>
      <c r="H310" s="18"/>
      <c r="I310" s="18"/>
    </row>
    <row r="311" customFormat="false" ht="15.75" hidden="false" customHeight="true" outlineLevel="0" collapsed="false">
      <c r="A311" s="18"/>
      <c r="B311" s="18"/>
      <c r="C311" s="19"/>
      <c r="D311" s="20"/>
      <c r="E311" s="20"/>
      <c r="F311" s="20"/>
      <c r="G311" s="20" t="str">
        <f aca="false">IF(COUNTBLANK(D311:F311)=3,"",IF(OR(D311="Fail",E311="Fail",F311="Fail"),"Fail",IF(AND(D311="Pass",E311="Pass",F311="Pass"),"Pass","Incomplete")))</f>
        <v/>
      </c>
      <c r="H311" s="18"/>
      <c r="I311" s="18"/>
    </row>
    <row r="312" customFormat="false" ht="15.75" hidden="false" customHeight="true" outlineLevel="0" collapsed="false">
      <c r="A312" s="18"/>
      <c r="B312" s="18"/>
      <c r="C312" s="19"/>
      <c r="D312" s="20"/>
      <c r="E312" s="20"/>
      <c r="F312" s="20"/>
      <c r="G312" s="20" t="str">
        <f aca="false">IF(COUNTBLANK(D312:F312)=3,"",IF(OR(D312="Fail",E312="Fail",F312="Fail"),"Fail",IF(AND(D312="Pass",E312="Pass",F312="Pass"),"Pass","Incomplete")))</f>
        <v/>
      </c>
      <c r="H312" s="18"/>
      <c r="I312" s="18"/>
    </row>
    <row r="313" customFormat="false" ht="15.75" hidden="false" customHeight="true" outlineLevel="0" collapsed="false">
      <c r="A313" s="18"/>
      <c r="B313" s="18"/>
      <c r="C313" s="19"/>
      <c r="D313" s="20"/>
      <c r="E313" s="20"/>
      <c r="F313" s="20"/>
      <c r="G313" s="20" t="str">
        <f aca="false">IF(COUNTBLANK(D313:F313)=3,"",IF(OR(D313="Fail",E313="Fail",F313="Fail"),"Fail",IF(AND(D313="Pass",E313="Pass",F313="Pass"),"Pass","Incomplete")))</f>
        <v/>
      </c>
      <c r="H313" s="18"/>
      <c r="I313" s="18"/>
    </row>
    <row r="314" customFormat="false" ht="15.75" hidden="false" customHeight="true" outlineLevel="0" collapsed="false">
      <c r="A314" s="18"/>
      <c r="B314" s="18"/>
      <c r="C314" s="19"/>
      <c r="D314" s="20"/>
      <c r="E314" s="20"/>
      <c r="F314" s="20"/>
      <c r="G314" s="20" t="str">
        <f aca="false">IF(COUNTBLANK(D314:F314)=3,"",IF(OR(D314="Fail",E314="Fail",F314="Fail"),"Fail",IF(AND(D314="Pass",E314="Pass",F314="Pass"),"Pass","Incomplete")))</f>
        <v/>
      </c>
      <c r="H314" s="18"/>
      <c r="I314" s="18"/>
    </row>
    <row r="315" customFormat="false" ht="15.75" hidden="false" customHeight="true" outlineLevel="0" collapsed="false">
      <c r="A315" s="18"/>
      <c r="B315" s="18"/>
      <c r="C315" s="19"/>
      <c r="D315" s="20"/>
      <c r="E315" s="20"/>
      <c r="F315" s="20"/>
      <c r="G315" s="20" t="str">
        <f aca="false">IF(COUNTBLANK(D315:F315)=3,"",IF(OR(D315="Fail",E315="Fail",F315="Fail"),"Fail",IF(AND(D315="Pass",E315="Pass",F315="Pass"),"Pass","Incomplete")))</f>
        <v/>
      </c>
      <c r="H315" s="18"/>
      <c r="I315" s="18"/>
    </row>
    <row r="316" customFormat="false" ht="15.75" hidden="false" customHeight="true" outlineLevel="0" collapsed="false">
      <c r="A316" s="18"/>
      <c r="B316" s="18"/>
      <c r="C316" s="19"/>
      <c r="D316" s="20"/>
      <c r="E316" s="20"/>
      <c r="F316" s="20"/>
      <c r="G316" s="20" t="str">
        <f aca="false">IF(COUNTBLANK(D316:F316)=3,"",IF(OR(D316="Fail",E316="Fail",F316="Fail"),"Fail",IF(AND(D316="Pass",E316="Pass",F316="Pass"),"Pass","Incomplete")))</f>
        <v/>
      </c>
      <c r="H316" s="18"/>
      <c r="I316" s="18"/>
    </row>
    <row r="317" customFormat="false" ht="15.75" hidden="false" customHeight="true" outlineLevel="0" collapsed="false">
      <c r="A317" s="18"/>
      <c r="B317" s="18"/>
      <c r="C317" s="19"/>
      <c r="D317" s="20"/>
      <c r="E317" s="20"/>
      <c r="F317" s="20"/>
      <c r="G317" s="20" t="str">
        <f aca="false">IF(COUNTBLANK(D317:F317)=3,"",IF(OR(D317="Fail",E317="Fail",F317="Fail"),"Fail",IF(AND(D317="Pass",E317="Pass",F317="Pass"),"Pass","Incomplete")))</f>
        <v/>
      </c>
      <c r="H317" s="18"/>
      <c r="I317" s="18"/>
    </row>
    <row r="318" customFormat="false" ht="15.75" hidden="false" customHeight="true" outlineLevel="0" collapsed="false">
      <c r="A318" s="18"/>
      <c r="B318" s="18"/>
      <c r="C318" s="19"/>
      <c r="D318" s="20"/>
      <c r="E318" s="20"/>
      <c r="F318" s="20"/>
      <c r="G318" s="20" t="str">
        <f aca="false">IF(COUNTBLANK(D318:F318)=3,"",IF(OR(D318="Fail",E318="Fail",F318="Fail"),"Fail",IF(AND(D318="Pass",E318="Pass",F318="Pass"),"Pass","Incomplete")))</f>
        <v/>
      </c>
      <c r="H318" s="18"/>
      <c r="I318" s="18"/>
    </row>
    <row r="319" customFormat="false" ht="15.75" hidden="false" customHeight="true" outlineLevel="0" collapsed="false">
      <c r="A319" s="18"/>
      <c r="B319" s="18"/>
      <c r="C319" s="19"/>
      <c r="D319" s="20"/>
      <c r="E319" s="20"/>
      <c r="F319" s="20"/>
      <c r="G319" s="20" t="str">
        <f aca="false">IF(COUNTBLANK(D319:F319)=3,"",IF(OR(D319="Fail",E319="Fail",F319="Fail"),"Fail",IF(AND(D319="Pass",E319="Pass",F319="Pass"),"Pass","Incomplete")))</f>
        <v/>
      </c>
      <c r="H319" s="18"/>
      <c r="I319" s="18"/>
    </row>
    <row r="320" customFormat="false" ht="15.75" hidden="false" customHeight="true" outlineLevel="0" collapsed="false">
      <c r="A320" s="18"/>
      <c r="B320" s="18"/>
      <c r="C320" s="19"/>
      <c r="D320" s="20"/>
      <c r="E320" s="20"/>
      <c r="F320" s="20"/>
      <c r="G320" s="20" t="str">
        <f aca="false">IF(COUNTBLANK(D320:F320)=3,"",IF(OR(D320="Fail",E320="Fail",F320="Fail"),"Fail",IF(AND(D320="Pass",E320="Pass",F320="Pass"),"Pass","Incomplete")))</f>
        <v/>
      </c>
      <c r="H320" s="18"/>
      <c r="I320" s="18"/>
    </row>
    <row r="321" customFormat="false" ht="15.75" hidden="false" customHeight="true" outlineLevel="0" collapsed="false">
      <c r="A321" s="18"/>
      <c r="B321" s="18"/>
      <c r="C321" s="19"/>
      <c r="D321" s="20"/>
      <c r="E321" s="20"/>
      <c r="F321" s="20"/>
      <c r="G321" s="20" t="str">
        <f aca="false">IF(COUNTBLANK(D321:F321)=3,"",IF(OR(D321="Fail",E321="Fail",F321="Fail"),"Fail",IF(AND(D321="Pass",E321="Pass",F321="Pass"),"Pass","Incomplete")))</f>
        <v/>
      </c>
      <c r="H321" s="18"/>
      <c r="I321" s="18"/>
    </row>
    <row r="322" customFormat="false" ht="15.75" hidden="false" customHeight="true" outlineLevel="0" collapsed="false">
      <c r="A322" s="18"/>
      <c r="B322" s="18"/>
      <c r="C322" s="19"/>
      <c r="D322" s="20"/>
      <c r="E322" s="20"/>
      <c r="F322" s="20"/>
      <c r="G322" s="20" t="str">
        <f aca="false">IF(COUNTBLANK(D322:F322)=3,"",IF(OR(D322="Fail",E322="Fail",F322="Fail"),"Fail",IF(AND(D322="Pass",E322="Pass",F322="Pass"),"Pass","Incomplete")))</f>
        <v/>
      </c>
      <c r="H322" s="18"/>
      <c r="I322" s="18"/>
    </row>
    <row r="323" customFormat="false" ht="15.75" hidden="false" customHeight="true" outlineLevel="0" collapsed="false">
      <c r="A323" s="18"/>
      <c r="B323" s="18"/>
      <c r="C323" s="19"/>
      <c r="D323" s="20"/>
      <c r="E323" s="20"/>
      <c r="F323" s="20"/>
      <c r="G323" s="20" t="str">
        <f aca="false">IF(COUNTBLANK(D323:F323)=3,"",IF(OR(D323="Fail",E323="Fail",F323="Fail"),"Fail",IF(AND(D323="Pass",E323="Pass",F323="Pass"),"Pass","Incomplete")))</f>
        <v/>
      </c>
      <c r="H323" s="18"/>
      <c r="I323" s="18"/>
    </row>
    <row r="324" customFormat="false" ht="15.75" hidden="false" customHeight="true" outlineLevel="0" collapsed="false">
      <c r="A324" s="18"/>
      <c r="B324" s="18"/>
      <c r="C324" s="19"/>
      <c r="D324" s="20"/>
      <c r="E324" s="20"/>
      <c r="F324" s="20"/>
      <c r="G324" s="20" t="str">
        <f aca="false">IF(COUNTBLANK(D324:F324)=3,"",IF(OR(D324="Fail",E324="Fail",F324="Fail"),"Fail",IF(AND(D324="Pass",E324="Pass",F324="Pass"),"Pass","Incomplete")))</f>
        <v/>
      </c>
      <c r="H324" s="18"/>
      <c r="I324" s="18"/>
    </row>
    <row r="325" customFormat="false" ht="15.75" hidden="false" customHeight="true" outlineLevel="0" collapsed="false">
      <c r="A325" s="18"/>
      <c r="B325" s="18"/>
      <c r="C325" s="19"/>
      <c r="D325" s="20"/>
      <c r="E325" s="20"/>
      <c r="F325" s="20"/>
      <c r="G325" s="20" t="str">
        <f aca="false">IF(COUNTBLANK(D325:F325)=3,"",IF(OR(D325="Fail",E325="Fail",F325="Fail"),"Fail",IF(AND(D325="Pass",E325="Pass",F325="Pass"),"Pass","Incomplete")))</f>
        <v/>
      </c>
      <c r="H325" s="18"/>
      <c r="I325" s="18"/>
    </row>
    <row r="326" customFormat="false" ht="15.75" hidden="false" customHeight="true" outlineLevel="0" collapsed="false">
      <c r="A326" s="18"/>
      <c r="B326" s="18"/>
      <c r="C326" s="19"/>
      <c r="D326" s="20"/>
      <c r="E326" s="20"/>
      <c r="F326" s="20"/>
      <c r="G326" s="20" t="str">
        <f aca="false">IF(COUNTBLANK(D326:F326)=3,"",IF(OR(D326="Fail",E326="Fail",F326="Fail"),"Fail",IF(AND(D326="Pass",E326="Pass",F326="Pass"),"Pass","Incomplete")))</f>
        <v/>
      </c>
      <c r="H326" s="18"/>
      <c r="I326" s="18"/>
    </row>
    <row r="327" customFormat="false" ht="15.75" hidden="false" customHeight="true" outlineLevel="0" collapsed="false">
      <c r="A327" s="18"/>
      <c r="B327" s="18"/>
      <c r="C327" s="19"/>
      <c r="D327" s="20"/>
      <c r="E327" s="20"/>
      <c r="F327" s="20"/>
      <c r="G327" s="20" t="str">
        <f aca="false">IF(COUNTBLANK(D327:F327)=3,"",IF(OR(D327="Fail",E327="Fail",F327="Fail"),"Fail",IF(AND(D327="Pass",E327="Pass",F327="Pass"),"Pass","Incomplete")))</f>
        <v/>
      </c>
      <c r="H327" s="18"/>
      <c r="I327" s="18"/>
    </row>
    <row r="328" customFormat="false" ht="15.75" hidden="false" customHeight="true" outlineLevel="0" collapsed="false">
      <c r="A328" s="18"/>
      <c r="B328" s="18"/>
      <c r="C328" s="19"/>
      <c r="D328" s="20"/>
      <c r="E328" s="20"/>
      <c r="F328" s="20"/>
      <c r="G328" s="20" t="str">
        <f aca="false">IF(COUNTBLANK(D328:F328)=3,"",IF(OR(D328="Fail",E328="Fail",F328="Fail"),"Fail",IF(AND(D328="Pass",E328="Pass",F328="Pass"),"Pass","Incomplete")))</f>
        <v/>
      </c>
      <c r="H328" s="18"/>
      <c r="I328" s="18"/>
    </row>
    <row r="329" customFormat="false" ht="15.75" hidden="false" customHeight="true" outlineLevel="0" collapsed="false">
      <c r="A329" s="18"/>
      <c r="B329" s="18"/>
      <c r="C329" s="19"/>
      <c r="D329" s="20"/>
      <c r="E329" s="20"/>
      <c r="F329" s="20"/>
      <c r="G329" s="20" t="str">
        <f aca="false">IF(COUNTBLANK(D329:F329)=3,"",IF(OR(D329="Fail",E329="Fail",F329="Fail"),"Fail",IF(AND(D329="Pass",E329="Pass",F329="Pass"),"Pass","Incomplete")))</f>
        <v/>
      </c>
      <c r="H329" s="18"/>
      <c r="I329" s="18"/>
    </row>
    <row r="330" customFormat="false" ht="15.75" hidden="false" customHeight="true" outlineLevel="0" collapsed="false">
      <c r="A330" s="18"/>
      <c r="B330" s="18"/>
      <c r="C330" s="19"/>
      <c r="D330" s="20"/>
      <c r="E330" s="20"/>
      <c r="F330" s="20"/>
      <c r="G330" s="20" t="str">
        <f aca="false">IF(COUNTBLANK(D330:F330)=3,"",IF(OR(D330="Fail",E330="Fail",F330="Fail"),"Fail",IF(AND(D330="Pass",E330="Pass",F330="Pass"),"Pass","Incomplete")))</f>
        <v/>
      </c>
      <c r="H330" s="18"/>
      <c r="I330" s="18"/>
    </row>
    <row r="331" customFormat="false" ht="15.75" hidden="false" customHeight="true" outlineLevel="0" collapsed="false">
      <c r="A331" s="18"/>
      <c r="B331" s="18"/>
      <c r="C331" s="19"/>
      <c r="D331" s="20"/>
      <c r="E331" s="20"/>
      <c r="F331" s="20"/>
      <c r="G331" s="20" t="str">
        <f aca="false">IF(COUNTBLANK(D331:F331)=3,"",IF(OR(D331="Fail",E331="Fail",F331="Fail"),"Fail",IF(AND(D331="Pass",E331="Pass",F331="Pass"),"Pass","Incomplete")))</f>
        <v/>
      </c>
      <c r="H331" s="18"/>
      <c r="I331" s="18"/>
    </row>
    <row r="332" customFormat="false" ht="15.75" hidden="false" customHeight="true" outlineLevel="0" collapsed="false">
      <c r="A332" s="18"/>
      <c r="B332" s="18"/>
      <c r="C332" s="19"/>
      <c r="D332" s="20"/>
      <c r="E332" s="20"/>
      <c r="F332" s="20"/>
      <c r="G332" s="20" t="str">
        <f aca="false">IF(COUNTBLANK(D332:F332)=3,"",IF(OR(D332="Fail",E332="Fail",F332="Fail"),"Fail",IF(AND(D332="Pass",E332="Pass",F332="Pass"),"Pass","Incomplete")))</f>
        <v/>
      </c>
      <c r="H332" s="18"/>
      <c r="I332" s="18"/>
    </row>
    <row r="333" customFormat="false" ht="15.75" hidden="false" customHeight="true" outlineLevel="0" collapsed="false">
      <c r="A333" s="18"/>
      <c r="B333" s="18"/>
      <c r="C333" s="19"/>
      <c r="D333" s="20"/>
      <c r="E333" s="20"/>
      <c r="F333" s="20"/>
      <c r="G333" s="20" t="str">
        <f aca="false">IF(COUNTBLANK(D333:F333)=3,"",IF(OR(D333="Fail",E333="Fail",F333="Fail"),"Fail",IF(AND(D333="Pass",E333="Pass",F333="Pass"),"Pass","Incomplete")))</f>
        <v/>
      </c>
      <c r="H333" s="18"/>
      <c r="I333" s="18"/>
    </row>
    <row r="334" customFormat="false" ht="15.75" hidden="false" customHeight="true" outlineLevel="0" collapsed="false">
      <c r="A334" s="18"/>
      <c r="B334" s="18"/>
      <c r="C334" s="19"/>
      <c r="D334" s="20"/>
      <c r="E334" s="20"/>
      <c r="F334" s="20"/>
      <c r="G334" s="20" t="str">
        <f aca="false">IF(COUNTBLANK(D334:F334)=3,"",IF(OR(D334="Fail",E334="Fail",F334="Fail"),"Fail",IF(AND(D334="Pass",E334="Pass",F334="Pass"),"Pass","Incomplete")))</f>
        <v/>
      </c>
      <c r="H334" s="18"/>
      <c r="I334" s="18"/>
    </row>
    <row r="335" customFormat="false" ht="15.75" hidden="false" customHeight="true" outlineLevel="0" collapsed="false">
      <c r="A335" s="18"/>
      <c r="B335" s="18"/>
      <c r="C335" s="19"/>
      <c r="D335" s="20"/>
      <c r="E335" s="20"/>
      <c r="F335" s="20"/>
      <c r="G335" s="20" t="str">
        <f aca="false">IF(COUNTBLANK(D335:F335)=3,"",IF(OR(D335="Fail",E335="Fail",F335="Fail"),"Fail",IF(AND(D335="Pass",E335="Pass",F335="Pass"),"Pass","Incomplete")))</f>
        <v/>
      </c>
      <c r="H335" s="18"/>
      <c r="I335" s="18"/>
    </row>
    <row r="336" customFormat="false" ht="15.75" hidden="false" customHeight="true" outlineLevel="0" collapsed="false">
      <c r="A336" s="18"/>
      <c r="B336" s="18"/>
      <c r="C336" s="19"/>
      <c r="D336" s="20"/>
      <c r="E336" s="20"/>
      <c r="F336" s="20"/>
      <c r="G336" s="20" t="str">
        <f aca="false">IF(COUNTBLANK(D336:F336)=3,"",IF(OR(D336="Fail",E336="Fail",F336="Fail"),"Fail",IF(AND(D336="Pass",E336="Pass",F336="Pass"),"Pass","Incomplete")))</f>
        <v/>
      </c>
      <c r="H336" s="18"/>
      <c r="I336" s="18"/>
    </row>
    <row r="337" customFormat="false" ht="15.75" hidden="false" customHeight="true" outlineLevel="0" collapsed="false">
      <c r="A337" s="18"/>
      <c r="B337" s="18"/>
      <c r="C337" s="19"/>
      <c r="D337" s="20"/>
      <c r="E337" s="20"/>
      <c r="F337" s="20"/>
      <c r="G337" s="20" t="str">
        <f aca="false">IF(COUNTBLANK(D337:F337)=3,"",IF(OR(D337="Fail",E337="Fail",F337="Fail"),"Fail",IF(AND(D337="Pass",E337="Pass",F337="Pass"),"Pass","Incomplete")))</f>
        <v/>
      </c>
      <c r="H337" s="18"/>
      <c r="I337" s="18"/>
    </row>
    <row r="338" customFormat="false" ht="15.75" hidden="false" customHeight="true" outlineLevel="0" collapsed="false">
      <c r="A338" s="18"/>
      <c r="B338" s="18"/>
      <c r="C338" s="19"/>
      <c r="D338" s="20"/>
      <c r="E338" s="20"/>
      <c r="F338" s="20"/>
      <c r="G338" s="20" t="str">
        <f aca="false">IF(COUNTBLANK(D338:F338)=3,"",IF(OR(D338="Fail",E338="Fail",F338="Fail"),"Fail",IF(AND(D338="Pass",E338="Pass",F338="Pass"),"Pass","Incomplete")))</f>
        <v/>
      </c>
      <c r="H338" s="18"/>
      <c r="I338" s="18"/>
    </row>
    <row r="339" customFormat="false" ht="15.75" hidden="false" customHeight="true" outlineLevel="0" collapsed="false">
      <c r="A339" s="18"/>
      <c r="B339" s="18"/>
      <c r="C339" s="19"/>
      <c r="D339" s="20"/>
      <c r="E339" s="20"/>
      <c r="F339" s="20"/>
      <c r="G339" s="20" t="str">
        <f aca="false">IF(COUNTBLANK(D339:F339)=3,"",IF(OR(D339="Fail",E339="Fail",F339="Fail"),"Fail",IF(AND(D339="Pass",E339="Pass",F339="Pass"),"Pass","Incomplete")))</f>
        <v/>
      </c>
      <c r="H339" s="18"/>
      <c r="I339" s="18"/>
    </row>
    <row r="340" customFormat="false" ht="15.75" hidden="false" customHeight="true" outlineLevel="0" collapsed="false">
      <c r="A340" s="18"/>
      <c r="B340" s="18"/>
      <c r="C340" s="19"/>
      <c r="D340" s="20"/>
      <c r="E340" s="20"/>
      <c r="F340" s="20"/>
      <c r="G340" s="20" t="str">
        <f aca="false">IF(COUNTBLANK(D340:F340)=3,"",IF(OR(D340="Fail",E340="Fail",F340="Fail"),"Fail",IF(AND(D340="Pass",E340="Pass",F340="Pass"),"Pass","Incomplete")))</f>
        <v/>
      </c>
      <c r="H340" s="18"/>
      <c r="I340" s="18"/>
    </row>
    <row r="341" customFormat="false" ht="15.75" hidden="false" customHeight="true" outlineLevel="0" collapsed="false">
      <c r="A341" s="18"/>
      <c r="B341" s="18"/>
      <c r="C341" s="19"/>
      <c r="D341" s="20"/>
      <c r="E341" s="20"/>
      <c r="F341" s="20"/>
      <c r="G341" s="20" t="str">
        <f aca="false">IF(COUNTBLANK(D341:F341)=3,"",IF(OR(D341="Fail",E341="Fail",F341="Fail"),"Fail",IF(AND(D341="Pass",E341="Pass",F341="Pass"),"Pass","Incomplete")))</f>
        <v/>
      </c>
      <c r="H341" s="18"/>
      <c r="I341" s="18"/>
    </row>
    <row r="342" customFormat="false" ht="15.75" hidden="false" customHeight="true" outlineLevel="0" collapsed="false">
      <c r="A342" s="18"/>
      <c r="B342" s="18"/>
      <c r="C342" s="19"/>
      <c r="D342" s="20"/>
      <c r="E342" s="20"/>
      <c r="F342" s="20"/>
      <c r="G342" s="20" t="str">
        <f aca="false">IF(COUNTBLANK(D342:F342)=3,"",IF(OR(D342="Fail",E342="Fail",F342="Fail"),"Fail",IF(AND(D342="Pass",E342="Pass",F342="Pass"),"Pass","Incomplete")))</f>
        <v/>
      </c>
      <c r="H342" s="18"/>
      <c r="I342" s="18"/>
    </row>
    <row r="343" customFormat="false" ht="15.75" hidden="false" customHeight="true" outlineLevel="0" collapsed="false">
      <c r="A343" s="18"/>
      <c r="B343" s="18"/>
      <c r="C343" s="19"/>
      <c r="D343" s="20"/>
      <c r="E343" s="20"/>
      <c r="F343" s="20"/>
      <c r="G343" s="20" t="str">
        <f aca="false">IF(COUNTBLANK(D343:F343)=3,"",IF(OR(D343="Fail",E343="Fail",F343="Fail"),"Fail",IF(AND(D343="Pass",E343="Pass",F343="Pass"),"Pass","Incomplete")))</f>
        <v/>
      </c>
      <c r="H343" s="18"/>
      <c r="I343" s="18"/>
    </row>
    <row r="344" customFormat="false" ht="15.75" hidden="false" customHeight="true" outlineLevel="0" collapsed="false">
      <c r="A344" s="18"/>
      <c r="B344" s="18"/>
      <c r="C344" s="19"/>
      <c r="D344" s="20"/>
      <c r="E344" s="20"/>
      <c r="F344" s="20"/>
      <c r="G344" s="20" t="str">
        <f aca="false">IF(COUNTBLANK(D344:F344)=3,"",IF(OR(D344="Fail",E344="Fail",F344="Fail"),"Fail",IF(AND(D344="Pass",E344="Pass",F344="Pass"),"Pass","Incomplete")))</f>
        <v/>
      </c>
      <c r="H344" s="18"/>
      <c r="I344" s="18"/>
    </row>
    <row r="345" customFormat="false" ht="15.75" hidden="false" customHeight="true" outlineLevel="0" collapsed="false">
      <c r="A345" s="18"/>
      <c r="B345" s="18"/>
      <c r="C345" s="19"/>
      <c r="D345" s="20"/>
      <c r="E345" s="20"/>
      <c r="F345" s="20"/>
      <c r="G345" s="20" t="str">
        <f aca="false">IF(COUNTBLANK(D345:F345)=3,"",IF(OR(D345="Fail",E345="Fail",F345="Fail"),"Fail",IF(AND(D345="Pass",E345="Pass",F345="Pass"),"Pass","Incomplete")))</f>
        <v/>
      </c>
      <c r="H345" s="18"/>
      <c r="I345" s="18"/>
    </row>
    <row r="346" customFormat="false" ht="15.75" hidden="false" customHeight="true" outlineLevel="0" collapsed="false">
      <c r="A346" s="18"/>
      <c r="B346" s="18"/>
      <c r="C346" s="19"/>
      <c r="D346" s="20"/>
      <c r="E346" s="20"/>
      <c r="F346" s="20"/>
      <c r="G346" s="20" t="str">
        <f aca="false">IF(COUNTBLANK(D346:F346)=3,"",IF(OR(D346="Fail",E346="Fail",F346="Fail"),"Fail",IF(AND(D346="Pass",E346="Pass",F346="Pass"),"Pass","Incomplete")))</f>
        <v/>
      </c>
      <c r="H346" s="18"/>
      <c r="I346" s="18"/>
    </row>
    <row r="347" customFormat="false" ht="15.75" hidden="false" customHeight="true" outlineLevel="0" collapsed="false">
      <c r="A347" s="18"/>
      <c r="B347" s="18"/>
      <c r="C347" s="19"/>
      <c r="D347" s="20"/>
      <c r="E347" s="20"/>
      <c r="F347" s="20"/>
      <c r="G347" s="20" t="str">
        <f aca="false">IF(COUNTBLANK(D347:F347)=3,"",IF(OR(D347="Fail",E347="Fail",F347="Fail"),"Fail",IF(AND(D347="Pass",E347="Pass",F347="Pass"),"Pass","Incomplete")))</f>
        <v/>
      </c>
      <c r="H347" s="18"/>
      <c r="I347" s="18"/>
    </row>
    <row r="348" customFormat="false" ht="15.75" hidden="false" customHeight="true" outlineLevel="0" collapsed="false">
      <c r="A348" s="18"/>
      <c r="B348" s="18"/>
      <c r="C348" s="19"/>
      <c r="D348" s="20"/>
      <c r="E348" s="20"/>
      <c r="F348" s="20"/>
      <c r="G348" s="20" t="str">
        <f aca="false">IF(COUNTBLANK(D348:F348)=3,"",IF(OR(D348="Fail",E348="Fail",F348="Fail"),"Fail",IF(AND(D348="Pass",E348="Pass",F348="Pass"),"Pass","Incomplete")))</f>
        <v/>
      </c>
      <c r="H348" s="18"/>
      <c r="I348" s="18"/>
    </row>
    <row r="349" customFormat="false" ht="15.75" hidden="false" customHeight="true" outlineLevel="0" collapsed="false">
      <c r="A349" s="18"/>
      <c r="B349" s="18"/>
      <c r="C349" s="19"/>
      <c r="D349" s="20"/>
      <c r="E349" s="20"/>
      <c r="F349" s="20"/>
      <c r="G349" s="20" t="str">
        <f aca="false">IF(COUNTBLANK(D349:F349)=3,"",IF(OR(D349="Fail",E349="Fail",F349="Fail"),"Fail",IF(AND(D349="Pass",E349="Pass",F349="Pass"),"Pass","Incomplete")))</f>
        <v/>
      </c>
      <c r="H349" s="18"/>
      <c r="I349" s="18"/>
    </row>
    <row r="350" customFormat="false" ht="15.75" hidden="false" customHeight="true" outlineLevel="0" collapsed="false">
      <c r="A350" s="18"/>
      <c r="B350" s="18"/>
      <c r="C350" s="19"/>
      <c r="D350" s="20"/>
      <c r="E350" s="20"/>
      <c r="F350" s="20"/>
      <c r="G350" s="20" t="str">
        <f aca="false">IF(COUNTBLANK(D350:F350)=3,"",IF(OR(D350="Fail",E350="Fail",F350="Fail"),"Fail",IF(AND(D350="Pass",E350="Pass",F350="Pass"),"Pass","Incomplete")))</f>
        <v/>
      </c>
      <c r="H350" s="18"/>
      <c r="I350" s="18"/>
    </row>
    <row r="351" customFormat="false" ht="15.75" hidden="false" customHeight="true" outlineLevel="0" collapsed="false">
      <c r="A351" s="18"/>
      <c r="B351" s="18"/>
      <c r="C351" s="19"/>
      <c r="D351" s="20"/>
      <c r="E351" s="20"/>
      <c r="F351" s="20"/>
      <c r="G351" s="20" t="str">
        <f aca="false">IF(COUNTBLANK(D351:F351)=3,"",IF(OR(D351="Fail",E351="Fail",F351="Fail"),"Fail",IF(AND(D351="Pass",E351="Pass",F351="Pass"),"Pass","Incomplete")))</f>
        <v/>
      </c>
      <c r="H351" s="18"/>
      <c r="I351" s="18"/>
    </row>
    <row r="352" customFormat="false" ht="15.75" hidden="false" customHeight="true" outlineLevel="0" collapsed="false">
      <c r="A352" s="18"/>
      <c r="B352" s="18"/>
      <c r="C352" s="19"/>
      <c r="D352" s="20"/>
      <c r="E352" s="20"/>
      <c r="F352" s="20"/>
      <c r="G352" s="20" t="str">
        <f aca="false">IF(COUNTBLANK(D352:F352)=3,"",IF(OR(D352="Fail",E352="Fail",F352="Fail"),"Fail",IF(AND(D352="Pass",E352="Pass",F352="Pass"),"Pass","Incomplete")))</f>
        <v/>
      </c>
      <c r="H352" s="18"/>
      <c r="I352" s="18"/>
    </row>
    <row r="353" customFormat="false" ht="15.75" hidden="false" customHeight="true" outlineLevel="0" collapsed="false">
      <c r="A353" s="18"/>
      <c r="B353" s="18"/>
      <c r="C353" s="19"/>
      <c r="D353" s="20"/>
      <c r="E353" s="20"/>
      <c r="F353" s="20"/>
      <c r="G353" s="20" t="str">
        <f aca="false">IF(COUNTBLANK(D353:F353)=3,"",IF(OR(D353="Fail",E353="Fail",F353="Fail"),"Fail",IF(AND(D353="Pass",E353="Pass",F353="Pass"),"Pass","Incomplete")))</f>
        <v/>
      </c>
      <c r="H353" s="18"/>
      <c r="I353" s="18"/>
    </row>
    <row r="354" customFormat="false" ht="15.75" hidden="false" customHeight="true" outlineLevel="0" collapsed="false">
      <c r="A354" s="18"/>
      <c r="B354" s="18"/>
      <c r="C354" s="19"/>
      <c r="D354" s="20"/>
      <c r="E354" s="20"/>
      <c r="F354" s="20"/>
      <c r="G354" s="20" t="str">
        <f aca="false">IF(COUNTBLANK(D354:F354)=3,"",IF(OR(D354="Fail",E354="Fail",F354="Fail"),"Fail",IF(AND(D354="Pass",E354="Pass",F354="Pass"),"Pass","Incomplete")))</f>
        <v/>
      </c>
      <c r="H354" s="18"/>
      <c r="I354" s="18"/>
    </row>
    <row r="355" customFormat="false" ht="15.75" hidden="false" customHeight="true" outlineLevel="0" collapsed="false">
      <c r="A355" s="18"/>
      <c r="B355" s="18"/>
      <c r="C355" s="19"/>
      <c r="D355" s="20"/>
      <c r="E355" s="20"/>
      <c r="F355" s="20"/>
      <c r="G355" s="20" t="str">
        <f aca="false">IF(COUNTBLANK(D355:F355)=3,"",IF(OR(D355="Fail",E355="Fail",F355="Fail"),"Fail",IF(AND(D355="Pass",E355="Pass",F355="Pass"),"Pass","Incomplete")))</f>
        <v/>
      </c>
      <c r="H355" s="18"/>
      <c r="I355" s="18"/>
    </row>
    <row r="356" customFormat="false" ht="15.75" hidden="false" customHeight="true" outlineLevel="0" collapsed="false">
      <c r="A356" s="18"/>
      <c r="B356" s="18"/>
      <c r="C356" s="19"/>
      <c r="D356" s="20"/>
      <c r="E356" s="20"/>
      <c r="F356" s="20"/>
      <c r="G356" s="20" t="str">
        <f aca="false">IF(COUNTBLANK(D356:F356)=3,"",IF(OR(D356="Fail",E356="Fail",F356="Fail"),"Fail",IF(AND(D356="Pass",E356="Pass",F356="Pass"),"Pass","Incomplete")))</f>
        <v/>
      </c>
      <c r="H356" s="18"/>
      <c r="I356" s="18"/>
    </row>
    <row r="357" customFormat="false" ht="15.75" hidden="false" customHeight="true" outlineLevel="0" collapsed="false">
      <c r="A357" s="18"/>
      <c r="B357" s="18"/>
      <c r="C357" s="19"/>
      <c r="D357" s="20"/>
      <c r="E357" s="20"/>
      <c r="F357" s="20"/>
      <c r="G357" s="20" t="str">
        <f aca="false">IF(COUNTBLANK(D357:F357)=3,"",IF(OR(D357="Fail",E357="Fail",F357="Fail"),"Fail",IF(AND(D357="Pass",E357="Pass",F357="Pass"),"Pass","Incomplete")))</f>
        <v/>
      </c>
      <c r="H357" s="18"/>
      <c r="I357" s="18"/>
    </row>
    <row r="358" customFormat="false" ht="15.75" hidden="false" customHeight="true" outlineLevel="0" collapsed="false">
      <c r="A358" s="18"/>
      <c r="B358" s="18"/>
      <c r="C358" s="19"/>
      <c r="D358" s="20"/>
      <c r="E358" s="20"/>
      <c r="F358" s="20"/>
      <c r="G358" s="20" t="str">
        <f aca="false">IF(COUNTBLANK(D358:F358)=3,"",IF(OR(D358="Fail",E358="Fail",F358="Fail"),"Fail",IF(AND(D358="Pass",E358="Pass",F358="Pass"),"Pass","Incomplete")))</f>
        <v/>
      </c>
      <c r="H358" s="18"/>
      <c r="I358" s="18"/>
    </row>
    <row r="359" customFormat="false" ht="15.75" hidden="false" customHeight="true" outlineLevel="0" collapsed="false">
      <c r="A359" s="18"/>
      <c r="B359" s="18"/>
      <c r="C359" s="19"/>
      <c r="D359" s="20"/>
      <c r="E359" s="20"/>
      <c r="F359" s="20"/>
      <c r="G359" s="20" t="str">
        <f aca="false">IF(COUNTBLANK(D359:F359)=3,"",IF(OR(D359="Fail",E359="Fail",F359="Fail"),"Fail",IF(AND(D359="Pass",E359="Pass",F359="Pass"),"Pass","Incomplete")))</f>
        <v/>
      </c>
      <c r="H359" s="18"/>
      <c r="I359" s="18"/>
    </row>
    <row r="360" customFormat="false" ht="15.75" hidden="false" customHeight="true" outlineLevel="0" collapsed="false">
      <c r="A360" s="18"/>
      <c r="B360" s="18"/>
      <c r="C360" s="19"/>
      <c r="D360" s="20"/>
      <c r="E360" s="20"/>
      <c r="F360" s="20"/>
      <c r="G360" s="20" t="str">
        <f aca="false">IF(COUNTBLANK(D360:F360)=3,"",IF(OR(D360="Fail",E360="Fail",F360="Fail"),"Fail",IF(AND(D360="Pass",E360="Pass",F360="Pass"),"Pass","Incomplete")))</f>
        <v/>
      </c>
      <c r="H360" s="18"/>
      <c r="I360" s="18"/>
    </row>
    <row r="361" customFormat="false" ht="15.75" hidden="false" customHeight="true" outlineLevel="0" collapsed="false">
      <c r="A361" s="18"/>
      <c r="B361" s="18"/>
      <c r="C361" s="19"/>
      <c r="D361" s="20"/>
      <c r="E361" s="20"/>
      <c r="F361" s="20"/>
      <c r="G361" s="20" t="str">
        <f aca="false">IF(COUNTBLANK(D361:F361)=3,"",IF(OR(D361="Fail",E361="Fail",F361="Fail"),"Fail",IF(AND(D361="Pass",E361="Pass",F361="Pass"),"Pass","Incomplete")))</f>
        <v/>
      </c>
      <c r="H361" s="18"/>
      <c r="I361" s="18"/>
    </row>
    <row r="362" customFormat="false" ht="15.75" hidden="false" customHeight="true" outlineLevel="0" collapsed="false">
      <c r="A362" s="18"/>
      <c r="B362" s="18"/>
      <c r="C362" s="19"/>
      <c r="D362" s="20"/>
      <c r="E362" s="20"/>
      <c r="F362" s="20"/>
      <c r="G362" s="20" t="str">
        <f aca="false">IF(COUNTBLANK(D362:F362)=3,"",IF(OR(D362="Fail",E362="Fail",F362="Fail"),"Fail",IF(AND(D362="Pass",E362="Pass",F362="Pass"),"Pass","Incomplete")))</f>
        <v/>
      </c>
      <c r="H362" s="18"/>
      <c r="I362" s="18"/>
    </row>
    <row r="363" customFormat="false" ht="15.75" hidden="false" customHeight="true" outlineLevel="0" collapsed="false">
      <c r="A363" s="18"/>
      <c r="B363" s="18"/>
      <c r="C363" s="19"/>
      <c r="D363" s="20"/>
      <c r="E363" s="20"/>
      <c r="F363" s="20"/>
      <c r="G363" s="20" t="str">
        <f aca="false">IF(COUNTBLANK(D363:F363)=3,"",IF(OR(D363="Fail",E363="Fail",F363="Fail"),"Fail",IF(AND(D363="Pass",E363="Pass",F363="Pass"),"Pass","Incomplete")))</f>
        <v/>
      </c>
      <c r="H363" s="18"/>
      <c r="I363" s="18"/>
    </row>
    <row r="364" customFormat="false" ht="15.75" hidden="false" customHeight="true" outlineLevel="0" collapsed="false">
      <c r="A364" s="18"/>
      <c r="B364" s="18"/>
      <c r="C364" s="19"/>
      <c r="D364" s="20"/>
      <c r="E364" s="20"/>
      <c r="F364" s="20"/>
      <c r="G364" s="20" t="str">
        <f aca="false">IF(COUNTBLANK(D364:F364)=3,"",IF(OR(D364="Fail",E364="Fail",F364="Fail"),"Fail",IF(AND(D364="Pass",E364="Pass",F364="Pass"),"Pass","Incomplete")))</f>
        <v/>
      </c>
      <c r="H364" s="18"/>
      <c r="I364" s="18"/>
    </row>
    <row r="365" customFormat="false" ht="15.75" hidden="false" customHeight="true" outlineLevel="0" collapsed="false">
      <c r="A365" s="18"/>
      <c r="B365" s="18"/>
      <c r="C365" s="19"/>
      <c r="D365" s="20"/>
      <c r="E365" s="20"/>
      <c r="F365" s="20"/>
      <c r="G365" s="20" t="str">
        <f aca="false">IF(COUNTBLANK(D365:F365)=3,"",IF(OR(D365="Fail",E365="Fail",F365="Fail"),"Fail",IF(AND(D365="Pass",E365="Pass",F365="Pass"),"Pass","Incomplete")))</f>
        <v/>
      </c>
      <c r="H365" s="18"/>
      <c r="I365" s="18"/>
    </row>
    <row r="366" customFormat="false" ht="15.75" hidden="false" customHeight="true" outlineLevel="0" collapsed="false">
      <c r="A366" s="18"/>
      <c r="B366" s="18"/>
      <c r="C366" s="19"/>
      <c r="D366" s="20"/>
      <c r="E366" s="20"/>
      <c r="F366" s="20"/>
      <c r="G366" s="20" t="str">
        <f aca="false">IF(COUNTBLANK(D366:F366)=3,"",IF(OR(D366="Fail",E366="Fail",F366="Fail"),"Fail",IF(AND(D366="Pass",E366="Pass",F366="Pass"),"Pass","Incomplete")))</f>
        <v/>
      </c>
      <c r="H366" s="18"/>
      <c r="I366" s="18"/>
    </row>
    <row r="367" customFormat="false" ht="15.75" hidden="false" customHeight="true" outlineLevel="0" collapsed="false">
      <c r="A367" s="18"/>
      <c r="B367" s="18"/>
      <c r="C367" s="19"/>
      <c r="D367" s="20"/>
      <c r="E367" s="20"/>
      <c r="F367" s="20"/>
      <c r="G367" s="20" t="str">
        <f aca="false">IF(COUNTBLANK(D367:F367)=3,"",IF(OR(D367="Fail",E367="Fail",F367="Fail"),"Fail",IF(AND(D367="Pass",E367="Pass",F367="Pass"),"Pass","Incomplete")))</f>
        <v/>
      </c>
      <c r="H367" s="18"/>
      <c r="I367" s="18"/>
    </row>
    <row r="368" customFormat="false" ht="15.75" hidden="false" customHeight="true" outlineLevel="0" collapsed="false">
      <c r="A368" s="18"/>
      <c r="B368" s="18"/>
      <c r="C368" s="19"/>
      <c r="D368" s="20"/>
      <c r="E368" s="20"/>
      <c r="F368" s="20"/>
      <c r="G368" s="20" t="str">
        <f aca="false">IF(COUNTBLANK(D368:F368)=3,"",IF(OR(D368="Fail",E368="Fail",F368="Fail"),"Fail",IF(AND(D368="Pass",E368="Pass",F368="Pass"),"Pass","Incomplete")))</f>
        <v/>
      </c>
      <c r="H368" s="18"/>
      <c r="I368" s="18"/>
    </row>
    <row r="369" customFormat="false" ht="15.75" hidden="false" customHeight="true" outlineLevel="0" collapsed="false">
      <c r="A369" s="18"/>
      <c r="B369" s="18"/>
      <c r="C369" s="19"/>
      <c r="D369" s="20"/>
      <c r="E369" s="20"/>
      <c r="F369" s="20"/>
      <c r="G369" s="20" t="str">
        <f aca="false">IF(COUNTBLANK(D369:F369)=3,"",IF(OR(D369="Fail",E369="Fail",F369="Fail"),"Fail",IF(AND(D369="Pass",E369="Pass",F369="Pass"),"Pass","Incomplete")))</f>
        <v/>
      </c>
      <c r="H369" s="18"/>
      <c r="I369" s="18"/>
    </row>
    <row r="370" customFormat="false" ht="15.75" hidden="false" customHeight="true" outlineLevel="0" collapsed="false">
      <c r="A370" s="18"/>
      <c r="B370" s="18"/>
      <c r="C370" s="19"/>
      <c r="D370" s="20"/>
      <c r="E370" s="20"/>
      <c r="F370" s="20"/>
      <c r="G370" s="20" t="str">
        <f aca="false">IF(COUNTBLANK(D370:F370)=3,"",IF(OR(D370="Fail",E370="Fail",F370="Fail"),"Fail",IF(AND(D370="Pass",E370="Pass",F370="Pass"),"Pass","Incomplete")))</f>
        <v/>
      </c>
      <c r="H370" s="18"/>
      <c r="I370" s="18"/>
    </row>
    <row r="371" customFormat="false" ht="15.75" hidden="false" customHeight="true" outlineLevel="0" collapsed="false">
      <c r="A371" s="18"/>
      <c r="B371" s="18"/>
      <c r="C371" s="19"/>
      <c r="D371" s="20"/>
      <c r="E371" s="20"/>
      <c r="F371" s="20"/>
      <c r="G371" s="20" t="str">
        <f aca="false">IF(COUNTBLANK(D371:F371)=3,"",IF(OR(D371="Fail",E371="Fail",F371="Fail"),"Fail",IF(AND(D371="Pass",E371="Pass",F371="Pass"),"Pass","Incomplete")))</f>
        <v/>
      </c>
      <c r="H371" s="18"/>
      <c r="I371" s="18"/>
    </row>
    <row r="372" customFormat="false" ht="15.75" hidden="false" customHeight="true" outlineLevel="0" collapsed="false">
      <c r="A372" s="18"/>
      <c r="B372" s="18"/>
      <c r="C372" s="19"/>
      <c r="D372" s="20"/>
      <c r="E372" s="20"/>
      <c r="F372" s="20"/>
      <c r="G372" s="20" t="str">
        <f aca="false">IF(COUNTBLANK(D372:F372)=3,"",IF(OR(D372="Fail",E372="Fail",F372="Fail"),"Fail",IF(AND(D372="Pass",E372="Pass",F372="Pass"),"Pass","Incomplete")))</f>
        <v/>
      </c>
      <c r="H372" s="18"/>
      <c r="I372" s="18"/>
    </row>
    <row r="373" customFormat="false" ht="15.75" hidden="false" customHeight="true" outlineLevel="0" collapsed="false">
      <c r="A373" s="18"/>
      <c r="B373" s="18"/>
      <c r="C373" s="19"/>
      <c r="D373" s="20"/>
      <c r="E373" s="20"/>
      <c r="F373" s="20"/>
      <c r="G373" s="20" t="str">
        <f aca="false">IF(COUNTBLANK(D373:F373)=3,"",IF(OR(D373="Fail",E373="Fail",F373="Fail"),"Fail",IF(AND(D373="Pass",E373="Pass",F373="Pass"),"Pass","Incomplete")))</f>
        <v/>
      </c>
      <c r="H373" s="18"/>
      <c r="I373" s="18"/>
    </row>
    <row r="374" customFormat="false" ht="15.75" hidden="false" customHeight="true" outlineLevel="0" collapsed="false">
      <c r="A374" s="18"/>
      <c r="B374" s="18"/>
      <c r="C374" s="19"/>
      <c r="D374" s="20"/>
      <c r="E374" s="20"/>
      <c r="F374" s="20"/>
      <c r="G374" s="20" t="str">
        <f aca="false">IF(COUNTBLANK(D374:F374)=3,"",IF(OR(D374="Fail",E374="Fail",F374="Fail"),"Fail",IF(AND(D374="Pass",E374="Pass",F374="Pass"),"Pass","Incomplete")))</f>
        <v/>
      </c>
      <c r="H374" s="18"/>
      <c r="I374" s="18"/>
    </row>
    <row r="375" customFormat="false" ht="15.75" hidden="false" customHeight="true" outlineLevel="0" collapsed="false">
      <c r="A375" s="18"/>
      <c r="B375" s="18"/>
      <c r="C375" s="19"/>
      <c r="D375" s="20"/>
      <c r="E375" s="20"/>
      <c r="F375" s="20"/>
      <c r="G375" s="20" t="str">
        <f aca="false">IF(COUNTBLANK(D375:F375)=3,"",IF(OR(D375="Fail",E375="Fail",F375="Fail"),"Fail",IF(AND(D375="Pass",E375="Pass",F375="Pass"),"Pass","Incomplete")))</f>
        <v/>
      </c>
      <c r="H375" s="18"/>
      <c r="I375" s="18"/>
    </row>
    <row r="376" customFormat="false" ht="15.75" hidden="false" customHeight="true" outlineLevel="0" collapsed="false">
      <c r="A376" s="18"/>
      <c r="B376" s="18"/>
      <c r="C376" s="19"/>
      <c r="D376" s="20"/>
      <c r="E376" s="20"/>
      <c r="F376" s="20"/>
      <c r="G376" s="20" t="str">
        <f aca="false">IF(COUNTBLANK(D376:F376)=3,"",IF(OR(D376="Fail",E376="Fail",F376="Fail"),"Fail",IF(AND(D376="Pass",E376="Pass",F376="Pass"),"Pass","Incomplete")))</f>
        <v/>
      </c>
      <c r="H376" s="18"/>
      <c r="I376" s="18"/>
    </row>
    <row r="377" customFormat="false" ht="15.75" hidden="false" customHeight="true" outlineLevel="0" collapsed="false">
      <c r="A377" s="18"/>
      <c r="B377" s="18"/>
      <c r="C377" s="19"/>
      <c r="D377" s="20"/>
      <c r="E377" s="20"/>
      <c r="F377" s="20"/>
      <c r="G377" s="20" t="str">
        <f aca="false">IF(COUNTBLANK(D377:F377)=3,"",IF(OR(D377="Fail",E377="Fail",F377="Fail"),"Fail",IF(AND(D377="Pass",E377="Pass",F377="Pass"),"Pass","Incomplete")))</f>
        <v/>
      </c>
      <c r="H377" s="18"/>
      <c r="I377" s="18"/>
    </row>
    <row r="378" customFormat="false" ht="15.75" hidden="false" customHeight="true" outlineLevel="0" collapsed="false">
      <c r="A378" s="18"/>
      <c r="B378" s="18"/>
      <c r="C378" s="19"/>
      <c r="D378" s="20"/>
      <c r="E378" s="20"/>
      <c r="F378" s="20"/>
      <c r="G378" s="20" t="str">
        <f aca="false">IF(COUNTBLANK(D378:F378)=3,"",IF(OR(D378="Fail",E378="Fail",F378="Fail"),"Fail",IF(AND(D378="Pass",E378="Pass",F378="Pass"),"Pass","Incomplete")))</f>
        <v/>
      </c>
      <c r="H378" s="18"/>
      <c r="I378" s="18"/>
    </row>
    <row r="379" customFormat="false" ht="15.75" hidden="false" customHeight="true" outlineLevel="0" collapsed="false">
      <c r="A379" s="18"/>
      <c r="B379" s="18"/>
      <c r="C379" s="19"/>
      <c r="D379" s="20"/>
      <c r="E379" s="20"/>
      <c r="F379" s="20"/>
      <c r="G379" s="20" t="str">
        <f aca="false">IF(COUNTBLANK(D379:F379)=3,"",IF(OR(D379="Fail",E379="Fail",F379="Fail"),"Fail",IF(AND(D379="Pass",E379="Pass",F379="Pass"),"Pass","Incomplete")))</f>
        <v/>
      </c>
      <c r="H379" s="18"/>
      <c r="I379" s="18"/>
    </row>
    <row r="380" customFormat="false" ht="15.75" hidden="false" customHeight="true" outlineLevel="0" collapsed="false">
      <c r="A380" s="18"/>
      <c r="B380" s="18"/>
      <c r="C380" s="19"/>
      <c r="D380" s="20"/>
      <c r="E380" s="20"/>
      <c r="F380" s="20"/>
      <c r="G380" s="20" t="str">
        <f aca="false">IF(COUNTBLANK(D380:F380)=3,"",IF(OR(D380="Fail",E380="Fail",F380="Fail"),"Fail",IF(AND(D380="Pass",E380="Pass",F380="Pass"),"Pass","Incomplete")))</f>
        <v/>
      </c>
      <c r="H380" s="18"/>
      <c r="I380" s="18"/>
    </row>
    <row r="381" customFormat="false" ht="15.75" hidden="false" customHeight="true" outlineLevel="0" collapsed="false">
      <c r="A381" s="18"/>
      <c r="B381" s="18"/>
      <c r="C381" s="19"/>
      <c r="D381" s="20"/>
      <c r="E381" s="20"/>
      <c r="F381" s="20"/>
      <c r="G381" s="20" t="str">
        <f aca="false">IF(COUNTBLANK(D381:F381)=3,"",IF(OR(D381="Fail",E381="Fail",F381="Fail"),"Fail",IF(AND(D381="Pass",E381="Pass",F381="Pass"),"Pass","Incomplete")))</f>
        <v/>
      </c>
      <c r="H381" s="18"/>
      <c r="I381" s="18"/>
    </row>
    <row r="382" customFormat="false" ht="15.75" hidden="false" customHeight="true" outlineLevel="0" collapsed="false">
      <c r="A382" s="18"/>
      <c r="B382" s="18"/>
      <c r="C382" s="19"/>
      <c r="D382" s="20"/>
      <c r="E382" s="20"/>
      <c r="F382" s="20"/>
      <c r="G382" s="20" t="str">
        <f aca="false">IF(COUNTBLANK(D382:F382)=3,"",IF(OR(D382="Fail",E382="Fail",F382="Fail"),"Fail",IF(AND(D382="Pass",E382="Pass",F382="Pass"),"Pass","Incomplete")))</f>
        <v/>
      </c>
      <c r="H382" s="18"/>
      <c r="I382" s="18"/>
    </row>
    <row r="383" customFormat="false" ht="15.75" hidden="false" customHeight="true" outlineLevel="0" collapsed="false">
      <c r="A383" s="18"/>
      <c r="B383" s="18"/>
      <c r="C383" s="19"/>
      <c r="D383" s="20"/>
      <c r="E383" s="20"/>
      <c r="F383" s="20"/>
      <c r="G383" s="20" t="str">
        <f aca="false">IF(COUNTBLANK(D383:F383)=3,"",IF(OR(D383="Fail",E383="Fail",F383="Fail"),"Fail",IF(AND(D383="Pass",E383="Pass",F383="Pass"),"Pass","Incomplete")))</f>
        <v/>
      </c>
      <c r="H383" s="18"/>
      <c r="I383" s="18"/>
    </row>
    <row r="384" customFormat="false" ht="15.75" hidden="false" customHeight="true" outlineLevel="0" collapsed="false">
      <c r="A384" s="18"/>
      <c r="B384" s="18"/>
      <c r="C384" s="19"/>
      <c r="D384" s="20"/>
      <c r="E384" s="20"/>
      <c r="F384" s="20"/>
      <c r="G384" s="20" t="str">
        <f aca="false">IF(COUNTBLANK(D384:F384)=3,"",IF(OR(D384="Fail",E384="Fail",F384="Fail"),"Fail",IF(AND(D384="Pass",E384="Pass",F384="Pass"),"Pass","Incomplete")))</f>
        <v/>
      </c>
      <c r="H384" s="18"/>
      <c r="I384" s="18"/>
    </row>
    <row r="385" customFormat="false" ht="15.75" hidden="false" customHeight="true" outlineLevel="0" collapsed="false">
      <c r="A385" s="18"/>
      <c r="B385" s="18"/>
      <c r="C385" s="19"/>
      <c r="D385" s="20"/>
      <c r="E385" s="20"/>
      <c r="F385" s="20"/>
      <c r="G385" s="20" t="str">
        <f aca="false">IF(COUNTBLANK(D385:F385)=3,"",IF(OR(D385="Fail",E385="Fail",F385="Fail"),"Fail",IF(AND(D385="Pass",E385="Pass",F385="Pass"),"Pass","Incomplete")))</f>
        <v/>
      </c>
      <c r="H385" s="18"/>
      <c r="I385" s="18"/>
    </row>
    <row r="386" customFormat="false" ht="15.75" hidden="false" customHeight="true" outlineLevel="0" collapsed="false">
      <c r="A386" s="18"/>
      <c r="B386" s="18"/>
      <c r="C386" s="19"/>
      <c r="D386" s="20"/>
      <c r="E386" s="20"/>
      <c r="F386" s="20"/>
      <c r="G386" s="20" t="str">
        <f aca="false">IF(COUNTBLANK(D386:F386)=3,"",IF(OR(D386="Fail",E386="Fail",F386="Fail"),"Fail",IF(AND(D386="Pass",E386="Pass",F386="Pass"),"Pass","Incomplete")))</f>
        <v/>
      </c>
      <c r="H386" s="18"/>
      <c r="I386" s="18"/>
    </row>
    <row r="387" customFormat="false" ht="15.75" hidden="false" customHeight="true" outlineLevel="0" collapsed="false">
      <c r="A387" s="18"/>
      <c r="B387" s="18"/>
      <c r="C387" s="19"/>
      <c r="D387" s="20"/>
      <c r="E387" s="20"/>
      <c r="F387" s="20"/>
      <c r="G387" s="20" t="str">
        <f aca="false">IF(COUNTBLANK(D387:F387)=3,"",IF(OR(D387="Fail",E387="Fail",F387="Fail"),"Fail",IF(AND(D387="Pass",E387="Pass",F387="Pass"),"Pass","Incomplete")))</f>
        <v/>
      </c>
      <c r="H387" s="18"/>
      <c r="I387" s="18"/>
    </row>
    <row r="388" customFormat="false" ht="15.75" hidden="false" customHeight="true" outlineLevel="0" collapsed="false">
      <c r="A388" s="18"/>
      <c r="B388" s="18"/>
      <c r="C388" s="19"/>
      <c r="D388" s="20"/>
      <c r="E388" s="20"/>
      <c r="F388" s="20"/>
      <c r="G388" s="20" t="str">
        <f aca="false">IF(COUNTBLANK(D388:F388)=3,"",IF(OR(D388="Fail",E388="Fail",F388="Fail"),"Fail",IF(AND(D388="Pass",E388="Pass",F388="Pass"),"Pass","Incomplete")))</f>
        <v/>
      </c>
      <c r="H388" s="18"/>
      <c r="I388" s="18"/>
    </row>
    <row r="389" customFormat="false" ht="15.75" hidden="false" customHeight="true" outlineLevel="0" collapsed="false">
      <c r="A389" s="18"/>
      <c r="B389" s="18"/>
      <c r="C389" s="19"/>
      <c r="D389" s="20"/>
      <c r="E389" s="20"/>
      <c r="F389" s="20"/>
      <c r="G389" s="20" t="str">
        <f aca="false">IF(COUNTBLANK(D389:F389)=3,"",IF(OR(D389="Fail",E389="Fail",F389="Fail"),"Fail",IF(AND(D389="Pass",E389="Pass",F389="Pass"),"Pass","Incomplete")))</f>
        <v/>
      </c>
      <c r="H389" s="18"/>
      <c r="I389" s="18"/>
    </row>
    <row r="390" customFormat="false" ht="15.75" hidden="false" customHeight="true" outlineLevel="0" collapsed="false">
      <c r="A390" s="18"/>
      <c r="B390" s="18"/>
      <c r="C390" s="19"/>
      <c r="D390" s="20"/>
      <c r="E390" s="20"/>
      <c r="F390" s="20"/>
      <c r="G390" s="20" t="str">
        <f aca="false">IF(COUNTBLANK(D390:F390)=3,"",IF(OR(D390="Fail",E390="Fail",F390="Fail"),"Fail",IF(AND(D390="Pass",E390="Pass",F390="Pass"),"Pass","Incomplete")))</f>
        <v/>
      </c>
      <c r="H390" s="18"/>
      <c r="I390" s="18"/>
    </row>
    <row r="391" customFormat="false" ht="15.75" hidden="false" customHeight="true" outlineLevel="0" collapsed="false">
      <c r="A391" s="18"/>
      <c r="B391" s="18"/>
      <c r="C391" s="19"/>
      <c r="D391" s="20"/>
      <c r="E391" s="20"/>
      <c r="F391" s="20"/>
      <c r="G391" s="20" t="str">
        <f aca="false">IF(COUNTBLANK(D391:F391)=3,"",IF(OR(D391="Fail",E391="Fail",F391="Fail"),"Fail",IF(AND(D391="Pass",E391="Pass",F391="Pass"),"Pass","Incomplete")))</f>
        <v/>
      </c>
      <c r="H391" s="18"/>
      <c r="I391" s="18"/>
    </row>
    <row r="392" customFormat="false" ht="15.75" hidden="false" customHeight="true" outlineLevel="0" collapsed="false">
      <c r="A392" s="18"/>
      <c r="B392" s="18"/>
      <c r="C392" s="19"/>
      <c r="D392" s="20"/>
      <c r="E392" s="20"/>
      <c r="F392" s="20"/>
      <c r="G392" s="20" t="str">
        <f aca="false">IF(COUNTBLANK(D392:F392)=3,"",IF(OR(D392="Fail",E392="Fail",F392="Fail"),"Fail",IF(AND(D392="Pass",E392="Pass",F392="Pass"),"Pass","Incomplete")))</f>
        <v/>
      </c>
      <c r="H392" s="18"/>
      <c r="I392" s="18"/>
    </row>
    <row r="393" customFormat="false" ht="15.75" hidden="false" customHeight="true" outlineLevel="0" collapsed="false">
      <c r="A393" s="18"/>
      <c r="B393" s="18"/>
      <c r="C393" s="19"/>
      <c r="D393" s="20"/>
      <c r="E393" s="20"/>
      <c r="F393" s="20"/>
      <c r="G393" s="20" t="str">
        <f aca="false">IF(COUNTBLANK(D393:F393)=3,"",IF(OR(D393="Fail",E393="Fail",F393="Fail"),"Fail",IF(AND(D393="Pass",E393="Pass",F393="Pass"),"Pass","Incomplete")))</f>
        <v/>
      </c>
      <c r="H393" s="18"/>
      <c r="I393" s="18"/>
    </row>
    <row r="394" customFormat="false" ht="15.75" hidden="false" customHeight="true" outlineLevel="0" collapsed="false">
      <c r="A394" s="18"/>
      <c r="B394" s="18"/>
      <c r="C394" s="19"/>
      <c r="D394" s="20"/>
      <c r="E394" s="20"/>
      <c r="F394" s="20"/>
      <c r="G394" s="20" t="str">
        <f aca="false">IF(COUNTBLANK(D394:F394)=3,"",IF(OR(D394="Fail",E394="Fail",F394="Fail"),"Fail",IF(AND(D394="Pass",E394="Pass",F394="Pass"),"Pass","Incomplete")))</f>
        <v/>
      </c>
      <c r="H394" s="18"/>
      <c r="I394" s="18"/>
    </row>
    <row r="395" customFormat="false" ht="15.75" hidden="false" customHeight="true" outlineLevel="0" collapsed="false">
      <c r="A395" s="18"/>
      <c r="B395" s="18"/>
      <c r="C395" s="19"/>
      <c r="D395" s="20"/>
      <c r="E395" s="20"/>
      <c r="F395" s="20"/>
      <c r="G395" s="20" t="str">
        <f aca="false">IF(COUNTBLANK(D395:F395)=3,"",IF(OR(D395="Fail",E395="Fail",F395="Fail"),"Fail",IF(AND(D395="Pass",E395="Pass",F395="Pass"),"Pass","Incomplete")))</f>
        <v/>
      </c>
      <c r="H395" s="18"/>
      <c r="I395" s="18"/>
    </row>
    <row r="396" customFormat="false" ht="15.75" hidden="false" customHeight="true" outlineLevel="0" collapsed="false">
      <c r="A396" s="18"/>
      <c r="B396" s="18"/>
      <c r="C396" s="19"/>
      <c r="D396" s="20"/>
      <c r="E396" s="20"/>
      <c r="F396" s="20"/>
      <c r="G396" s="20" t="str">
        <f aca="false">IF(COUNTBLANK(D396:F396)=3,"",IF(OR(D396="Fail",E396="Fail",F396="Fail"),"Fail",IF(AND(D396="Pass",E396="Pass",F396="Pass"),"Pass","Incomplete")))</f>
        <v/>
      </c>
      <c r="H396" s="18"/>
      <c r="I396" s="18"/>
    </row>
    <row r="397" customFormat="false" ht="15.75" hidden="false" customHeight="true" outlineLevel="0" collapsed="false">
      <c r="A397" s="18"/>
      <c r="B397" s="18"/>
      <c r="C397" s="19"/>
      <c r="D397" s="20"/>
      <c r="E397" s="20"/>
      <c r="F397" s="20"/>
      <c r="G397" s="20" t="str">
        <f aca="false">IF(COUNTBLANK(D397:F397)=3,"",IF(OR(D397="Fail",E397="Fail",F397="Fail"),"Fail",IF(AND(D397="Pass",E397="Pass",F397="Pass"),"Pass","Incomplete")))</f>
        <v/>
      </c>
      <c r="H397" s="18"/>
      <c r="I397" s="18"/>
    </row>
    <row r="398" customFormat="false" ht="15.75" hidden="false" customHeight="true" outlineLevel="0" collapsed="false">
      <c r="A398" s="18"/>
      <c r="B398" s="18"/>
      <c r="C398" s="19"/>
      <c r="D398" s="20"/>
      <c r="E398" s="20"/>
      <c r="F398" s="20"/>
      <c r="G398" s="20" t="str">
        <f aca="false">IF(COUNTBLANK(D398:F398)=3,"",IF(OR(D398="Fail",E398="Fail",F398="Fail"),"Fail",IF(AND(D398="Pass",E398="Pass",F398="Pass"),"Pass","Incomplete")))</f>
        <v/>
      </c>
      <c r="H398" s="18"/>
      <c r="I398" s="18"/>
    </row>
    <row r="399" customFormat="false" ht="15.75" hidden="false" customHeight="true" outlineLevel="0" collapsed="false">
      <c r="A399" s="18"/>
      <c r="B399" s="18"/>
      <c r="C399" s="19"/>
      <c r="D399" s="20"/>
      <c r="E399" s="20"/>
      <c r="F399" s="20"/>
      <c r="G399" s="20" t="str">
        <f aca="false">IF(COUNTBLANK(D399:F399)=3,"",IF(OR(D399="Fail",E399="Fail",F399="Fail"),"Fail",IF(AND(D399="Pass",E399="Pass",F399="Pass"),"Pass","Incomplete")))</f>
        <v/>
      </c>
      <c r="H399" s="18"/>
      <c r="I399" s="18"/>
    </row>
    <row r="400" customFormat="false" ht="15.75" hidden="false" customHeight="true" outlineLevel="0" collapsed="false">
      <c r="A400" s="18"/>
      <c r="B400" s="18"/>
      <c r="C400" s="19"/>
      <c r="D400" s="20"/>
      <c r="E400" s="20"/>
      <c r="F400" s="20"/>
      <c r="G400" s="20" t="str">
        <f aca="false">IF(COUNTBLANK(D400:F400)=3,"",IF(OR(D400="Fail",E400="Fail",F400="Fail"),"Fail",IF(AND(D400="Pass",E400="Pass",F400="Pass"),"Pass","Incomplete")))</f>
        <v/>
      </c>
      <c r="H400" s="18"/>
      <c r="I400" s="18"/>
    </row>
    <row r="401" customFormat="false" ht="15.75" hidden="false" customHeight="true" outlineLevel="0" collapsed="false">
      <c r="A401" s="18"/>
      <c r="B401" s="18"/>
      <c r="C401" s="19"/>
      <c r="D401" s="20"/>
      <c r="E401" s="20"/>
      <c r="F401" s="20"/>
      <c r="G401" s="20" t="str">
        <f aca="false">IF(COUNTBLANK(D401:F401)=3,"",IF(OR(D401="Fail",E401="Fail",F401="Fail"),"Fail",IF(AND(D401="Pass",E401="Pass",F401="Pass"),"Pass","Incomplete")))</f>
        <v/>
      </c>
      <c r="H401" s="18"/>
      <c r="I401" s="18"/>
    </row>
    <row r="402" customFormat="false" ht="15.75" hidden="false" customHeight="true" outlineLevel="0" collapsed="false">
      <c r="A402" s="18"/>
      <c r="B402" s="18"/>
      <c r="C402" s="19"/>
      <c r="D402" s="20"/>
      <c r="E402" s="20"/>
      <c r="F402" s="20"/>
      <c r="G402" s="20" t="str">
        <f aca="false">IF(COUNTBLANK(D402:F402)=3,"",IF(OR(D402="Fail",E402="Fail",F402="Fail"),"Fail",IF(AND(D402="Pass",E402="Pass",F402="Pass"),"Pass","Incomplete")))</f>
        <v/>
      </c>
      <c r="H402" s="18"/>
      <c r="I402" s="18"/>
    </row>
    <row r="403" customFormat="false" ht="15.75" hidden="false" customHeight="true" outlineLevel="0" collapsed="false">
      <c r="A403" s="18"/>
      <c r="B403" s="18"/>
      <c r="C403" s="19"/>
      <c r="D403" s="20"/>
      <c r="E403" s="20"/>
      <c r="F403" s="20"/>
      <c r="G403" s="20" t="str">
        <f aca="false">IF(COUNTBLANK(D403:F403)=3,"",IF(OR(D403="Fail",E403="Fail",F403="Fail"),"Fail",IF(AND(D403="Pass",E403="Pass",F403="Pass"),"Pass","Incomplete")))</f>
        <v/>
      </c>
      <c r="H403" s="18"/>
      <c r="I403" s="18"/>
    </row>
    <row r="404" customFormat="false" ht="15.75" hidden="false" customHeight="true" outlineLevel="0" collapsed="false">
      <c r="A404" s="18"/>
      <c r="B404" s="18"/>
      <c r="C404" s="19"/>
      <c r="D404" s="20"/>
      <c r="E404" s="20"/>
      <c r="F404" s="20"/>
      <c r="G404" s="20" t="str">
        <f aca="false">IF(COUNTBLANK(D404:F404)=3,"",IF(OR(D404="Fail",E404="Fail",F404="Fail"),"Fail",IF(AND(D404="Pass",E404="Pass",F404="Pass"),"Pass","Incomplete")))</f>
        <v/>
      </c>
      <c r="H404" s="18"/>
      <c r="I404" s="18"/>
    </row>
    <row r="405" customFormat="false" ht="15.75" hidden="false" customHeight="true" outlineLevel="0" collapsed="false">
      <c r="A405" s="18"/>
      <c r="B405" s="18"/>
      <c r="C405" s="19"/>
      <c r="D405" s="20"/>
      <c r="E405" s="20"/>
      <c r="F405" s="20"/>
      <c r="G405" s="20" t="str">
        <f aca="false">IF(COUNTBLANK(D405:F405)=3,"",IF(OR(D405="Fail",E405="Fail",F405="Fail"),"Fail",IF(AND(D405="Pass",E405="Pass",F405="Pass"),"Pass","Incomplete")))</f>
        <v/>
      </c>
      <c r="H405" s="18"/>
      <c r="I405" s="18"/>
    </row>
    <row r="406" customFormat="false" ht="15.75" hidden="false" customHeight="true" outlineLevel="0" collapsed="false">
      <c r="A406" s="18"/>
      <c r="B406" s="18"/>
      <c r="C406" s="19"/>
      <c r="D406" s="20"/>
      <c r="E406" s="20"/>
      <c r="F406" s="20"/>
      <c r="G406" s="20" t="str">
        <f aca="false">IF(COUNTBLANK(D406:F406)=3,"",IF(OR(D406="Fail",E406="Fail",F406="Fail"),"Fail",IF(AND(D406="Pass",E406="Pass",F406="Pass"),"Pass","Incomplete")))</f>
        <v/>
      </c>
      <c r="H406" s="18"/>
      <c r="I406" s="18"/>
    </row>
    <row r="407" customFormat="false" ht="15.75" hidden="false" customHeight="true" outlineLevel="0" collapsed="false">
      <c r="A407" s="18"/>
      <c r="B407" s="18"/>
      <c r="C407" s="19"/>
      <c r="D407" s="20"/>
      <c r="E407" s="20"/>
      <c r="F407" s="20"/>
      <c r="G407" s="20" t="str">
        <f aca="false">IF(COUNTBLANK(D407:F407)=3,"",IF(OR(D407="Fail",E407="Fail",F407="Fail"),"Fail",IF(AND(D407="Pass",E407="Pass",F407="Pass"),"Pass","Incomplete")))</f>
        <v/>
      </c>
      <c r="H407" s="18"/>
      <c r="I407" s="18"/>
    </row>
    <row r="408" customFormat="false" ht="15.75" hidden="false" customHeight="true" outlineLevel="0" collapsed="false">
      <c r="A408" s="18"/>
      <c r="B408" s="18"/>
      <c r="C408" s="19"/>
      <c r="D408" s="20"/>
      <c r="E408" s="20"/>
      <c r="F408" s="20"/>
      <c r="G408" s="20" t="str">
        <f aca="false">IF(COUNTBLANK(D408:F408)=3,"",IF(OR(D408="Fail",E408="Fail",F408="Fail"),"Fail",IF(AND(D408="Pass",E408="Pass",F408="Pass"),"Pass","Incomplete")))</f>
        <v/>
      </c>
      <c r="H408" s="18"/>
      <c r="I408" s="18"/>
    </row>
    <row r="409" customFormat="false" ht="15.75" hidden="false" customHeight="true" outlineLevel="0" collapsed="false">
      <c r="A409" s="18"/>
      <c r="B409" s="18"/>
      <c r="C409" s="19"/>
      <c r="D409" s="20"/>
      <c r="E409" s="20"/>
      <c r="F409" s="20"/>
      <c r="G409" s="20" t="str">
        <f aca="false">IF(COUNTBLANK(D409:F409)=3,"",IF(OR(D409="Fail",E409="Fail",F409="Fail"),"Fail",IF(AND(D409="Pass",E409="Pass",F409="Pass"),"Pass","Incomplete")))</f>
        <v/>
      </c>
      <c r="H409" s="18"/>
      <c r="I409" s="18"/>
    </row>
    <row r="410" customFormat="false" ht="15.75" hidden="false" customHeight="true" outlineLevel="0" collapsed="false">
      <c r="A410" s="18"/>
      <c r="B410" s="18"/>
      <c r="C410" s="19"/>
      <c r="D410" s="20"/>
      <c r="E410" s="20"/>
      <c r="F410" s="20"/>
      <c r="G410" s="20" t="str">
        <f aca="false">IF(COUNTBLANK(D410:F410)=3,"",IF(OR(D410="Fail",E410="Fail",F410="Fail"),"Fail",IF(AND(D410="Pass",E410="Pass",F410="Pass"),"Pass","Incomplete")))</f>
        <v/>
      </c>
      <c r="H410" s="18"/>
      <c r="I410" s="18"/>
    </row>
    <row r="411" customFormat="false" ht="15.75" hidden="false" customHeight="true" outlineLevel="0" collapsed="false">
      <c r="A411" s="18"/>
      <c r="B411" s="18"/>
      <c r="C411" s="19"/>
      <c r="D411" s="20"/>
      <c r="E411" s="20"/>
      <c r="F411" s="20"/>
      <c r="G411" s="20" t="str">
        <f aca="false">IF(COUNTBLANK(D411:F411)=3,"",IF(OR(D411="Fail",E411="Fail",F411="Fail"),"Fail",IF(AND(D411="Pass",E411="Pass",F411="Pass"),"Pass","Incomplete")))</f>
        <v/>
      </c>
      <c r="H411" s="18"/>
      <c r="I411" s="18"/>
    </row>
    <row r="412" customFormat="false" ht="15.75" hidden="false" customHeight="true" outlineLevel="0" collapsed="false">
      <c r="A412" s="18"/>
      <c r="B412" s="18"/>
      <c r="C412" s="19"/>
      <c r="D412" s="20"/>
      <c r="E412" s="20"/>
      <c r="F412" s="20"/>
      <c r="G412" s="20" t="str">
        <f aca="false">IF(COUNTBLANK(D412:F412)=3,"",IF(OR(D412="Fail",E412="Fail",F412="Fail"),"Fail",IF(AND(D412="Pass",E412="Pass",F412="Pass"),"Pass","Incomplete")))</f>
        <v/>
      </c>
      <c r="H412" s="18"/>
      <c r="I412" s="18"/>
    </row>
    <row r="413" customFormat="false" ht="15.75" hidden="false" customHeight="true" outlineLevel="0" collapsed="false">
      <c r="A413" s="18"/>
      <c r="B413" s="18"/>
      <c r="C413" s="19"/>
      <c r="D413" s="20"/>
      <c r="E413" s="20"/>
      <c r="F413" s="20"/>
      <c r="G413" s="20" t="str">
        <f aca="false">IF(COUNTBLANK(D413:F413)=3,"",IF(OR(D413="Fail",E413="Fail",F413="Fail"),"Fail",IF(AND(D413="Pass",E413="Pass",F413="Pass"),"Pass","Incomplete")))</f>
        <v/>
      </c>
      <c r="H413" s="18"/>
      <c r="I413" s="18"/>
    </row>
    <row r="414" customFormat="false" ht="15.75" hidden="false" customHeight="true" outlineLevel="0" collapsed="false">
      <c r="A414" s="18"/>
      <c r="B414" s="18"/>
      <c r="C414" s="19"/>
      <c r="D414" s="20"/>
      <c r="E414" s="20"/>
      <c r="F414" s="20"/>
      <c r="G414" s="20" t="str">
        <f aca="false">IF(COUNTBLANK(D414:F414)=3,"",IF(OR(D414="Fail",E414="Fail",F414="Fail"),"Fail",IF(AND(D414="Pass",E414="Pass",F414="Pass"),"Pass","Incomplete")))</f>
        <v/>
      </c>
      <c r="H414" s="18"/>
      <c r="I414" s="18"/>
    </row>
    <row r="415" customFormat="false" ht="15.75" hidden="false" customHeight="true" outlineLevel="0" collapsed="false">
      <c r="A415" s="18"/>
      <c r="B415" s="18"/>
      <c r="C415" s="19"/>
      <c r="D415" s="20"/>
      <c r="E415" s="20"/>
      <c r="F415" s="20"/>
      <c r="G415" s="20" t="str">
        <f aca="false">IF(COUNTBLANK(D415:F415)=3,"",IF(OR(D415="Fail",E415="Fail",F415="Fail"),"Fail",IF(AND(D415="Pass",E415="Pass",F415="Pass"),"Pass","Incomplete")))</f>
        <v/>
      </c>
      <c r="H415" s="18"/>
      <c r="I415" s="18"/>
    </row>
    <row r="416" customFormat="false" ht="15.75" hidden="false" customHeight="true" outlineLevel="0" collapsed="false">
      <c r="A416" s="18"/>
      <c r="B416" s="18"/>
      <c r="C416" s="19"/>
      <c r="D416" s="20"/>
      <c r="E416" s="20"/>
      <c r="F416" s="20"/>
      <c r="G416" s="20" t="str">
        <f aca="false">IF(COUNTBLANK(D416:F416)=3,"",IF(OR(D416="Fail",E416="Fail",F416="Fail"),"Fail",IF(AND(D416="Pass",E416="Pass",F416="Pass"),"Pass","Incomplete")))</f>
        <v/>
      </c>
      <c r="H416" s="18"/>
      <c r="I416" s="18"/>
    </row>
    <row r="417" customFormat="false" ht="15.75" hidden="false" customHeight="true" outlineLevel="0" collapsed="false">
      <c r="A417" s="18"/>
      <c r="B417" s="18"/>
      <c r="C417" s="19"/>
      <c r="D417" s="20"/>
      <c r="E417" s="20"/>
      <c r="F417" s="20"/>
      <c r="G417" s="20" t="str">
        <f aca="false">IF(COUNTBLANK(D417:F417)=3,"",IF(OR(D417="Fail",E417="Fail",F417="Fail"),"Fail",IF(AND(D417="Pass",E417="Pass",F417="Pass"),"Pass","Incomplete")))</f>
        <v/>
      </c>
      <c r="H417" s="18"/>
      <c r="I417" s="18"/>
    </row>
    <row r="418" customFormat="false" ht="15.75" hidden="false" customHeight="true" outlineLevel="0" collapsed="false">
      <c r="A418" s="18"/>
      <c r="B418" s="18"/>
      <c r="C418" s="19"/>
      <c r="D418" s="20"/>
      <c r="E418" s="20"/>
      <c r="F418" s="20"/>
      <c r="G418" s="20" t="str">
        <f aca="false">IF(COUNTBLANK(D418:F418)=3,"",IF(OR(D418="Fail",E418="Fail",F418="Fail"),"Fail",IF(AND(D418="Pass",E418="Pass",F418="Pass"),"Pass","Incomplete")))</f>
        <v/>
      </c>
      <c r="H418" s="18"/>
      <c r="I418" s="18"/>
    </row>
    <row r="419" customFormat="false" ht="15.75" hidden="false" customHeight="true" outlineLevel="0" collapsed="false">
      <c r="A419" s="18"/>
      <c r="B419" s="18"/>
      <c r="C419" s="19"/>
      <c r="D419" s="20"/>
      <c r="E419" s="20"/>
      <c r="F419" s="20"/>
      <c r="G419" s="20" t="str">
        <f aca="false">IF(COUNTBLANK(D419:F419)=3,"",IF(OR(D419="Fail",E419="Fail",F419="Fail"),"Fail",IF(AND(D419="Pass",E419="Pass",F419="Pass"),"Pass","Incomplete")))</f>
        <v/>
      </c>
      <c r="H419" s="18"/>
      <c r="I419" s="18"/>
    </row>
    <row r="420" customFormat="false" ht="15.75" hidden="false" customHeight="true" outlineLevel="0" collapsed="false">
      <c r="A420" s="18"/>
      <c r="B420" s="18"/>
      <c r="C420" s="19"/>
      <c r="D420" s="20"/>
      <c r="E420" s="20"/>
      <c r="F420" s="20"/>
      <c r="G420" s="20" t="str">
        <f aca="false">IF(COUNTBLANK(D420:F420)=3,"",IF(OR(D420="Fail",E420="Fail",F420="Fail"),"Fail",IF(AND(D420="Pass",E420="Pass",F420="Pass"),"Pass","Incomplete")))</f>
        <v/>
      </c>
      <c r="H420" s="18"/>
      <c r="I420" s="18"/>
    </row>
    <row r="421" customFormat="false" ht="15.75" hidden="false" customHeight="true" outlineLevel="0" collapsed="false">
      <c r="A421" s="18"/>
      <c r="B421" s="18"/>
      <c r="C421" s="19"/>
      <c r="D421" s="20"/>
      <c r="E421" s="20"/>
      <c r="F421" s="20"/>
      <c r="G421" s="20" t="str">
        <f aca="false">IF(COUNTBLANK(D421:F421)=3,"",IF(OR(D421="Fail",E421="Fail",F421="Fail"),"Fail",IF(AND(D421="Pass",E421="Pass",F421="Pass"),"Pass","Incomplete")))</f>
        <v/>
      </c>
      <c r="H421" s="18"/>
      <c r="I421" s="18"/>
    </row>
    <row r="422" customFormat="false" ht="15.75" hidden="false" customHeight="true" outlineLevel="0" collapsed="false">
      <c r="A422" s="18"/>
      <c r="B422" s="18"/>
      <c r="C422" s="19"/>
      <c r="D422" s="20"/>
      <c r="E422" s="20"/>
      <c r="F422" s="20"/>
      <c r="G422" s="20" t="str">
        <f aca="false">IF(COUNTBLANK(D422:F422)=3,"",IF(OR(D422="Fail",E422="Fail",F422="Fail"),"Fail",IF(AND(D422="Pass",E422="Pass",F422="Pass"),"Pass","Incomplete")))</f>
        <v/>
      </c>
      <c r="H422" s="18"/>
      <c r="I422" s="18"/>
    </row>
    <row r="423" customFormat="false" ht="15.75" hidden="false" customHeight="true" outlineLevel="0" collapsed="false">
      <c r="A423" s="18"/>
      <c r="B423" s="18"/>
      <c r="C423" s="19"/>
      <c r="D423" s="20"/>
      <c r="E423" s="20"/>
      <c r="F423" s="20"/>
      <c r="G423" s="20" t="str">
        <f aca="false">IF(COUNTBLANK(D423:F423)=3,"",IF(OR(D423="Fail",E423="Fail",F423="Fail"),"Fail",IF(AND(D423="Pass",E423="Pass",F423="Pass"),"Pass","Incomplete")))</f>
        <v/>
      </c>
      <c r="H423" s="18"/>
      <c r="I423" s="18"/>
    </row>
    <row r="424" customFormat="false" ht="15.75" hidden="false" customHeight="true" outlineLevel="0" collapsed="false">
      <c r="A424" s="18"/>
      <c r="B424" s="18"/>
      <c r="C424" s="19"/>
      <c r="D424" s="20"/>
      <c r="E424" s="20"/>
      <c r="F424" s="20"/>
      <c r="G424" s="20" t="str">
        <f aca="false">IF(COUNTBLANK(D424:F424)=3,"",IF(OR(D424="Fail",E424="Fail",F424="Fail"),"Fail",IF(AND(D424="Pass",E424="Pass",F424="Pass"),"Pass","Incomplete")))</f>
        <v/>
      </c>
      <c r="H424" s="18"/>
      <c r="I424" s="18"/>
    </row>
    <row r="425" customFormat="false" ht="15.75" hidden="false" customHeight="true" outlineLevel="0" collapsed="false">
      <c r="A425" s="18"/>
      <c r="B425" s="18"/>
      <c r="C425" s="19"/>
      <c r="D425" s="20"/>
      <c r="E425" s="20"/>
      <c r="F425" s="20"/>
      <c r="G425" s="20" t="str">
        <f aca="false">IF(COUNTBLANK(D425:F425)=3,"",IF(OR(D425="Fail",E425="Fail",F425="Fail"),"Fail",IF(AND(D425="Pass",E425="Pass",F425="Pass"),"Pass","Incomplete")))</f>
        <v/>
      </c>
      <c r="H425" s="18"/>
      <c r="I425" s="18"/>
    </row>
    <row r="426" customFormat="false" ht="15.75" hidden="false" customHeight="true" outlineLevel="0" collapsed="false">
      <c r="A426" s="18"/>
      <c r="B426" s="18"/>
      <c r="C426" s="19"/>
      <c r="D426" s="20"/>
      <c r="E426" s="20"/>
      <c r="F426" s="20"/>
      <c r="G426" s="20" t="str">
        <f aca="false">IF(COUNTBLANK(D426:F426)=3,"",IF(OR(D426="Fail",E426="Fail",F426="Fail"),"Fail",IF(AND(D426="Pass",E426="Pass",F426="Pass"),"Pass","Incomplete")))</f>
        <v/>
      </c>
      <c r="H426" s="18"/>
      <c r="I426" s="18"/>
    </row>
    <row r="427" customFormat="false" ht="15.75" hidden="false" customHeight="true" outlineLevel="0" collapsed="false">
      <c r="A427" s="18"/>
      <c r="B427" s="18"/>
      <c r="C427" s="19"/>
      <c r="D427" s="20"/>
      <c r="E427" s="20"/>
      <c r="F427" s="20"/>
      <c r="G427" s="20" t="str">
        <f aca="false">IF(COUNTBLANK(D427:F427)=3,"",IF(OR(D427="Fail",E427="Fail",F427="Fail"),"Fail",IF(AND(D427="Pass",E427="Pass",F427="Pass"),"Pass","Incomplete")))</f>
        <v/>
      </c>
      <c r="H427" s="18"/>
      <c r="I427" s="18"/>
    </row>
    <row r="428" customFormat="false" ht="15.75" hidden="false" customHeight="true" outlineLevel="0" collapsed="false">
      <c r="A428" s="18"/>
      <c r="B428" s="18"/>
      <c r="C428" s="19"/>
      <c r="D428" s="20"/>
      <c r="E428" s="20"/>
      <c r="F428" s="20"/>
      <c r="G428" s="20" t="str">
        <f aca="false">IF(COUNTBLANK(D428:F428)=3,"",IF(OR(D428="Fail",E428="Fail",F428="Fail"),"Fail",IF(AND(D428="Pass",E428="Pass",F428="Pass"),"Pass","Incomplete")))</f>
        <v/>
      </c>
      <c r="H428" s="18"/>
      <c r="I428" s="18"/>
    </row>
    <row r="429" customFormat="false" ht="15.75" hidden="false" customHeight="true" outlineLevel="0" collapsed="false">
      <c r="A429" s="18"/>
      <c r="B429" s="18"/>
      <c r="C429" s="19"/>
      <c r="D429" s="20"/>
      <c r="E429" s="20"/>
      <c r="F429" s="20"/>
      <c r="G429" s="20" t="str">
        <f aca="false">IF(COUNTBLANK(D429:F429)=3,"",IF(OR(D429="Fail",E429="Fail",F429="Fail"),"Fail",IF(AND(D429="Pass",E429="Pass",F429="Pass"),"Pass","Incomplete")))</f>
        <v/>
      </c>
      <c r="H429" s="18"/>
      <c r="I429" s="18"/>
    </row>
    <row r="430" customFormat="false" ht="15.75" hidden="false" customHeight="true" outlineLevel="0" collapsed="false">
      <c r="A430" s="18"/>
      <c r="B430" s="18"/>
      <c r="C430" s="19"/>
      <c r="D430" s="20"/>
      <c r="E430" s="20"/>
      <c r="F430" s="20"/>
      <c r="G430" s="20" t="str">
        <f aca="false">IF(COUNTBLANK(D430:F430)=3,"",IF(OR(D430="Fail",E430="Fail",F430="Fail"),"Fail",IF(AND(D430="Pass",E430="Pass",F430="Pass"),"Pass","Incomplete")))</f>
        <v/>
      </c>
      <c r="H430" s="18"/>
      <c r="I430" s="18"/>
    </row>
    <row r="431" customFormat="false" ht="15.75" hidden="false" customHeight="true" outlineLevel="0" collapsed="false">
      <c r="A431" s="18"/>
      <c r="B431" s="18"/>
      <c r="C431" s="19"/>
      <c r="D431" s="20"/>
      <c r="E431" s="20"/>
      <c r="F431" s="20"/>
      <c r="G431" s="20" t="str">
        <f aca="false">IF(COUNTBLANK(D431:F431)=3,"",IF(OR(D431="Fail",E431="Fail",F431="Fail"),"Fail",IF(AND(D431="Pass",E431="Pass",F431="Pass"),"Pass","Incomplete")))</f>
        <v/>
      </c>
      <c r="H431" s="18"/>
      <c r="I431" s="18"/>
    </row>
    <row r="432" customFormat="false" ht="15.75" hidden="false" customHeight="true" outlineLevel="0" collapsed="false">
      <c r="A432" s="18"/>
      <c r="B432" s="18"/>
      <c r="C432" s="19"/>
      <c r="D432" s="20"/>
      <c r="E432" s="20"/>
      <c r="F432" s="20"/>
      <c r="G432" s="20" t="str">
        <f aca="false">IF(COUNTBLANK(D432:F432)=3,"",IF(OR(D432="Fail",E432="Fail",F432="Fail"),"Fail",IF(AND(D432="Pass",E432="Pass",F432="Pass"),"Pass","Incomplete")))</f>
        <v/>
      </c>
      <c r="H432" s="18"/>
      <c r="I432" s="18"/>
    </row>
    <row r="433" customFormat="false" ht="15.75" hidden="false" customHeight="true" outlineLevel="0" collapsed="false">
      <c r="A433" s="18"/>
      <c r="B433" s="18"/>
      <c r="C433" s="19"/>
      <c r="D433" s="20"/>
      <c r="E433" s="20"/>
      <c r="F433" s="20"/>
      <c r="G433" s="20" t="str">
        <f aca="false">IF(COUNTBLANK(D433:F433)=3,"",IF(OR(D433="Fail",E433="Fail",F433="Fail"),"Fail",IF(AND(D433="Pass",E433="Pass",F433="Pass"),"Pass","Incomplete")))</f>
        <v/>
      </c>
      <c r="H433" s="18"/>
      <c r="I433" s="18"/>
    </row>
    <row r="434" customFormat="false" ht="15.75" hidden="false" customHeight="true" outlineLevel="0" collapsed="false">
      <c r="A434" s="18"/>
      <c r="B434" s="18"/>
      <c r="C434" s="19"/>
      <c r="D434" s="20"/>
      <c r="E434" s="20"/>
      <c r="F434" s="20"/>
      <c r="G434" s="20" t="str">
        <f aca="false">IF(COUNTBLANK(D434:F434)=3,"",IF(OR(D434="Fail",E434="Fail",F434="Fail"),"Fail",IF(AND(D434="Pass",E434="Pass",F434="Pass"),"Pass","Incomplete")))</f>
        <v/>
      </c>
      <c r="H434" s="18"/>
      <c r="I434" s="18"/>
    </row>
    <row r="435" customFormat="false" ht="15.75" hidden="false" customHeight="true" outlineLevel="0" collapsed="false">
      <c r="A435" s="18"/>
      <c r="B435" s="18"/>
      <c r="C435" s="19"/>
      <c r="D435" s="20"/>
      <c r="E435" s="20"/>
      <c r="F435" s="20"/>
      <c r="G435" s="20" t="str">
        <f aca="false">IF(COUNTBLANK(D435:F435)=3,"",IF(OR(D435="Fail",E435="Fail",F435="Fail"),"Fail",IF(AND(D435="Pass",E435="Pass",F435="Pass"),"Pass","Incomplete")))</f>
        <v/>
      </c>
      <c r="H435" s="18"/>
      <c r="I435" s="18"/>
    </row>
    <row r="436" customFormat="false" ht="15.75" hidden="false" customHeight="true" outlineLevel="0" collapsed="false">
      <c r="A436" s="18"/>
      <c r="B436" s="18"/>
      <c r="C436" s="19"/>
      <c r="D436" s="20"/>
      <c r="E436" s="20"/>
      <c r="F436" s="20"/>
      <c r="G436" s="20" t="str">
        <f aca="false">IF(COUNTBLANK(D436:F436)=3,"",IF(OR(D436="Fail",E436="Fail",F436="Fail"),"Fail",IF(AND(D436="Pass",E436="Pass",F436="Pass"),"Pass","Incomplete")))</f>
        <v/>
      </c>
      <c r="H436" s="18"/>
      <c r="I436" s="18"/>
    </row>
    <row r="437" customFormat="false" ht="15.75" hidden="false" customHeight="true" outlineLevel="0" collapsed="false">
      <c r="A437" s="18"/>
      <c r="B437" s="18"/>
      <c r="C437" s="19"/>
      <c r="D437" s="20"/>
      <c r="E437" s="20"/>
      <c r="F437" s="20"/>
      <c r="G437" s="20" t="str">
        <f aca="false">IF(COUNTBLANK(D437:F437)=3,"",IF(OR(D437="Fail",E437="Fail",F437="Fail"),"Fail",IF(AND(D437="Pass",E437="Pass",F437="Pass"),"Pass","Incomplete")))</f>
        <v/>
      </c>
      <c r="H437" s="18"/>
      <c r="I437" s="18"/>
    </row>
    <row r="438" customFormat="false" ht="15.75" hidden="false" customHeight="true" outlineLevel="0" collapsed="false">
      <c r="A438" s="18"/>
      <c r="B438" s="18"/>
      <c r="C438" s="19"/>
      <c r="D438" s="20"/>
      <c r="E438" s="20"/>
      <c r="F438" s="20"/>
      <c r="G438" s="20" t="str">
        <f aca="false">IF(COUNTBLANK(D438:F438)=3,"",IF(OR(D438="Fail",E438="Fail",F438="Fail"),"Fail",IF(AND(D438="Pass",E438="Pass",F438="Pass"),"Pass","Incomplete")))</f>
        <v/>
      </c>
      <c r="H438" s="18"/>
      <c r="I438" s="18"/>
    </row>
    <row r="439" customFormat="false" ht="15.75" hidden="false" customHeight="true" outlineLevel="0" collapsed="false">
      <c r="A439" s="18"/>
      <c r="B439" s="18"/>
      <c r="C439" s="19"/>
      <c r="D439" s="20"/>
      <c r="E439" s="20"/>
      <c r="F439" s="20"/>
      <c r="G439" s="20" t="str">
        <f aca="false">IF(COUNTBLANK(D439:F439)=3,"",IF(OR(D439="Fail",E439="Fail",F439="Fail"),"Fail",IF(AND(D439="Pass",E439="Pass",F439="Pass"),"Pass","Incomplete")))</f>
        <v/>
      </c>
      <c r="H439" s="18"/>
      <c r="I439" s="18"/>
    </row>
    <row r="440" customFormat="false" ht="15.75" hidden="false" customHeight="true" outlineLevel="0" collapsed="false">
      <c r="A440" s="18"/>
      <c r="B440" s="18"/>
      <c r="C440" s="19"/>
      <c r="D440" s="20"/>
      <c r="E440" s="20"/>
      <c r="F440" s="20"/>
      <c r="G440" s="20" t="str">
        <f aca="false">IF(COUNTBLANK(D440:F440)=3,"",IF(OR(D440="Fail",E440="Fail",F440="Fail"),"Fail",IF(AND(D440="Pass",E440="Pass",F440="Pass"),"Pass","Incomplete")))</f>
        <v/>
      </c>
      <c r="H440" s="18"/>
      <c r="I440" s="18"/>
    </row>
    <row r="441" customFormat="false" ht="15.75" hidden="false" customHeight="true" outlineLevel="0" collapsed="false">
      <c r="A441" s="18"/>
      <c r="B441" s="18"/>
      <c r="C441" s="19"/>
      <c r="D441" s="20"/>
      <c r="E441" s="20"/>
      <c r="F441" s="20"/>
      <c r="G441" s="20" t="str">
        <f aca="false">IF(COUNTBLANK(D441:F441)=3,"",IF(OR(D441="Fail",E441="Fail",F441="Fail"),"Fail",IF(AND(D441="Pass",E441="Pass",F441="Pass"),"Pass","Incomplete")))</f>
        <v/>
      </c>
      <c r="H441" s="18"/>
      <c r="I441" s="18"/>
    </row>
    <row r="442" customFormat="false" ht="15.75" hidden="false" customHeight="true" outlineLevel="0" collapsed="false">
      <c r="A442" s="18"/>
      <c r="B442" s="18"/>
      <c r="C442" s="19"/>
      <c r="D442" s="20"/>
      <c r="E442" s="20"/>
      <c r="F442" s="20"/>
      <c r="G442" s="20" t="str">
        <f aca="false">IF(COUNTBLANK(D442:F442)=3,"",IF(OR(D442="Fail",E442="Fail",F442="Fail"),"Fail",IF(AND(D442="Pass",E442="Pass",F442="Pass"),"Pass","Incomplete")))</f>
        <v/>
      </c>
      <c r="H442" s="18"/>
      <c r="I442" s="18"/>
    </row>
    <row r="443" customFormat="false" ht="15.75" hidden="false" customHeight="true" outlineLevel="0" collapsed="false">
      <c r="A443" s="18"/>
      <c r="B443" s="18"/>
      <c r="C443" s="19"/>
      <c r="D443" s="20"/>
      <c r="E443" s="20"/>
      <c r="F443" s="20"/>
      <c r="G443" s="20" t="str">
        <f aca="false">IF(COUNTBLANK(D443:F443)=3,"",IF(OR(D443="Fail",E443="Fail",F443="Fail"),"Fail",IF(AND(D443="Pass",E443="Pass",F443="Pass"),"Pass","Incomplete")))</f>
        <v/>
      </c>
      <c r="H443" s="18"/>
      <c r="I443" s="18"/>
    </row>
    <row r="444" customFormat="false" ht="15.75" hidden="false" customHeight="true" outlineLevel="0" collapsed="false">
      <c r="A444" s="18"/>
      <c r="B444" s="18"/>
      <c r="C444" s="19"/>
      <c r="D444" s="20"/>
      <c r="E444" s="20"/>
      <c r="F444" s="20"/>
      <c r="G444" s="20" t="str">
        <f aca="false">IF(COUNTBLANK(D444:F444)=3,"",IF(OR(D444="Fail",E444="Fail",F444="Fail"),"Fail",IF(AND(D444="Pass",E444="Pass",F444="Pass"),"Pass","Incomplete")))</f>
        <v/>
      </c>
      <c r="H444" s="18"/>
      <c r="I444" s="18"/>
    </row>
    <row r="445" customFormat="false" ht="15.75" hidden="false" customHeight="true" outlineLevel="0" collapsed="false">
      <c r="A445" s="18"/>
      <c r="B445" s="18"/>
      <c r="C445" s="19"/>
      <c r="D445" s="20"/>
      <c r="E445" s="20"/>
      <c r="F445" s="20"/>
      <c r="G445" s="20" t="str">
        <f aca="false">IF(COUNTBLANK(D445:F445)=3,"",IF(OR(D445="Fail",E445="Fail",F445="Fail"),"Fail",IF(AND(D445="Pass",E445="Pass",F445="Pass"),"Pass","Incomplete")))</f>
        <v/>
      </c>
      <c r="H445" s="18"/>
      <c r="I445" s="18"/>
    </row>
    <row r="446" customFormat="false" ht="15.75" hidden="false" customHeight="true" outlineLevel="0" collapsed="false">
      <c r="A446" s="18"/>
      <c r="B446" s="18"/>
      <c r="C446" s="19"/>
      <c r="D446" s="20"/>
      <c r="E446" s="20"/>
      <c r="F446" s="20"/>
      <c r="G446" s="20" t="str">
        <f aca="false">IF(COUNTBLANK(D446:F446)=3,"",IF(OR(D446="Fail",E446="Fail",F446="Fail"),"Fail",IF(AND(D446="Pass",E446="Pass",F446="Pass"),"Pass","Incomplete")))</f>
        <v/>
      </c>
      <c r="H446" s="18"/>
      <c r="I446" s="18"/>
    </row>
    <row r="447" customFormat="false" ht="15.75" hidden="false" customHeight="true" outlineLevel="0" collapsed="false">
      <c r="A447" s="18"/>
      <c r="B447" s="18"/>
      <c r="C447" s="19"/>
      <c r="D447" s="20"/>
      <c r="E447" s="20"/>
      <c r="F447" s="20"/>
      <c r="G447" s="20" t="str">
        <f aca="false">IF(COUNTBLANK(D447:F447)=3,"",IF(OR(D447="Fail",E447="Fail",F447="Fail"),"Fail",IF(AND(D447="Pass",E447="Pass",F447="Pass"),"Pass","Incomplete")))</f>
        <v/>
      </c>
      <c r="H447" s="18"/>
      <c r="I447" s="18"/>
    </row>
    <row r="448" customFormat="false" ht="15.75" hidden="false" customHeight="true" outlineLevel="0" collapsed="false">
      <c r="A448" s="18"/>
      <c r="B448" s="18"/>
      <c r="C448" s="19"/>
      <c r="D448" s="20"/>
      <c r="E448" s="20"/>
      <c r="F448" s="20"/>
      <c r="G448" s="20" t="str">
        <f aca="false">IF(COUNTBLANK(D448:F448)=3,"",IF(OR(D448="Fail",E448="Fail",F448="Fail"),"Fail",IF(AND(D448="Pass",E448="Pass",F448="Pass"),"Pass","Incomplete")))</f>
        <v/>
      </c>
      <c r="H448" s="18"/>
      <c r="I448" s="18"/>
    </row>
    <row r="449" customFormat="false" ht="15.75" hidden="false" customHeight="true" outlineLevel="0" collapsed="false">
      <c r="A449" s="18"/>
      <c r="B449" s="18"/>
      <c r="C449" s="19"/>
      <c r="D449" s="20"/>
      <c r="E449" s="20"/>
      <c r="F449" s="20"/>
      <c r="G449" s="20" t="str">
        <f aca="false">IF(COUNTBLANK(D449:F449)=3,"",IF(OR(D449="Fail",E449="Fail",F449="Fail"),"Fail",IF(AND(D449="Pass",E449="Pass",F449="Pass"),"Pass","Incomplete")))</f>
        <v/>
      </c>
      <c r="H449" s="18"/>
      <c r="I449" s="18"/>
    </row>
    <row r="450" customFormat="false" ht="15.75" hidden="false" customHeight="true" outlineLevel="0" collapsed="false">
      <c r="A450" s="18"/>
      <c r="B450" s="18"/>
      <c r="C450" s="19"/>
      <c r="D450" s="20"/>
      <c r="E450" s="20"/>
      <c r="F450" s="20"/>
      <c r="G450" s="20" t="str">
        <f aca="false">IF(COUNTBLANK(D450:F450)=3,"",IF(OR(D450="Fail",E450="Fail",F450="Fail"),"Fail",IF(AND(D450="Pass",E450="Pass",F450="Pass"),"Pass","Incomplete")))</f>
        <v/>
      </c>
      <c r="H450" s="18"/>
      <c r="I450" s="18"/>
    </row>
    <row r="451" customFormat="false" ht="15.75" hidden="false" customHeight="true" outlineLevel="0" collapsed="false">
      <c r="A451" s="18"/>
      <c r="B451" s="18"/>
      <c r="C451" s="19"/>
      <c r="D451" s="20"/>
      <c r="E451" s="20"/>
      <c r="F451" s="20"/>
      <c r="G451" s="20" t="str">
        <f aca="false">IF(COUNTBLANK(D451:F451)=3,"",IF(OR(D451="Fail",E451="Fail",F451="Fail"),"Fail",IF(AND(D451="Pass",E451="Pass",F451="Pass"),"Pass","Incomplete")))</f>
        <v/>
      </c>
      <c r="H451" s="18"/>
      <c r="I451" s="18"/>
    </row>
    <row r="452" customFormat="false" ht="15.75" hidden="false" customHeight="true" outlineLevel="0" collapsed="false">
      <c r="A452" s="18"/>
      <c r="B452" s="18"/>
      <c r="C452" s="19"/>
      <c r="D452" s="20"/>
      <c r="E452" s="20"/>
      <c r="F452" s="20"/>
      <c r="G452" s="20" t="str">
        <f aca="false">IF(COUNTBLANK(D452:F452)=3,"",IF(OR(D452="Fail",E452="Fail",F452="Fail"),"Fail",IF(AND(D452="Pass",E452="Pass",F452="Pass"),"Pass","Incomplete")))</f>
        <v/>
      </c>
      <c r="H452" s="18"/>
      <c r="I452" s="18"/>
    </row>
    <row r="453" customFormat="false" ht="15.75" hidden="false" customHeight="true" outlineLevel="0" collapsed="false">
      <c r="A453" s="18"/>
      <c r="B453" s="18"/>
      <c r="C453" s="19"/>
      <c r="D453" s="20"/>
      <c r="E453" s="20"/>
      <c r="F453" s="20"/>
      <c r="G453" s="20" t="str">
        <f aca="false">IF(COUNTBLANK(D453:F453)=3,"",IF(OR(D453="Fail",E453="Fail",F453="Fail"),"Fail",IF(AND(D453="Pass",E453="Pass",F453="Pass"),"Pass","Incomplete")))</f>
        <v/>
      </c>
      <c r="H453" s="18"/>
      <c r="I453" s="18"/>
    </row>
    <row r="454" customFormat="false" ht="15.75" hidden="false" customHeight="true" outlineLevel="0" collapsed="false">
      <c r="A454" s="18"/>
      <c r="B454" s="18"/>
      <c r="C454" s="19"/>
      <c r="D454" s="20"/>
      <c r="E454" s="20"/>
      <c r="F454" s="20"/>
      <c r="G454" s="20" t="str">
        <f aca="false">IF(COUNTBLANK(D454:F454)=3,"",IF(OR(D454="Fail",E454="Fail",F454="Fail"),"Fail",IF(AND(D454="Pass",E454="Pass",F454="Pass"),"Pass","Incomplete")))</f>
        <v/>
      </c>
      <c r="H454" s="18"/>
      <c r="I454" s="18"/>
    </row>
    <row r="455" customFormat="false" ht="15.75" hidden="false" customHeight="true" outlineLevel="0" collapsed="false">
      <c r="A455" s="18"/>
      <c r="B455" s="18"/>
      <c r="C455" s="19"/>
      <c r="D455" s="20"/>
      <c r="E455" s="20"/>
      <c r="F455" s="20"/>
      <c r="G455" s="20" t="str">
        <f aca="false">IF(COUNTBLANK(D455:F455)=3,"",IF(OR(D455="Fail",E455="Fail",F455="Fail"),"Fail",IF(AND(D455="Pass",E455="Pass",F455="Pass"),"Pass","Incomplete")))</f>
        <v/>
      </c>
      <c r="H455" s="18"/>
      <c r="I455" s="18"/>
    </row>
    <row r="456" customFormat="false" ht="15.75" hidden="false" customHeight="true" outlineLevel="0" collapsed="false">
      <c r="A456" s="18"/>
      <c r="B456" s="18"/>
      <c r="C456" s="19"/>
      <c r="D456" s="20"/>
      <c r="E456" s="20"/>
      <c r="F456" s="20"/>
      <c r="G456" s="20" t="str">
        <f aca="false">IF(COUNTBLANK(D456:F456)=3,"",IF(OR(D456="Fail",E456="Fail",F456="Fail"),"Fail",IF(AND(D456="Pass",E456="Pass",F456="Pass"),"Pass","Incomplete")))</f>
        <v/>
      </c>
      <c r="H456" s="18"/>
      <c r="I456" s="18"/>
    </row>
    <row r="457" customFormat="false" ht="15.75" hidden="false" customHeight="true" outlineLevel="0" collapsed="false">
      <c r="A457" s="18"/>
      <c r="B457" s="18"/>
      <c r="C457" s="19"/>
      <c r="D457" s="20"/>
      <c r="E457" s="20"/>
      <c r="F457" s="20"/>
      <c r="G457" s="20" t="str">
        <f aca="false">IF(COUNTBLANK(D457:F457)=3,"",IF(OR(D457="Fail",E457="Fail",F457="Fail"),"Fail",IF(AND(D457="Pass",E457="Pass",F457="Pass"),"Pass","Incomplete")))</f>
        <v/>
      </c>
      <c r="H457" s="18"/>
      <c r="I457" s="18"/>
    </row>
    <row r="458" customFormat="false" ht="15.75" hidden="false" customHeight="true" outlineLevel="0" collapsed="false">
      <c r="A458" s="18"/>
      <c r="B458" s="18"/>
      <c r="C458" s="19"/>
      <c r="D458" s="20"/>
      <c r="E458" s="20"/>
      <c r="F458" s="20"/>
      <c r="G458" s="20" t="str">
        <f aca="false">IF(COUNTBLANK(D458:F458)=3,"",IF(OR(D458="Fail",E458="Fail",F458="Fail"),"Fail",IF(AND(D458="Pass",E458="Pass",F458="Pass"),"Pass","Incomplete")))</f>
        <v/>
      </c>
      <c r="H458" s="18"/>
      <c r="I458" s="18"/>
    </row>
    <row r="459" customFormat="false" ht="15.75" hidden="false" customHeight="true" outlineLevel="0" collapsed="false">
      <c r="A459" s="18"/>
      <c r="B459" s="18"/>
      <c r="C459" s="19"/>
      <c r="D459" s="20"/>
      <c r="E459" s="20"/>
      <c r="F459" s="20"/>
      <c r="G459" s="20" t="str">
        <f aca="false">IF(COUNTBLANK(D459:F459)=3,"",IF(OR(D459="Fail",E459="Fail",F459="Fail"),"Fail",IF(AND(D459="Pass",E459="Pass",F459="Pass"),"Pass","Incomplete")))</f>
        <v/>
      </c>
      <c r="H459" s="18"/>
      <c r="I459" s="18"/>
    </row>
    <row r="460" customFormat="false" ht="15.75" hidden="false" customHeight="true" outlineLevel="0" collapsed="false">
      <c r="A460" s="18"/>
      <c r="B460" s="18"/>
      <c r="C460" s="19"/>
      <c r="D460" s="20"/>
      <c r="E460" s="20"/>
      <c r="F460" s="20"/>
      <c r="G460" s="20" t="str">
        <f aca="false">IF(COUNTBLANK(D460:F460)=3,"",IF(OR(D460="Fail",E460="Fail",F460="Fail"),"Fail",IF(AND(D460="Pass",E460="Pass",F460="Pass"),"Pass","Incomplete")))</f>
        <v/>
      </c>
      <c r="H460" s="18"/>
      <c r="I460" s="18"/>
    </row>
    <row r="461" customFormat="false" ht="15.75" hidden="false" customHeight="true" outlineLevel="0" collapsed="false">
      <c r="A461" s="18"/>
      <c r="B461" s="18"/>
      <c r="C461" s="19"/>
      <c r="D461" s="20"/>
      <c r="E461" s="20"/>
      <c r="F461" s="20"/>
      <c r="G461" s="20" t="str">
        <f aca="false">IF(COUNTBLANK(D461:F461)=3,"",IF(OR(D461="Fail",E461="Fail",F461="Fail"),"Fail",IF(AND(D461="Pass",E461="Pass",F461="Pass"),"Pass","Incomplete")))</f>
        <v/>
      </c>
      <c r="H461" s="18"/>
      <c r="I461" s="18"/>
    </row>
    <row r="462" customFormat="false" ht="15.75" hidden="false" customHeight="true" outlineLevel="0" collapsed="false">
      <c r="A462" s="18"/>
      <c r="B462" s="18"/>
      <c r="C462" s="19"/>
      <c r="D462" s="20"/>
      <c r="E462" s="20"/>
      <c r="F462" s="20"/>
      <c r="G462" s="20" t="str">
        <f aca="false">IF(COUNTBLANK(D462:F462)=3,"",IF(OR(D462="Fail",E462="Fail",F462="Fail"),"Fail",IF(AND(D462="Pass",E462="Pass",F462="Pass"),"Pass","Incomplete")))</f>
        <v/>
      </c>
      <c r="H462" s="18"/>
      <c r="I462" s="18"/>
    </row>
    <row r="463" customFormat="false" ht="15.75" hidden="false" customHeight="true" outlineLevel="0" collapsed="false">
      <c r="A463" s="18"/>
      <c r="B463" s="18"/>
      <c r="C463" s="19"/>
      <c r="D463" s="20"/>
      <c r="E463" s="20"/>
      <c r="F463" s="20"/>
      <c r="G463" s="20" t="str">
        <f aca="false">IF(COUNTBLANK(D463:F463)=3,"",IF(OR(D463="Fail",E463="Fail",F463="Fail"),"Fail",IF(AND(D463="Pass",E463="Pass",F463="Pass"),"Pass","Incomplete")))</f>
        <v/>
      </c>
      <c r="H463" s="18"/>
      <c r="I463" s="18"/>
    </row>
    <row r="464" customFormat="false" ht="15.75" hidden="false" customHeight="true" outlineLevel="0" collapsed="false">
      <c r="A464" s="18"/>
      <c r="B464" s="18"/>
      <c r="C464" s="19"/>
      <c r="D464" s="20"/>
      <c r="E464" s="20"/>
      <c r="F464" s="20"/>
      <c r="G464" s="20" t="str">
        <f aca="false">IF(COUNTBLANK(D464:F464)=3,"",IF(OR(D464="Fail",E464="Fail",F464="Fail"),"Fail",IF(AND(D464="Pass",E464="Pass",F464="Pass"),"Pass","Incomplete")))</f>
        <v/>
      </c>
      <c r="H464" s="18"/>
      <c r="I464" s="18"/>
    </row>
    <row r="465" customFormat="false" ht="15.75" hidden="false" customHeight="true" outlineLevel="0" collapsed="false">
      <c r="A465" s="18"/>
      <c r="B465" s="18"/>
      <c r="C465" s="19"/>
      <c r="D465" s="20"/>
      <c r="E465" s="20"/>
      <c r="F465" s="20"/>
      <c r="G465" s="20" t="str">
        <f aca="false">IF(COUNTBLANK(D465:F465)=3,"",IF(OR(D465="Fail",E465="Fail",F465="Fail"),"Fail",IF(AND(D465="Pass",E465="Pass",F465="Pass"),"Pass","Incomplete")))</f>
        <v/>
      </c>
      <c r="H465" s="18"/>
      <c r="I465" s="18"/>
    </row>
    <row r="466" customFormat="false" ht="15.75" hidden="false" customHeight="true" outlineLevel="0" collapsed="false">
      <c r="A466" s="18"/>
      <c r="B466" s="18"/>
      <c r="C466" s="19"/>
      <c r="D466" s="20"/>
      <c r="E466" s="20"/>
      <c r="F466" s="20"/>
      <c r="G466" s="20" t="str">
        <f aca="false">IF(COUNTBLANK(D466:F466)=3,"",IF(OR(D466="Fail",E466="Fail",F466="Fail"),"Fail",IF(AND(D466="Pass",E466="Pass",F466="Pass"),"Pass","Incomplete")))</f>
        <v/>
      </c>
      <c r="H466" s="18"/>
      <c r="I466" s="18"/>
    </row>
    <row r="467" customFormat="false" ht="15.75" hidden="false" customHeight="true" outlineLevel="0" collapsed="false">
      <c r="A467" s="18"/>
      <c r="B467" s="18"/>
      <c r="C467" s="19"/>
      <c r="D467" s="20"/>
      <c r="E467" s="20"/>
      <c r="F467" s="20"/>
      <c r="G467" s="20" t="str">
        <f aca="false">IF(COUNTBLANK(D467:F467)=3,"",IF(OR(D467="Fail",E467="Fail",F467="Fail"),"Fail",IF(AND(D467="Pass",E467="Pass",F467="Pass"),"Pass","Incomplete")))</f>
        <v/>
      </c>
      <c r="H467" s="18"/>
      <c r="I467" s="18"/>
    </row>
    <row r="468" customFormat="false" ht="15.75" hidden="false" customHeight="true" outlineLevel="0" collapsed="false">
      <c r="A468" s="18"/>
      <c r="B468" s="18"/>
      <c r="C468" s="19"/>
      <c r="D468" s="20"/>
      <c r="E468" s="20"/>
      <c r="F468" s="20"/>
      <c r="G468" s="20" t="str">
        <f aca="false">IF(COUNTBLANK(D468:F468)=3,"",IF(OR(D468="Fail",E468="Fail",F468="Fail"),"Fail",IF(AND(D468="Pass",E468="Pass",F468="Pass"),"Pass","Incomplete")))</f>
        <v/>
      </c>
      <c r="H468" s="18"/>
      <c r="I468" s="18"/>
    </row>
    <row r="469" customFormat="false" ht="15.75" hidden="false" customHeight="true" outlineLevel="0" collapsed="false">
      <c r="A469" s="18"/>
      <c r="B469" s="18"/>
      <c r="C469" s="19"/>
      <c r="D469" s="20"/>
      <c r="E469" s="20"/>
      <c r="F469" s="20"/>
      <c r="G469" s="20" t="str">
        <f aca="false">IF(COUNTBLANK(D469:F469)=3,"",IF(OR(D469="Fail",E469="Fail",F469="Fail"),"Fail",IF(AND(D469="Pass",E469="Pass",F469="Pass"),"Pass","Incomplete")))</f>
        <v/>
      </c>
      <c r="H469" s="18"/>
      <c r="I469" s="18"/>
    </row>
    <row r="470" customFormat="false" ht="15.75" hidden="false" customHeight="true" outlineLevel="0" collapsed="false">
      <c r="A470" s="18"/>
      <c r="B470" s="18"/>
      <c r="C470" s="19"/>
      <c r="D470" s="20"/>
      <c r="E470" s="20"/>
      <c r="F470" s="20"/>
      <c r="G470" s="20" t="str">
        <f aca="false">IF(COUNTBLANK(D470:F470)=3,"",IF(OR(D470="Fail",E470="Fail",F470="Fail"),"Fail",IF(AND(D470="Pass",E470="Pass",F470="Pass"),"Pass","Incomplete")))</f>
        <v/>
      </c>
      <c r="H470" s="18"/>
      <c r="I470" s="18"/>
    </row>
    <row r="471" customFormat="false" ht="15.75" hidden="false" customHeight="true" outlineLevel="0" collapsed="false">
      <c r="A471" s="18"/>
      <c r="B471" s="18"/>
      <c r="C471" s="19"/>
      <c r="D471" s="20"/>
      <c r="E471" s="20"/>
      <c r="F471" s="20"/>
      <c r="G471" s="20" t="str">
        <f aca="false">IF(COUNTBLANK(D471:F471)=3,"",IF(OR(D471="Fail",E471="Fail",F471="Fail"),"Fail",IF(AND(D471="Pass",E471="Pass",F471="Pass"),"Pass","Incomplete")))</f>
        <v/>
      </c>
      <c r="H471" s="18"/>
      <c r="I471" s="18"/>
    </row>
    <row r="472" customFormat="false" ht="15.75" hidden="false" customHeight="true" outlineLevel="0" collapsed="false">
      <c r="A472" s="18"/>
      <c r="B472" s="18"/>
      <c r="C472" s="19"/>
      <c r="D472" s="20"/>
      <c r="E472" s="20"/>
      <c r="F472" s="20"/>
      <c r="G472" s="20" t="str">
        <f aca="false">IF(COUNTBLANK(D472:F472)=3,"",IF(OR(D472="Fail",E472="Fail",F472="Fail"),"Fail",IF(AND(D472="Pass",E472="Pass",F472="Pass"),"Pass","Incomplete")))</f>
        <v/>
      </c>
      <c r="H472" s="18"/>
      <c r="I472" s="18"/>
    </row>
    <row r="473" customFormat="false" ht="15.75" hidden="false" customHeight="true" outlineLevel="0" collapsed="false">
      <c r="A473" s="18"/>
      <c r="B473" s="18"/>
      <c r="C473" s="19"/>
      <c r="D473" s="20"/>
      <c r="E473" s="20"/>
      <c r="F473" s="20"/>
      <c r="G473" s="20" t="str">
        <f aca="false">IF(COUNTBLANK(D473:F473)=3,"",IF(OR(D473="Fail",E473="Fail",F473="Fail"),"Fail",IF(AND(D473="Pass",E473="Pass",F473="Pass"),"Pass","Incomplete")))</f>
        <v/>
      </c>
      <c r="H473" s="18"/>
      <c r="I473" s="18"/>
    </row>
    <row r="474" customFormat="false" ht="15.75" hidden="false" customHeight="true" outlineLevel="0" collapsed="false">
      <c r="A474" s="18"/>
      <c r="B474" s="18"/>
      <c r="C474" s="19"/>
      <c r="D474" s="20"/>
      <c r="E474" s="20"/>
      <c r="F474" s="20"/>
      <c r="G474" s="20" t="str">
        <f aca="false">IF(COUNTBLANK(D474:F474)=3,"",IF(OR(D474="Fail",E474="Fail",F474="Fail"),"Fail",IF(AND(D474="Pass",E474="Pass",F474="Pass"),"Pass","Incomplete")))</f>
        <v/>
      </c>
      <c r="H474" s="18"/>
      <c r="I474" s="18"/>
    </row>
    <row r="475" customFormat="false" ht="15.75" hidden="false" customHeight="true" outlineLevel="0" collapsed="false">
      <c r="A475" s="18"/>
      <c r="B475" s="18"/>
      <c r="C475" s="19"/>
      <c r="D475" s="20"/>
      <c r="E475" s="20"/>
      <c r="F475" s="20"/>
      <c r="G475" s="20" t="str">
        <f aca="false">IF(COUNTBLANK(D475:F475)=3,"",IF(OR(D475="Fail",E475="Fail",F475="Fail"),"Fail",IF(AND(D475="Pass",E475="Pass",F475="Pass"),"Pass","Incomplete")))</f>
        <v/>
      </c>
      <c r="H475" s="18"/>
      <c r="I475" s="18"/>
    </row>
    <row r="476" customFormat="false" ht="15.75" hidden="false" customHeight="true" outlineLevel="0" collapsed="false">
      <c r="A476" s="18"/>
      <c r="B476" s="18"/>
      <c r="C476" s="19"/>
      <c r="D476" s="20"/>
      <c r="E476" s="20"/>
      <c r="F476" s="20"/>
      <c r="G476" s="20" t="str">
        <f aca="false">IF(COUNTBLANK(D476:F476)=3,"",IF(OR(D476="Fail",E476="Fail",F476="Fail"),"Fail",IF(AND(D476="Pass",E476="Pass",F476="Pass"),"Pass","Incomplete")))</f>
        <v/>
      </c>
      <c r="H476" s="18"/>
      <c r="I476" s="18"/>
    </row>
    <row r="477" customFormat="false" ht="15.75" hidden="false" customHeight="true" outlineLevel="0" collapsed="false">
      <c r="A477" s="18"/>
      <c r="B477" s="18"/>
      <c r="C477" s="19"/>
      <c r="D477" s="20"/>
      <c r="E477" s="20"/>
      <c r="F477" s="20"/>
      <c r="G477" s="20" t="str">
        <f aca="false">IF(COUNTBLANK(D477:F477)=3,"",IF(OR(D477="Fail",E477="Fail",F477="Fail"),"Fail",IF(AND(D477="Pass",E477="Pass",F477="Pass"),"Pass","Incomplete")))</f>
        <v/>
      </c>
      <c r="H477" s="18"/>
      <c r="I477" s="18"/>
    </row>
    <row r="478" customFormat="false" ht="15.75" hidden="false" customHeight="true" outlineLevel="0" collapsed="false">
      <c r="A478" s="18"/>
      <c r="B478" s="18"/>
      <c r="C478" s="19"/>
      <c r="D478" s="20"/>
      <c r="E478" s="20"/>
      <c r="F478" s="20"/>
      <c r="G478" s="20" t="str">
        <f aca="false">IF(COUNTBLANK(D478:F478)=3,"",IF(OR(D478="Fail",E478="Fail",F478="Fail"),"Fail",IF(AND(D478="Pass",E478="Pass",F478="Pass"),"Pass","Incomplete")))</f>
        <v/>
      </c>
      <c r="H478" s="18"/>
      <c r="I478" s="18"/>
    </row>
    <row r="479" customFormat="false" ht="15.75" hidden="false" customHeight="true" outlineLevel="0" collapsed="false">
      <c r="A479" s="18"/>
      <c r="B479" s="18"/>
      <c r="C479" s="19"/>
      <c r="D479" s="20"/>
      <c r="E479" s="20"/>
      <c r="F479" s="20"/>
      <c r="G479" s="20" t="str">
        <f aca="false">IF(COUNTBLANK(D479:F479)=3,"",IF(OR(D479="Fail",E479="Fail",F479="Fail"),"Fail",IF(AND(D479="Pass",E479="Pass",F479="Pass"),"Pass","Incomplete")))</f>
        <v/>
      </c>
      <c r="H479" s="18"/>
      <c r="I479" s="18"/>
    </row>
    <row r="480" customFormat="false" ht="15.75" hidden="false" customHeight="true" outlineLevel="0" collapsed="false">
      <c r="A480" s="18"/>
      <c r="B480" s="18"/>
      <c r="C480" s="19"/>
      <c r="D480" s="20"/>
      <c r="E480" s="20"/>
      <c r="F480" s="20"/>
      <c r="G480" s="20" t="str">
        <f aca="false">IF(COUNTBLANK(D480:F480)=3,"",IF(OR(D480="Fail",E480="Fail",F480="Fail"),"Fail",IF(AND(D480="Pass",E480="Pass",F480="Pass"),"Pass","Incomplete")))</f>
        <v/>
      </c>
      <c r="H480" s="18"/>
      <c r="I480" s="18"/>
    </row>
    <row r="481" customFormat="false" ht="15.75" hidden="false" customHeight="true" outlineLevel="0" collapsed="false">
      <c r="A481" s="18"/>
      <c r="B481" s="18"/>
      <c r="C481" s="19"/>
      <c r="D481" s="20"/>
      <c r="E481" s="20"/>
      <c r="F481" s="20"/>
      <c r="G481" s="20" t="str">
        <f aca="false">IF(COUNTBLANK(D481:F481)=3,"",IF(OR(D481="Fail",E481="Fail",F481="Fail"),"Fail",IF(AND(D481="Pass",E481="Pass",F481="Pass"),"Pass","Incomplete")))</f>
        <v/>
      </c>
      <c r="H481" s="18"/>
      <c r="I481" s="18"/>
    </row>
    <row r="482" customFormat="false" ht="15.75" hidden="false" customHeight="true" outlineLevel="0" collapsed="false">
      <c r="A482" s="18"/>
      <c r="B482" s="18"/>
      <c r="C482" s="19"/>
      <c r="D482" s="20"/>
      <c r="E482" s="20"/>
      <c r="F482" s="20"/>
      <c r="G482" s="20" t="str">
        <f aca="false">IF(COUNTBLANK(D482:F482)=3,"",IF(OR(D482="Fail",E482="Fail",F482="Fail"),"Fail",IF(AND(D482="Pass",E482="Pass",F482="Pass"),"Pass","Incomplete")))</f>
        <v/>
      </c>
      <c r="H482" s="18"/>
      <c r="I482" s="18"/>
    </row>
    <row r="483" customFormat="false" ht="15.75" hidden="false" customHeight="true" outlineLevel="0" collapsed="false">
      <c r="A483" s="18"/>
      <c r="B483" s="18"/>
      <c r="C483" s="19"/>
      <c r="D483" s="20"/>
      <c r="E483" s="20"/>
      <c r="F483" s="20"/>
      <c r="G483" s="20" t="str">
        <f aca="false">IF(COUNTBLANK(D483:F483)=3,"",IF(OR(D483="Fail",E483="Fail",F483="Fail"),"Fail",IF(AND(D483="Pass",E483="Pass",F483="Pass"),"Pass","Incomplete")))</f>
        <v/>
      </c>
      <c r="H483" s="18"/>
      <c r="I483" s="18"/>
    </row>
    <row r="484" customFormat="false" ht="15.75" hidden="false" customHeight="true" outlineLevel="0" collapsed="false">
      <c r="A484" s="18"/>
      <c r="B484" s="18"/>
      <c r="C484" s="19"/>
      <c r="D484" s="20"/>
      <c r="E484" s="20"/>
      <c r="F484" s="20"/>
      <c r="G484" s="20" t="str">
        <f aca="false">IF(COUNTBLANK(D484:F484)=3,"",IF(OR(D484="Fail",E484="Fail",F484="Fail"),"Fail",IF(AND(D484="Pass",E484="Pass",F484="Pass"),"Pass","Incomplete")))</f>
        <v/>
      </c>
      <c r="H484" s="18"/>
      <c r="I484" s="18"/>
    </row>
    <row r="485" customFormat="false" ht="15.75" hidden="false" customHeight="true" outlineLevel="0" collapsed="false">
      <c r="A485" s="18"/>
      <c r="B485" s="18"/>
      <c r="C485" s="19"/>
      <c r="D485" s="20"/>
      <c r="E485" s="20"/>
      <c r="F485" s="20"/>
      <c r="G485" s="20" t="str">
        <f aca="false">IF(COUNTBLANK(D485:F485)=3,"",IF(OR(D485="Fail",E485="Fail",F485="Fail"),"Fail",IF(AND(D485="Pass",E485="Pass",F485="Pass"),"Pass","Incomplete")))</f>
        <v/>
      </c>
      <c r="H485" s="18"/>
      <c r="I485" s="18"/>
    </row>
    <row r="486" customFormat="false" ht="15.75" hidden="false" customHeight="true" outlineLevel="0" collapsed="false">
      <c r="A486" s="18"/>
      <c r="B486" s="18"/>
      <c r="C486" s="19"/>
      <c r="D486" s="20"/>
      <c r="E486" s="20"/>
      <c r="F486" s="20"/>
      <c r="G486" s="20" t="str">
        <f aca="false">IF(COUNTBLANK(D486:F486)=3,"",IF(OR(D486="Fail",E486="Fail",F486="Fail"),"Fail",IF(AND(D486="Pass",E486="Pass",F486="Pass"),"Pass","Incomplete")))</f>
        <v/>
      </c>
      <c r="H486" s="18"/>
      <c r="I486" s="18"/>
    </row>
    <row r="487" customFormat="false" ht="15.75" hidden="false" customHeight="true" outlineLevel="0" collapsed="false">
      <c r="A487" s="18"/>
      <c r="B487" s="18"/>
      <c r="C487" s="19"/>
      <c r="D487" s="20"/>
      <c r="E487" s="20"/>
      <c r="F487" s="20"/>
      <c r="G487" s="20" t="str">
        <f aca="false">IF(COUNTBLANK(D487:F487)=3,"",IF(OR(D487="Fail",E487="Fail",F487="Fail"),"Fail",IF(AND(D487="Pass",E487="Pass",F487="Pass"),"Pass","Incomplete")))</f>
        <v/>
      </c>
      <c r="H487" s="18"/>
      <c r="I487" s="18"/>
    </row>
    <row r="488" customFormat="false" ht="15.75" hidden="false" customHeight="true" outlineLevel="0" collapsed="false">
      <c r="A488" s="18"/>
      <c r="B488" s="18"/>
      <c r="C488" s="19"/>
      <c r="D488" s="20"/>
      <c r="E488" s="20"/>
      <c r="F488" s="20"/>
      <c r="G488" s="20" t="str">
        <f aca="false">IF(COUNTBLANK(D488:F488)=3,"",IF(OR(D488="Fail",E488="Fail",F488="Fail"),"Fail",IF(AND(D488="Pass",E488="Pass",F488="Pass"),"Pass","Incomplete")))</f>
        <v/>
      </c>
      <c r="H488" s="18"/>
      <c r="I488" s="18"/>
    </row>
    <row r="489" customFormat="false" ht="15.75" hidden="false" customHeight="true" outlineLevel="0" collapsed="false">
      <c r="A489" s="18"/>
      <c r="B489" s="18"/>
      <c r="C489" s="19"/>
      <c r="D489" s="20"/>
      <c r="E489" s="20"/>
      <c r="F489" s="20"/>
      <c r="G489" s="20" t="str">
        <f aca="false">IF(COUNTBLANK(D489:F489)=3,"",IF(OR(D489="Fail",E489="Fail",F489="Fail"),"Fail",IF(AND(D489="Pass",E489="Pass",F489="Pass"),"Pass","Incomplete")))</f>
        <v/>
      </c>
      <c r="H489" s="18"/>
      <c r="I489" s="18"/>
    </row>
    <row r="490" customFormat="false" ht="15.75" hidden="false" customHeight="true" outlineLevel="0" collapsed="false">
      <c r="A490" s="18"/>
      <c r="B490" s="18"/>
      <c r="C490" s="19"/>
      <c r="D490" s="20"/>
      <c r="E490" s="20"/>
      <c r="F490" s="20"/>
      <c r="G490" s="20" t="str">
        <f aca="false">IF(COUNTBLANK(D490:F490)=3,"",IF(OR(D490="Fail",E490="Fail",F490="Fail"),"Fail",IF(AND(D490="Pass",E490="Pass",F490="Pass"),"Pass","Incomplete")))</f>
        <v/>
      </c>
      <c r="H490" s="18"/>
      <c r="I490" s="18"/>
    </row>
    <row r="491" customFormat="false" ht="15.75" hidden="false" customHeight="true" outlineLevel="0" collapsed="false">
      <c r="A491" s="18"/>
      <c r="B491" s="18"/>
      <c r="C491" s="19"/>
      <c r="D491" s="20"/>
      <c r="E491" s="20"/>
      <c r="F491" s="20"/>
      <c r="G491" s="20" t="str">
        <f aca="false">IF(COUNTBLANK(D491:F491)=3,"",IF(OR(D491="Fail",E491="Fail",F491="Fail"),"Fail",IF(AND(D491="Pass",E491="Pass",F491="Pass"),"Pass","Incomplete")))</f>
        <v/>
      </c>
      <c r="H491" s="18"/>
      <c r="I491" s="18"/>
    </row>
    <row r="492" customFormat="false" ht="15.75" hidden="false" customHeight="true" outlineLevel="0" collapsed="false">
      <c r="A492" s="18"/>
      <c r="B492" s="18"/>
      <c r="C492" s="19"/>
      <c r="D492" s="20"/>
      <c r="E492" s="20"/>
      <c r="F492" s="20"/>
      <c r="G492" s="20" t="str">
        <f aca="false">IF(COUNTBLANK(D492:F492)=3,"",IF(OR(D492="Fail",E492="Fail",F492="Fail"),"Fail",IF(AND(D492="Pass",E492="Pass",F492="Pass"),"Pass","Incomplete")))</f>
        <v/>
      </c>
      <c r="H492" s="18"/>
      <c r="I492" s="18"/>
    </row>
    <row r="493" customFormat="false" ht="15.75" hidden="false" customHeight="true" outlineLevel="0" collapsed="false">
      <c r="A493" s="18"/>
      <c r="B493" s="18"/>
      <c r="C493" s="19"/>
      <c r="D493" s="20"/>
      <c r="E493" s="20"/>
      <c r="F493" s="20"/>
      <c r="G493" s="20" t="str">
        <f aca="false">IF(COUNTBLANK(D493:F493)=3,"",IF(OR(D493="Fail",E493="Fail",F493="Fail"),"Fail",IF(AND(D493="Pass",E493="Pass",F493="Pass"),"Pass","Incomplete")))</f>
        <v/>
      </c>
      <c r="H493" s="18"/>
      <c r="I493" s="18"/>
    </row>
    <row r="494" customFormat="false" ht="15.75" hidden="false" customHeight="true" outlineLevel="0" collapsed="false">
      <c r="A494" s="18"/>
      <c r="B494" s="18"/>
      <c r="C494" s="19"/>
      <c r="D494" s="20"/>
      <c r="E494" s="20"/>
      <c r="F494" s="20"/>
      <c r="G494" s="20" t="str">
        <f aca="false">IF(COUNTBLANK(D494:F494)=3,"",IF(OR(D494="Fail",E494="Fail",F494="Fail"),"Fail",IF(AND(D494="Pass",E494="Pass",F494="Pass"),"Pass","Incomplete")))</f>
        <v/>
      </c>
      <c r="H494" s="18"/>
      <c r="I494" s="18"/>
    </row>
    <row r="495" customFormat="false" ht="15.75" hidden="false" customHeight="true" outlineLevel="0" collapsed="false">
      <c r="A495" s="18"/>
      <c r="B495" s="18"/>
      <c r="C495" s="19"/>
      <c r="D495" s="20"/>
      <c r="E495" s="20"/>
      <c r="F495" s="20"/>
      <c r="G495" s="20" t="str">
        <f aca="false">IF(COUNTBLANK(D495:F495)=3,"",IF(OR(D495="Fail",E495="Fail",F495="Fail"),"Fail",IF(AND(D495="Pass",E495="Pass",F495="Pass"),"Pass","Incomplete")))</f>
        <v/>
      </c>
      <c r="H495" s="18"/>
      <c r="I495" s="18"/>
    </row>
    <row r="496" customFormat="false" ht="15.75" hidden="false" customHeight="true" outlineLevel="0" collapsed="false">
      <c r="A496" s="18"/>
      <c r="B496" s="18"/>
      <c r="C496" s="19"/>
      <c r="D496" s="20"/>
      <c r="E496" s="20"/>
      <c r="F496" s="20"/>
      <c r="G496" s="20" t="str">
        <f aca="false">IF(COUNTBLANK(D496:F496)=3,"",IF(OR(D496="Fail",E496="Fail",F496="Fail"),"Fail",IF(AND(D496="Pass",E496="Pass",F496="Pass"),"Pass","Incomplete")))</f>
        <v/>
      </c>
      <c r="H496" s="18"/>
      <c r="I496" s="18"/>
    </row>
    <row r="497" customFormat="false" ht="15.75" hidden="false" customHeight="true" outlineLevel="0" collapsed="false">
      <c r="A497" s="18"/>
      <c r="B497" s="18"/>
      <c r="C497" s="19"/>
      <c r="D497" s="20"/>
      <c r="E497" s="20"/>
      <c r="F497" s="20"/>
      <c r="G497" s="20" t="str">
        <f aca="false">IF(COUNTBLANK(D497:F497)=3,"",IF(OR(D497="Fail",E497="Fail",F497="Fail"),"Fail",IF(AND(D497="Pass",E497="Pass",F497="Pass"),"Pass","Incomplete")))</f>
        <v/>
      </c>
      <c r="H497" s="18"/>
      <c r="I497" s="18"/>
    </row>
    <row r="498" customFormat="false" ht="15.75" hidden="false" customHeight="true" outlineLevel="0" collapsed="false">
      <c r="A498" s="18"/>
      <c r="B498" s="18"/>
      <c r="C498" s="19"/>
      <c r="D498" s="20"/>
      <c r="E498" s="20"/>
      <c r="F498" s="20"/>
      <c r="G498" s="20" t="str">
        <f aca="false">IF(COUNTBLANK(D498:F498)=3,"",IF(OR(D498="Fail",E498="Fail",F498="Fail"),"Fail",IF(AND(D498="Pass",E498="Pass",F498="Pass"),"Pass","Incomplete")))</f>
        <v/>
      </c>
      <c r="H498" s="18"/>
      <c r="I498" s="18"/>
    </row>
    <row r="499" customFormat="false" ht="15.75" hidden="false" customHeight="true" outlineLevel="0" collapsed="false">
      <c r="A499" s="18"/>
      <c r="B499" s="18"/>
      <c r="C499" s="19"/>
      <c r="D499" s="20"/>
      <c r="E499" s="20"/>
      <c r="F499" s="20"/>
      <c r="G499" s="20" t="str">
        <f aca="false">IF(COUNTBLANK(D499:F499)=3,"",IF(OR(D499="Fail",E499="Fail",F499="Fail"),"Fail",IF(AND(D499="Pass",E499="Pass",F499="Pass"),"Pass","Incomplete")))</f>
        <v/>
      </c>
      <c r="H499" s="18"/>
      <c r="I499" s="18"/>
    </row>
    <row r="500" customFormat="false" ht="15.75" hidden="false" customHeight="true" outlineLevel="0" collapsed="false">
      <c r="A500" s="18"/>
      <c r="B500" s="18"/>
      <c r="C500" s="19"/>
      <c r="D500" s="20"/>
      <c r="E500" s="20"/>
      <c r="F500" s="20"/>
      <c r="G500" s="20" t="str">
        <f aca="false">IF(COUNTBLANK(D500:F500)=3,"",IF(OR(D500="Fail",E500="Fail",F500="Fail"),"Fail",IF(AND(D500="Pass",E500="Pass",F500="Pass"),"Pass","Incomplete")))</f>
        <v/>
      </c>
      <c r="H500" s="18"/>
      <c r="I500" s="18"/>
    </row>
    <row r="501" customFormat="false" ht="15.75" hidden="false" customHeight="true" outlineLevel="0" collapsed="false">
      <c r="A501" s="18"/>
      <c r="B501" s="18"/>
      <c r="C501" s="19"/>
      <c r="D501" s="20"/>
      <c r="E501" s="20"/>
      <c r="F501" s="20"/>
      <c r="G501" s="20" t="str">
        <f aca="false">IF(COUNTBLANK(D501:F501)=3,"",IF(OR(D501="Fail",E501="Fail",F501="Fail"),"Fail",IF(AND(D501="Pass",E501="Pass",F501="Pass"),"Pass","Incomplete")))</f>
        <v/>
      </c>
      <c r="H501" s="18"/>
      <c r="I501" s="18"/>
    </row>
    <row r="502" customFormat="false" ht="15.75" hidden="false" customHeight="true" outlineLevel="0" collapsed="false">
      <c r="A502" s="18"/>
      <c r="B502" s="18"/>
      <c r="C502" s="19"/>
      <c r="D502" s="20"/>
      <c r="E502" s="20"/>
      <c r="F502" s="20"/>
      <c r="G502" s="20" t="str">
        <f aca="false">IF(COUNTBLANK(D502:F502)=3,"",IF(OR(D502="Fail",E502="Fail",F502="Fail"),"Fail",IF(AND(D502="Pass",E502="Pass",F502="Pass"),"Pass","Incomplete")))</f>
        <v/>
      </c>
      <c r="H502" s="18"/>
      <c r="I502" s="18"/>
    </row>
    <row r="503" customFormat="false" ht="15.75" hidden="false" customHeight="true" outlineLevel="0" collapsed="false">
      <c r="A503" s="18"/>
      <c r="B503" s="18"/>
      <c r="C503" s="19"/>
      <c r="D503" s="20"/>
      <c r="E503" s="20"/>
      <c r="F503" s="20"/>
      <c r="G503" s="20" t="str">
        <f aca="false">IF(COUNTBLANK(D503:F503)=3,"",IF(OR(D503="Fail",E503="Fail",F503="Fail"),"Fail",IF(AND(D503="Pass",E503="Pass",F503="Pass"),"Pass","Incomplete")))</f>
        <v/>
      </c>
      <c r="H503" s="18"/>
      <c r="I503" s="18"/>
    </row>
    <row r="504" customFormat="false" ht="15.75" hidden="false" customHeight="true" outlineLevel="0" collapsed="false">
      <c r="A504" s="18"/>
      <c r="B504" s="18"/>
      <c r="C504" s="19"/>
      <c r="D504" s="20"/>
      <c r="E504" s="20"/>
      <c r="F504" s="20"/>
      <c r="G504" s="20" t="str">
        <f aca="false">IF(COUNTBLANK(D504:F504)=3,"",IF(OR(D504="Fail",E504="Fail",F504="Fail"),"Fail",IF(AND(D504="Pass",E504="Pass",F504="Pass"),"Pass","Incomplete")))</f>
        <v/>
      </c>
      <c r="H504" s="18"/>
      <c r="I504" s="18"/>
    </row>
    <row r="505" customFormat="false" ht="15.75" hidden="false" customHeight="true" outlineLevel="0" collapsed="false">
      <c r="A505" s="18"/>
      <c r="B505" s="18"/>
      <c r="C505" s="19"/>
      <c r="D505" s="20"/>
      <c r="E505" s="20"/>
      <c r="F505" s="20"/>
      <c r="G505" s="20" t="str">
        <f aca="false">IF(COUNTBLANK(D505:F505)=3,"",IF(OR(D505="Fail",E505="Fail",F505="Fail"),"Fail",IF(AND(D505="Pass",E505="Pass",F505="Pass"),"Pass","Incomplete")))</f>
        <v/>
      </c>
      <c r="H505" s="18"/>
      <c r="I505" s="18"/>
    </row>
    <row r="506" customFormat="false" ht="15.75" hidden="false" customHeight="true" outlineLevel="0" collapsed="false">
      <c r="A506" s="18"/>
      <c r="B506" s="18"/>
      <c r="C506" s="19"/>
      <c r="D506" s="20"/>
      <c r="E506" s="20"/>
      <c r="F506" s="20"/>
      <c r="G506" s="20" t="str">
        <f aca="false">IF(COUNTBLANK(D506:F506)=3,"",IF(OR(D506="Fail",E506="Fail",F506="Fail"),"Fail",IF(AND(D506="Pass",E506="Pass",F506="Pass"),"Pass","Incomplete")))</f>
        <v/>
      </c>
      <c r="H506" s="18"/>
      <c r="I506" s="18"/>
    </row>
    <row r="507" customFormat="false" ht="15.75" hidden="false" customHeight="true" outlineLevel="0" collapsed="false">
      <c r="A507" s="18"/>
      <c r="B507" s="18"/>
      <c r="C507" s="19"/>
      <c r="D507" s="20"/>
      <c r="E507" s="20"/>
      <c r="F507" s="20"/>
      <c r="G507" s="20" t="str">
        <f aca="false">IF(COUNTBLANK(D507:F507)=3,"",IF(OR(D507="Fail",E507="Fail",F507="Fail"),"Fail",IF(AND(D507="Pass",E507="Pass",F507="Pass"),"Pass","Incomplete")))</f>
        <v/>
      </c>
      <c r="H507" s="18"/>
      <c r="I507" s="18"/>
    </row>
    <row r="508" customFormat="false" ht="15.75" hidden="false" customHeight="true" outlineLevel="0" collapsed="false">
      <c r="A508" s="18"/>
      <c r="B508" s="18"/>
      <c r="C508" s="19"/>
      <c r="D508" s="20"/>
      <c r="E508" s="20"/>
      <c r="F508" s="20"/>
      <c r="G508" s="20" t="str">
        <f aca="false">IF(COUNTBLANK(D508:F508)=3,"",IF(OR(D508="Fail",E508="Fail",F508="Fail"),"Fail",IF(AND(D508="Pass",E508="Pass",F508="Pass"),"Pass","Incomplete")))</f>
        <v/>
      </c>
      <c r="H508" s="18"/>
      <c r="I508" s="18"/>
    </row>
    <row r="509" customFormat="false" ht="15.75" hidden="false" customHeight="true" outlineLevel="0" collapsed="false">
      <c r="A509" s="18"/>
      <c r="B509" s="18"/>
      <c r="C509" s="19"/>
      <c r="D509" s="20"/>
      <c r="E509" s="20"/>
      <c r="F509" s="20"/>
      <c r="G509" s="20" t="str">
        <f aca="false">IF(COUNTBLANK(D509:F509)=3,"",IF(OR(D509="Fail",E509="Fail",F509="Fail"),"Fail",IF(AND(D509="Pass",E509="Pass",F509="Pass"),"Pass","Incomplete")))</f>
        <v/>
      </c>
      <c r="H509" s="18"/>
      <c r="I509" s="18"/>
    </row>
    <row r="510" customFormat="false" ht="15.75" hidden="false" customHeight="true" outlineLevel="0" collapsed="false">
      <c r="A510" s="18"/>
      <c r="B510" s="18"/>
      <c r="C510" s="19"/>
      <c r="D510" s="20"/>
      <c r="E510" s="20"/>
      <c r="F510" s="20"/>
      <c r="G510" s="20" t="str">
        <f aca="false">IF(COUNTBLANK(D510:F510)=3,"",IF(OR(D510="Fail",E510="Fail",F510="Fail"),"Fail",IF(AND(D510="Pass",E510="Pass",F510="Pass"),"Pass","Incomplete")))</f>
        <v/>
      </c>
      <c r="H510" s="18"/>
      <c r="I510" s="18"/>
    </row>
    <row r="511" customFormat="false" ht="15.75" hidden="false" customHeight="true" outlineLevel="0" collapsed="false">
      <c r="A511" s="18"/>
      <c r="B511" s="18"/>
      <c r="C511" s="19"/>
      <c r="D511" s="20"/>
      <c r="E511" s="20"/>
      <c r="F511" s="20"/>
      <c r="G511" s="20" t="str">
        <f aca="false">IF(COUNTBLANK(D511:F511)=3,"",IF(OR(D511="Fail",E511="Fail",F511="Fail"),"Fail",IF(AND(D511="Pass",E511="Pass",F511="Pass"),"Pass","Incomplete")))</f>
        <v/>
      </c>
      <c r="H511" s="18"/>
      <c r="I511" s="18"/>
    </row>
    <row r="512" customFormat="false" ht="15.75" hidden="false" customHeight="true" outlineLevel="0" collapsed="false">
      <c r="A512" s="18"/>
      <c r="B512" s="18"/>
      <c r="C512" s="19"/>
      <c r="D512" s="20"/>
      <c r="E512" s="20"/>
      <c r="F512" s="20"/>
      <c r="G512" s="20" t="str">
        <f aca="false">IF(COUNTBLANK(D512:F512)=3,"",IF(OR(D512="Fail",E512="Fail",F512="Fail"),"Fail",IF(AND(D512="Pass",E512="Pass",F512="Pass"),"Pass","Incomplete")))</f>
        <v/>
      </c>
      <c r="H512" s="18"/>
      <c r="I512" s="18"/>
    </row>
    <row r="513" customFormat="false" ht="15.75" hidden="false" customHeight="true" outlineLevel="0" collapsed="false">
      <c r="A513" s="18"/>
      <c r="B513" s="18"/>
      <c r="C513" s="19"/>
      <c r="D513" s="20"/>
      <c r="E513" s="20"/>
      <c r="F513" s="20"/>
      <c r="G513" s="20" t="str">
        <f aca="false">IF(COUNTBLANK(D513:F513)=3,"",IF(OR(D513="Fail",E513="Fail",F513="Fail"),"Fail",IF(AND(D513="Pass",E513="Pass",F513="Pass"),"Pass","Incomplete")))</f>
        <v/>
      </c>
      <c r="H513" s="18"/>
      <c r="I513" s="18"/>
    </row>
    <row r="514" customFormat="false" ht="15.75" hidden="false" customHeight="true" outlineLevel="0" collapsed="false">
      <c r="A514" s="18"/>
      <c r="B514" s="18"/>
      <c r="C514" s="19"/>
      <c r="D514" s="20"/>
      <c r="E514" s="20"/>
      <c r="F514" s="20"/>
      <c r="G514" s="20" t="str">
        <f aca="false">IF(COUNTBLANK(D514:F514)=3,"",IF(OR(D514="Fail",E514="Fail",F514="Fail"),"Fail",IF(AND(D514="Pass",E514="Pass",F514="Pass"),"Pass","Incomplete")))</f>
        <v/>
      </c>
      <c r="H514" s="18"/>
      <c r="I514" s="18"/>
    </row>
    <row r="515" customFormat="false" ht="15.75" hidden="false" customHeight="true" outlineLevel="0" collapsed="false">
      <c r="A515" s="18"/>
      <c r="B515" s="18"/>
      <c r="C515" s="19"/>
      <c r="D515" s="20"/>
      <c r="E515" s="20"/>
      <c r="F515" s="20"/>
      <c r="G515" s="20" t="str">
        <f aca="false">IF(COUNTBLANK(D515:F515)=3,"",IF(OR(D515="Fail",E515="Fail",F515="Fail"),"Fail",IF(AND(D515="Pass",E515="Pass",F515="Pass"),"Pass","Incomplete")))</f>
        <v/>
      </c>
      <c r="H515" s="18"/>
      <c r="I515" s="18"/>
    </row>
    <row r="516" customFormat="false" ht="15.75" hidden="false" customHeight="true" outlineLevel="0" collapsed="false">
      <c r="A516" s="18"/>
      <c r="B516" s="18"/>
      <c r="C516" s="19"/>
      <c r="D516" s="20"/>
      <c r="E516" s="20"/>
      <c r="F516" s="20"/>
      <c r="G516" s="20" t="str">
        <f aca="false">IF(COUNTBLANK(D516:F516)=3,"",IF(OR(D516="Fail",E516="Fail",F516="Fail"),"Fail",IF(AND(D516="Pass",E516="Pass",F516="Pass"),"Pass","Incomplete")))</f>
        <v/>
      </c>
      <c r="H516" s="18"/>
      <c r="I516" s="18"/>
    </row>
    <row r="517" customFormat="false" ht="15.75" hidden="false" customHeight="true" outlineLevel="0" collapsed="false">
      <c r="A517" s="18"/>
      <c r="B517" s="18"/>
      <c r="C517" s="19"/>
      <c r="D517" s="20"/>
      <c r="E517" s="20"/>
      <c r="F517" s="20"/>
      <c r="G517" s="20" t="str">
        <f aca="false">IF(COUNTBLANK(D517:F517)=3,"",IF(OR(D517="Fail",E517="Fail",F517="Fail"),"Fail",IF(AND(D517="Pass",E517="Pass",F517="Pass"),"Pass","Incomplete")))</f>
        <v/>
      </c>
      <c r="H517" s="18"/>
      <c r="I517" s="18"/>
    </row>
    <row r="518" customFormat="false" ht="15.75" hidden="false" customHeight="true" outlineLevel="0" collapsed="false">
      <c r="A518" s="18"/>
      <c r="B518" s="18"/>
      <c r="C518" s="19"/>
      <c r="D518" s="20"/>
      <c r="E518" s="20"/>
      <c r="F518" s="20"/>
      <c r="G518" s="20" t="str">
        <f aca="false">IF(COUNTBLANK(D518:F518)=3,"",IF(OR(D518="Fail",E518="Fail",F518="Fail"),"Fail",IF(AND(D518="Pass",E518="Pass",F518="Pass"),"Pass","Incomplete")))</f>
        <v/>
      </c>
      <c r="H518" s="18"/>
      <c r="I518" s="18"/>
    </row>
    <row r="519" customFormat="false" ht="15.75" hidden="false" customHeight="true" outlineLevel="0" collapsed="false">
      <c r="A519" s="18"/>
      <c r="B519" s="18"/>
      <c r="C519" s="19"/>
      <c r="D519" s="20"/>
      <c r="E519" s="20"/>
      <c r="F519" s="20"/>
      <c r="G519" s="20" t="str">
        <f aca="false">IF(COUNTBLANK(D519:F519)=3,"",IF(OR(D519="Fail",E519="Fail",F519="Fail"),"Fail",IF(AND(D519="Pass",E519="Pass",F519="Pass"),"Pass","Incomplete")))</f>
        <v/>
      </c>
      <c r="H519" s="18"/>
      <c r="I519" s="18"/>
    </row>
    <row r="520" customFormat="false" ht="15.75" hidden="false" customHeight="true" outlineLevel="0" collapsed="false">
      <c r="A520" s="18"/>
      <c r="B520" s="18"/>
      <c r="C520" s="19"/>
      <c r="D520" s="20"/>
      <c r="E520" s="20"/>
      <c r="F520" s="20"/>
      <c r="G520" s="20" t="str">
        <f aca="false">IF(COUNTBLANK(D520:F520)=3,"",IF(OR(D520="Fail",E520="Fail",F520="Fail"),"Fail",IF(AND(D520="Pass",E520="Pass",F520="Pass"),"Pass","Incomplete")))</f>
        <v/>
      </c>
      <c r="H520" s="18"/>
      <c r="I520" s="18"/>
    </row>
    <row r="521" customFormat="false" ht="15.75" hidden="false" customHeight="true" outlineLevel="0" collapsed="false">
      <c r="A521" s="18"/>
      <c r="B521" s="18"/>
      <c r="C521" s="19"/>
      <c r="D521" s="20"/>
      <c r="E521" s="20"/>
      <c r="F521" s="20"/>
      <c r="G521" s="20" t="str">
        <f aca="false">IF(COUNTBLANK(D521:F521)=3,"",IF(OR(D521="Fail",E521="Fail",F521="Fail"),"Fail",IF(AND(D521="Pass",E521="Pass",F521="Pass"),"Pass","Incomplete")))</f>
        <v/>
      </c>
      <c r="H521" s="18"/>
      <c r="I521" s="18"/>
    </row>
    <row r="522" customFormat="false" ht="15.75" hidden="false" customHeight="true" outlineLevel="0" collapsed="false">
      <c r="A522" s="18"/>
      <c r="B522" s="18"/>
      <c r="C522" s="19"/>
      <c r="D522" s="20"/>
      <c r="E522" s="20"/>
      <c r="F522" s="20"/>
      <c r="G522" s="20" t="str">
        <f aca="false">IF(COUNTBLANK(D522:F522)=3,"",IF(OR(D522="Fail",E522="Fail",F522="Fail"),"Fail",IF(AND(D522="Pass",E522="Pass",F522="Pass"),"Pass","Incomplete")))</f>
        <v/>
      </c>
      <c r="H522" s="18"/>
      <c r="I522" s="18"/>
    </row>
    <row r="523" customFormat="false" ht="15.75" hidden="false" customHeight="true" outlineLevel="0" collapsed="false">
      <c r="A523" s="18"/>
      <c r="B523" s="18"/>
      <c r="C523" s="19"/>
      <c r="D523" s="20"/>
      <c r="E523" s="20"/>
      <c r="F523" s="20"/>
      <c r="G523" s="20" t="str">
        <f aca="false">IF(COUNTBLANK(D523:F523)=3,"",IF(OR(D523="Fail",E523="Fail",F523="Fail"),"Fail",IF(AND(D523="Pass",E523="Pass",F523="Pass"),"Pass","Incomplete")))</f>
        <v/>
      </c>
      <c r="H523" s="18"/>
      <c r="I523" s="18"/>
    </row>
    <row r="524" customFormat="false" ht="15.75" hidden="false" customHeight="true" outlineLevel="0" collapsed="false">
      <c r="A524" s="18"/>
      <c r="B524" s="18"/>
      <c r="C524" s="19"/>
      <c r="D524" s="20"/>
      <c r="E524" s="20"/>
      <c r="F524" s="20"/>
      <c r="G524" s="20" t="str">
        <f aca="false">IF(COUNTBLANK(D524:F524)=3,"",IF(OR(D524="Fail",E524="Fail",F524="Fail"),"Fail",IF(AND(D524="Pass",E524="Pass",F524="Pass"),"Pass","Incomplete")))</f>
        <v/>
      </c>
      <c r="H524" s="18"/>
      <c r="I524" s="18"/>
    </row>
    <row r="525" customFormat="false" ht="15.75" hidden="false" customHeight="true" outlineLevel="0" collapsed="false">
      <c r="A525" s="18"/>
      <c r="B525" s="18"/>
      <c r="C525" s="19"/>
      <c r="D525" s="20"/>
      <c r="E525" s="20"/>
      <c r="F525" s="20"/>
      <c r="G525" s="20" t="str">
        <f aca="false">IF(COUNTBLANK(D525:F525)=3,"",IF(OR(D525="Fail",E525="Fail",F525="Fail"),"Fail",IF(AND(D525="Pass",E525="Pass",F525="Pass"),"Pass","Incomplete")))</f>
        <v/>
      </c>
      <c r="H525" s="18"/>
      <c r="I525" s="18"/>
    </row>
    <row r="526" customFormat="false" ht="15.75" hidden="false" customHeight="true" outlineLevel="0" collapsed="false">
      <c r="A526" s="18"/>
      <c r="B526" s="18"/>
      <c r="C526" s="19"/>
      <c r="D526" s="20"/>
      <c r="E526" s="20"/>
      <c r="F526" s="20"/>
      <c r="G526" s="20" t="str">
        <f aca="false">IF(COUNTBLANK(D526:F526)=3,"",IF(OR(D526="Fail",E526="Fail",F526="Fail"),"Fail",IF(AND(D526="Pass",E526="Pass",F526="Pass"),"Pass","Incomplete")))</f>
        <v/>
      </c>
      <c r="H526" s="18"/>
      <c r="I526" s="18"/>
    </row>
    <row r="527" customFormat="false" ht="15.75" hidden="false" customHeight="true" outlineLevel="0" collapsed="false">
      <c r="A527" s="18"/>
      <c r="B527" s="18"/>
      <c r="C527" s="19"/>
      <c r="D527" s="20"/>
      <c r="E527" s="20"/>
      <c r="F527" s="20"/>
      <c r="G527" s="20" t="str">
        <f aca="false">IF(COUNTBLANK(D527:F527)=3,"",IF(OR(D527="Fail",E527="Fail",F527="Fail"),"Fail",IF(AND(D527="Pass",E527="Pass",F527="Pass"),"Pass","Incomplete")))</f>
        <v/>
      </c>
      <c r="H527" s="18"/>
      <c r="I527" s="18"/>
    </row>
    <row r="528" customFormat="false" ht="15.75" hidden="false" customHeight="true" outlineLevel="0" collapsed="false">
      <c r="A528" s="18"/>
      <c r="B528" s="18"/>
      <c r="C528" s="19"/>
      <c r="D528" s="20"/>
      <c r="E528" s="20"/>
      <c r="F528" s="20"/>
      <c r="G528" s="20" t="str">
        <f aca="false">IF(COUNTBLANK(D528:F528)=3,"",IF(OR(D528="Fail",E528="Fail",F528="Fail"),"Fail",IF(AND(D528="Pass",E528="Pass",F528="Pass"),"Pass","Incomplete")))</f>
        <v/>
      </c>
      <c r="H528" s="18"/>
      <c r="I528" s="18"/>
    </row>
    <row r="529" customFormat="false" ht="15.75" hidden="false" customHeight="true" outlineLevel="0" collapsed="false">
      <c r="A529" s="18"/>
      <c r="B529" s="18"/>
      <c r="C529" s="19"/>
      <c r="D529" s="20"/>
      <c r="E529" s="20"/>
      <c r="F529" s="20"/>
      <c r="G529" s="20" t="str">
        <f aca="false">IF(COUNTBLANK(D529:F529)=3,"",IF(OR(D529="Fail",E529="Fail",F529="Fail"),"Fail",IF(AND(D529="Pass",E529="Pass",F529="Pass"),"Pass","Incomplete")))</f>
        <v/>
      </c>
      <c r="H529" s="18"/>
      <c r="I529" s="18"/>
    </row>
    <row r="530" customFormat="false" ht="15.75" hidden="false" customHeight="true" outlineLevel="0" collapsed="false">
      <c r="A530" s="18"/>
      <c r="B530" s="18"/>
      <c r="C530" s="19"/>
      <c r="D530" s="20"/>
      <c r="E530" s="20"/>
      <c r="F530" s="20"/>
      <c r="G530" s="20" t="str">
        <f aca="false">IF(COUNTBLANK(D530:F530)=3,"",IF(OR(D530="Fail",E530="Fail",F530="Fail"),"Fail",IF(AND(D530="Pass",E530="Pass",F530="Pass"),"Pass","Incomplete")))</f>
        <v/>
      </c>
      <c r="H530" s="18"/>
      <c r="I530" s="18"/>
    </row>
    <row r="531" customFormat="false" ht="15.75" hidden="false" customHeight="true" outlineLevel="0" collapsed="false">
      <c r="A531" s="18"/>
      <c r="B531" s="18"/>
      <c r="C531" s="19"/>
      <c r="D531" s="20"/>
      <c r="E531" s="20"/>
      <c r="F531" s="20"/>
      <c r="G531" s="20" t="str">
        <f aca="false">IF(COUNTBLANK(D531:F531)=3,"",IF(OR(D531="Fail",E531="Fail",F531="Fail"),"Fail",IF(AND(D531="Pass",E531="Pass",F531="Pass"),"Pass","Incomplete")))</f>
        <v/>
      </c>
      <c r="H531" s="18"/>
      <c r="I531" s="18"/>
    </row>
    <row r="532" customFormat="false" ht="15.75" hidden="false" customHeight="true" outlineLevel="0" collapsed="false">
      <c r="A532" s="18"/>
      <c r="B532" s="18"/>
      <c r="C532" s="19"/>
      <c r="D532" s="20"/>
      <c r="E532" s="20"/>
      <c r="F532" s="20"/>
      <c r="G532" s="20" t="str">
        <f aca="false">IF(COUNTBLANK(D532:F532)=3,"",IF(OR(D532="Fail",E532="Fail",F532="Fail"),"Fail",IF(AND(D532="Pass",E532="Pass",F532="Pass"),"Pass","Incomplete")))</f>
        <v/>
      </c>
      <c r="H532" s="18"/>
      <c r="I532" s="18"/>
    </row>
    <row r="533" customFormat="false" ht="15.75" hidden="false" customHeight="true" outlineLevel="0" collapsed="false">
      <c r="A533" s="18"/>
      <c r="B533" s="18"/>
      <c r="C533" s="19"/>
      <c r="D533" s="20"/>
      <c r="E533" s="20"/>
      <c r="F533" s="20"/>
      <c r="G533" s="20" t="str">
        <f aca="false">IF(COUNTBLANK(D533:F533)=3,"",IF(OR(D533="Fail",E533="Fail",F533="Fail"),"Fail",IF(AND(D533="Pass",E533="Pass",F533="Pass"),"Pass","Incomplete")))</f>
        <v/>
      </c>
      <c r="H533" s="18"/>
      <c r="I533" s="18"/>
    </row>
    <row r="534" customFormat="false" ht="15.75" hidden="false" customHeight="true" outlineLevel="0" collapsed="false">
      <c r="A534" s="18"/>
      <c r="B534" s="18"/>
      <c r="C534" s="19"/>
      <c r="D534" s="20"/>
      <c r="E534" s="20"/>
      <c r="F534" s="20"/>
      <c r="G534" s="20" t="str">
        <f aca="false">IF(COUNTBLANK(D534:F534)=3,"",IF(OR(D534="Fail",E534="Fail",F534="Fail"),"Fail",IF(AND(D534="Pass",E534="Pass",F534="Pass"),"Pass","Incomplete")))</f>
        <v/>
      </c>
      <c r="H534" s="18"/>
      <c r="I534" s="18"/>
    </row>
    <row r="535" customFormat="false" ht="15.75" hidden="false" customHeight="true" outlineLevel="0" collapsed="false">
      <c r="A535" s="18"/>
      <c r="B535" s="18"/>
      <c r="C535" s="19"/>
      <c r="D535" s="20"/>
      <c r="E535" s="20"/>
      <c r="F535" s="20"/>
      <c r="G535" s="20" t="str">
        <f aca="false">IF(COUNTBLANK(D535:F535)=3,"",IF(OR(D535="Fail",E535="Fail",F535="Fail"),"Fail",IF(AND(D535="Pass",E535="Pass",F535="Pass"),"Pass","Incomplete")))</f>
        <v/>
      </c>
      <c r="H535" s="18"/>
      <c r="I535" s="18"/>
    </row>
    <row r="536" customFormat="false" ht="15.75" hidden="false" customHeight="true" outlineLevel="0" collapsed="false">
      <c r="A536" s="18"/>
      <c r="B536" s="18"/>
      <c r="C536" s="19"/>
      <c r="D536" s="20"/>
      <c r="E536" s="20"/>
      <c r="F536" s="20"/>
      <c r="G536" s="20" t="str">
        <f aca="false">IF(COUNTBLANK(D536:F536)=3,"",IF(OR(D536="Fail",E536="Fail",F536="Fail"),"Fail",IF(AND(D536="Pass",E536="Pass",F536="Pass"),"Pass","Incomplete")))</f>
        <v/>
      </c>
      <c r="H536" s="18"/>
      <c r="I536" s="18"/>
    </row>
    <row r="537" customFormat="false" ht="15.75" hidden="false" customHeight="true" outlineLevel="0" collapsed="false">
      <c r="A537" s="18"/>
      <c r="B537" s="18"/>
      <c r="C537" s="19"/>
      <c r="D537" s="20"/>
      <c r="E537" s="20"/>
      <c r="F537" s="20"/>
      <c r="G537" s="20" t="str">
        <f aca="false">IF(COUNTBLANK(D537:F537)=3,"",IF(OR(D537="Fail",E537="Fail",F537="Fail"),"Fail",IF(AND(D537="Pass",E537="Pass",F537="Pass"),"Pass","Incomplete")))</f>
        <v/>
      </c>
      <c r="H537" s="18"/>
      <c r="I537" s="18"/>
    </row>
    <row r="538" customFormat="false" ht="15.75" hidden="false" customHeight="true" outlineLevel="0" collapsed="false">
      <c r="A538" s="18"/>
      <c r="B538" s="18"/>
      <c r="C538" s="19"/>
      <c r="D538" s="20"/>
      <c r="E538" s="20"/>
      <c r="F538" s="20"/>
      <c r="G538" s="20" t="str">
        <f aca="false">IF(COUNTBLANK(D538:F538)=3,"",IF(OR(D538="Fail",E538="Fail",F538="Fail"),"Fail",IF(AND(D538="Pass",E538="Pass",F538="Pass"),"Pass","Incomplete")))</f>
        <v/>
      </c>
      <c r="H538" s="18"/>
      <c r="I538" s="18"/>
    </row>
    <row r="539" customFormat="false" ht="15.75" hidden="false" customHeight="true" outlineLevel="0" collapsed="false">
      <c r="A539" s="18"/>
      <c r="B539" s="18"/>
      <c r="C539" s="19"/>
      <c r="D539" s="20"/>
      <c r="E539" s="20"/>
      <c r="F539" s="20"/>
      <c r="G539" s="20" t="str">
        <f aca="false">IF(COUNTBLANK(D539:F539)=3,"",IF(OR(D539="Fail",E539="Fail",F539="Fail"),"Fail",IF(AND(D539="Pass",E539="Pass",F539="Pass"),"Pass","Incomplete")))</f>
        <v/>
      </c>
      <c r="H539" s="18"/>
      <c r="I539" s="18"/>
    </row>
    <row r="540" customFormat="false" ht="15.75" hidden="false" customHeight="true" outlineLevel="0" collapsed="false">
      <c r="A540" s="18"/>
      <c r="B540" s="18"/>
      <c r="C540" s="19"/>
      <c r="D540" s="20"/>
      <c r="E540" s="20"/>
      <c r="F540" s="20"/>
      <c r="G540" s="20" t="str">
        <f aca="false">IF(COUNTBLANK(D540:F540)=3,"",IF(OR(D540="Fail",E540="Fail",F540="Fail"),"Fail",IF(AND(D540="Pass",E540="Pass",F540="Pass"),"Pass","Incomplete")))</f>
        <v/>
      </c>
      <c r="H540" s="18"/>
      <c r="I540" s="18"/>
    </row>
    <row r="541" customFormat="false" ht="15.75" hidden="false" customHeight="true" outlineLevel="0" collapsed="false">
      <c r="A541" s="18"/>
      <c r="B541" s="18"/>
      <c r="C541" s="19"/>
      <c r="D541" s="20"/>
      <c r="E541" s="20"/>
      <c r="F541" s="20"/>
      <c r="G541" s="20" t="str">
        <f aca="false">IF(COUNTBLANK(D541:F541)=3,"",IF(OR(D541="Fail",E541="Fail",F541="Fail"),"Fail",IF(AND(D541="Pass",E541="Pass",F541="Pass"),"Pass","Incomplete")))</f>
        <v/>
      </c>
      <c r="H541" s="18"/>
      <c r="I541" s="18"/>
    </row>
    <row r="542" customFormat="false" ht="15.75" hidden="false" customHeight="true" outlineLevel="0" collapsed="false">
      <c r="A542" s="18"/>
      <c r="B542" s="18"/>
      <c r="C542" s="19"/>
      <c r="D542" s="20"/>
      <c r="E542" s="20"/>
      <c r="F542" s="20"/>
      <c r="G542" s="20" t="str">
        <f aca="false">IF(COUNTBLANK(D542:F542)=3,"",IF(OR(D542="Fail",E542="Fail",F542="Fail"),"Fail",IF(AND(D542="Pass",E542="Pass",F542="Pass"),"Pass","Incomplete")))</f>
        <v/>
      </c>
      <c r="H542" s="18"/>
      <c r="I542" s="18"/>
    </row>
    <row r="543" customFormat="false" ht="15.75" hidden="false" customHeight="true" outlineLevel="0" collapsed="false">
      <c r="A543" s="18"/>
      <c r="B543" s="18"/>
      <c r="C543" s="19"/>
      <c r="D543" s="20"/>
      <c r="E543" s="20"/>
      <c r="F543" s="20"/>
      <c r="G543" s="20" t="str">
        <f aca="false">IF(COUNTBLANK(D543:F543)=3,"",IF(OR(D543="Fail",E543="Fail",F543="Fail"),"Fail",IF(AND(D543="Pass",E543="Pass",F543="Pass"),"Pass","Incomplete")))</f>
        <v/>
      </c>
      <c r="H543" s="18"/>
      <c r="I543" s="18"/>
    </row>
    <row r="544" customFormat="false" ht="15.75" hidden="false" customHeight="true" outlineLevel="0" collapsed="false">
      <c r="A544" s="18"/>
      <c r="B544" s="18"/>
      <c r="C544" s="19"/>
      <c r="D544" s="20"/>
      <c r="E544" s="20"/>
      <c r="F544" s="20"/>
      <c r="G544" s="20" t="str">
        <f aca="false">IF(COUNTBLANK(D544:F544)=3,"",IF(OR(D544="Fail",E544="Fail",F544="Fail"),"Fail",IF(AND(D544="Pass",E544="Pass",F544="Pass"),"Pass","Incomplete")))</f>
        <v/>
      </c>
      <c r="H544" s="18"/>
      <c r="I544" s="18"/>
    </row>
    <row r="545" customFormat="false" ht="15.75" hidden="false" customHeight="true" outlineLevel="0" collapsed="false">
      <c r="A545" s="18"/>
      <c r="B545" s="18"/>
      <c r="C545" s="19"/>
      <c r="D545" s="20"/>
      <c r="E545" s="20"/>
      <c r="F545" s="20"/>
      <c r="G545" s="20" t="str">
        <f aca="false">IF(COUNTBLANK(D545:F545)=3,"",IF(OR(D545="Fail",E545="Fail",F545="Fail"),"Fail",IF(AND(D545="Pass",E545="Pass",F545="Pass"),"Pass","Incomplete")))</f>
        <v/>
      </c>
      <c r="H545" s="18"/>
      <c r="I545" s="18"/>
    </row>
    <row r="546" customFormat="false" ht="15.75" hidden="false" customHeight="true" outlineLevel="0" collapsed="false">
      <c r="A546" s="18"/>
      <c r="B546" s="18"/>
      <c r="C546" s="19"/>
      <c r="D546" s="20"/>
      <c r="E546" s="20"/>
      <c r="F546" s="20"/>
      <c r="G546" s="20" t="str">
        <f aca="false">IF(COUNTBLANK(D546:F546)=3,"",IF(OR(D546="Fail",E546="Fail",F546="Fail"),"Fail",IF(AND(D546="Pass",E546="Pass",F546="Pass"),"Pass","Incomplete")))</f>
        <v/>
      </c>
      <c r="H546" s="18"/>
      <c r="I546" s="18"/>
    </row>
    <row r="547" customFormat="false" ht="15.75" hidden="false" customHeight="true" outlineLevel="0" collapsed="false">
      <c r="A547" s="18"/>
      <c r="B547" s="18"/>
      <c r="C547" s="19"/>
      <c r="D547" s="20"/>
      <c r="E547" s="20"/>
      <c r="F547" s="20"/>
      <c r="G547" s="20" t="str">
        <f aca="false">IF(COUNTBLANK(D547:F547)=3,"",IF(OR(D547="Fail",E547="Fail",F547="Fail"),"Fail",IF(AND(D547="Pass",E547="Pass",F547="Pass"),"Pass","Incomplete")))</f>
        <v/>
      </c>
      <c r="H547" s="18"/>
      <c r="I547" s="18"/>
    </row>
    <row r="548" customFormat="false" ht="15.75" hidden="false" customHeight="true" outlineLevel="0" collapsed="false">
      <c r="A548" s="18"/>
      <c r="B548" s="18"/>
      <c r="C548" s="19"/>
      <c r="D548" s="20"/>
      <c r="E548" s="20"/>
      <c r="F548" s="20"/>
      <c r="G548" s="20" t="str">
        <f aca="false">IF(COUNTBLANK(D548:F548)=3,"",IF(OR(D548="Fail",E548="Fail",F548="Fail"),"Fail",IF(AND(D548="Pass",E548="Pass",F548="Pass"),"Pass","Incomplete")))</f>
        <v/>
      </c>
      <c r="H548" s="18"/>
      <c r="I548" s="18"/>
    </row>
    <row r="549" customFormat="false" ht="15.75" hidden="false" customHeight="true" outlineLevel="0" collapsed="false">
      <c r="A549" s="18"/>
      <c r="B549" s="18"/>
      <c r="C549" s="19"/>
      <c r="D549" s="20"/>
      <c r="E549" s="20"/>
      <c r="F549" s="20"/>
      <c r="G549" s="20" t="str">
        <f aca="false">IF(COUNTBLANK(D549:F549)=3,"",IF(OR(D549="Fail",E549="Fail",F549="Fail"),"Fail",IF(AND(D549="Pass",E549="Pass",F549="Pass"),"Pass","Incomplete")))</f>
        <v/>
      </c>
      <c r="H549" s="18"/>
      <c r="I549" s="18"/>
    </row>
    <row r="550" customFormat="false" ht="15.75" hidden="false" customHeight="true" outlineLevel="0" collapsed="false">
      <c r="A550" s="18"/>
      <c r="B550" s="18"/>
      <c r="C550" s="19"/>
      <c r="D550" s="20"/>
      <c r="E550" s="20"/>
      <c r="F550" s="20"/>
      <c r="G550" s="20" t="str">
        <f aca="false">IF(COUNTBLANK(D550:F550)=3,"",IF(OR(D550="Fail",E550="Fail",F550="Fail"),"Fail",IF(AND(D550="Pass",E550="Pass",F550="Pass"),"Pass","Incomplete")))</f>
        <v/>
      </c>
      <c r="H550" s="18"/>
      <c r="I550" s="18"/>
    </row>
    <row r="551" customFormat="false" ht="15.75" hidden="false" customHeight="true" outlineLevel="0" collapsed="false">
      <c r="A551" s="18"/>
      <c r="B551" s="18"/>
      <c r="C551" s="19"/>
      <c r="D551" s="20"/>
      <c r="E551" s="20"/>
      <c r="F551" s="20"/>
      <c r="G551" s="20" t="str">
        <f aca="false">IF(COUNTBLANK(D551:F551)=3,"",IF(OR(D551="Fail",E551="Fail",F551="Fail"),"Fail",IF(AND(D551="Pass",E551="Pass",F551="Pass"),"Pass","Incomplete")))</f>
        <v/>
      </c>
      <c r="H551" s="18"/>
      <c r="I551" s="18"/>
    </row>
    <row r="552" customFormat="false" ht="15.75" hidden="false" customHeight="true" outlineLevel="0" collapsed="false">
      <c r="A552" s="18"/>
      <c r="B552" s="18"/>
      <c r="C552" s="19"/>
      <c r="D552" s="20"/>
      <c r="E552" s="20"/>
      <c r="F552" s="20"/>
      <c r="G552" s="20" t="str">
        <f aca="false">IF(COUNTBLANK(D552:F552)=3,"",IF(OR(D552="Fail",E552="Fail",F552="Fail"),"Fail",IF(AND(D552="Pass",E552="Pass",F552="Pass"),"Pass","Incomplete")))</f>
        <v/>
      </c>
      <c r="H552" s="18"/>
      <c r="I552" s="18"/>
    </row>
    <row r="553" customFormat="false" ht="15.75" hidden="false" customHeight="true" outlineLevel="0" collapsed="false">
      <c r="A553" s="18"/>
      <c r="B553" s="18"/>
      <c r="C553" s="19"/>
      <c r="D553" s="20"/>
      <c r="E553" s="20"/>
      <c r="F553" s="20"/>
      <c r="G553" s="20" t="str">
        <f aca="false">IF(COUNTBLANK(D553:F553)=3,"",IF(OR(D553="Fail",E553="Fail",F553="Fail"),"Fail",IF(AND(D553="Pass",E553="Pass",F553="Pass"),"Pass","Incomplete")))</f>
        <v/>
      </c>
      <c r="H553" s="18"/>
      <c r="I553" s="18"/>
    </row>
    <row r="554" customFormat="false" ht="15.75" hidden="false" customHeight="true" outlineLevel="0" collapsed="false">
      <c r="A554" s="18"/>
      <c r="B554" s="18"/>
      <c r="C554" s="19"/>
      <c r="D554" s="20"/>
      <c r="E554" s="20"/>
      <c r="F554" s="20"/>
      <c r="G554" s="20" t="str">
        <f aca="false">IF(COUNTBLANK(D554:F554)=3,"",IF(OR(D554="Fail",E554="Fail",F554="Fail"),"Fail",IF(AND(D554="Pass",E554="Pass",F554="Pass"),"Pass","Incomplete")))</f>
        <v/>
      </c>
      <c r="H554" s="18"/>
      <c r="I554" s="18"/>
    </row>
    <row r="555" customFormat="false" ht="15.75" hidden="false" customHeight="true" outlineLevel="0" collapsed="false">
      <c r="A555" s="18"/>
      <c r="B555" s="18"/>
      <c r="C555" s="19"/>
      <c r="D555" s="20"/>
      <c r="E555" s="20"/>
      <c r="F555" s="20"/>
      <c r="G555" s="20" t="str">
        <f aca="false">IF(COUNTBLANK(D555:F555)=3,"",IF(OR(D555="Fail",E555="Fail",F555="Fail"),"Fail",IF(AND(D555="Pass",E555="Pass",F555="Pass"),"Pass","Incomplete")))</f>
        <v/>
      </c>
      <c r="H555" s="18"/>
      <c r="I555" s="18"/>
    </row>
    <row r="556" customFormat="false" ht="15.75" hidden="false" customHeight="true" outlineLevel="0" collapsed="false">
      <c r="A556" s="18"/>
      <c r="B556" s="18"/>
      <c r="C556" s="19"/>
      <c r="D556" s="20"/>
      <c r="E556" s="20"/>
      <c r="F556" s="20"/>
      <c r="G556" s="20" t="str">
        <f aca="false">IF(COUNTBLANK(D556:F556)=3,"",IF(OR(D556="Fail",E556="Fail",F556="Fail"),"Fail",IF(AND(D556="Pass",E556="Pass",F556="Pass"),"Pass","Incomplete")))</f>
        <v/>
      </c>
      <c r="H556" s="18"/>
      <c r="I556" s="18"/>
    </row>
    <row r="557" customFormat="false" ht="15.75" hidden="false" customHeight="true" outlineLevel="0" collapsed="false">
      <c r="A557" s="18"/>
      <c r="B557" s="18"/>
      <c r="C557" s="19"/>
      <c r="D557" s="20"/>
      <c r="E557" s="20"/>
      <c r="F557" s="20"/>
      <c r="G557" s="20" t="str">
        <f aca="false">IF(COUNTBLANK(D557:F557)=3,"",IF(OR(D557="Fail",E557="Fail",F557="Fail"),"Fail",IF(AND(D557="Pass",E557="Pass",F557="Pass"),"Pass","Incomplete")))</f>
        <v/>
      </c>
      <c r="H557" s="18"/>
      <c r="I557" s="18"/>
    </row>
    <row r="558" customFormat="false" ht="15.75" hidden="false" customHeight="true" outlineLevel="0" collapsed="false">
      <c r="A558" s="18"/>
      <c r="B558" s="18"/>
      <c r="C558" s="19"/>
      <c r="D558" s="20"/>
      <c r="E558" s="20"/>
      <c r="F558" s="20"/>
      <c r="G558" s="20" t="str">
        <f aca="false">IF(COUNTBLANK(D558:F558)=3,"",IF(OR(D558="Fail",E558="Fail",F558="Fail"),"Fail",IF(AND(D558="Pass",E558="Pass",F558="Pass"),"Pass","Incomplete")))</f>
        <v/>
      </c>
      <c r="H558" s="18"/>
      <c r="I558" s="18"/>
    </row>
    <row r="559" customFormat="false" ht="15.75" hidden="false" customHeight="true" outlineLevel="0" collapsed="false">
      <c r="A559" s="18"/>
      <c r="B559" s="18"/>
      <c r="C559" s="19"/>
      <c r="D559" s="20"/>
      <c r="E559" s="20"/>
      <c r="F559" s="20"/>
      <c r="G559" s="20" t="str">
        <f aca="false">IF(COUNTBLANK(D559:F559)=3,"",IF(OR(D559="Fail",E559="Fail",F559="Fail"),"Fail",IF(AND(D559="Pass",E559="Pass",F559="Pass"),"Pass","Incomplete")))</f>
        <v/>
      </c>
      <c r="H559" s="18"/>
      <c r="I559" s="18"/>
    </row>
    <row r="560" customFormat="false" ht="15.75" hidden="false" customHeight="true" outlineLevel="0" collapsed="false">
      <c r="A560" s="18"/>
      <c r="B560" s="18"/>
      <c r="C560" s="19"/>
      <c r="D560" s="20"/>
      <c r="E560" s="20"/>
      <c r="F560" s="20"/>
      <c r="G560" s="20" t="str">
        <f aca="false">IF(COUNTBLANK(D560:F560)=3,"",IF(OR(D560="Fail",E560="Fail",F560="Fail"),"Fail",IF(AND(D560="Pass",E560="Pass",F560="Pass"),"Pass","Incomplete")))</f>
        <v/>
      </c>
      <c r="H560" s="18"/>
      <c r="I560" s="18"/>
    </row>
    <row r="561" customFormat="false" ht="15.75" hidden="false" customHeight="true" outlineLevel="0" collapsed="false">
      <c r="A561" s="18"/>
      <c r="B561" s="18"/>
      <c r="C561" s="19"/>
      <c r="D561" s="20"/>
      <c r="E561" s="20"/>
      <c r="F561" s="20"/>
      <c r="G561" s="20" t="str">
        <f aca="false">IF(COUNTBLANK(D561:F561)=3,"",IF(OR(D561="Fail",E561="Fail",F561="Fail"),"Fail",IF(AND(D561="Pass",E561="Pass",F561="Pass"),"Pass","Incomplete")))</f>
        <v/>
      </c>
      <c r="H561" s="18"/>
      <c r="I561" s="18"/>
    </row>
    <row r="562" customFormat="false" ht="15.75" hidden="false" customHeight="true" outlineLevel="0" collapsed="false">
      <c r="A562" s="18"/>
      <c r="B562" s="18"/>
      <c r="C562" s="19"/>
      <c r="D562" s="20"/>
      <c r="E562" s="20"/>
      <c r="F562" s="20"/>
      <c r="G562" s="20" t="str">
        <f aca="false">IF(COUNTBLANK(D562:F562)=3,"",IF(OR(D562="Fail",E562="Fail",F562="Fail"),"Fail",IF(AND(D562="Pass",E562="Pass",F562="Pass"),"Pass","Incomplete")))</f>
        <v/>
      </c>
      <c r="H562" s="18"/>
      <c r="I562" s="18"/>
    </row>
    <row r="563" customFormat="false" ht="15.75" hidden="false" customHeight="true" outlineLevel="0" collapsed="false">
      <c r="A563" s="18"/>
      <c r="B563" s="18"/>
      <c r="C563" s="19"/>
      <c r="D563" s="20"/>
      <c r="E563" s="20"/>
      <c r="F563" s="20"/>
      <c r="G563" s="20" t="str">
        <f aca="false">IF(COUNTBLANK(D563:F563)=3,"",IF(OR(D563="Fail",E563="Fail",F563="Fail"),"Fail",IF(AND(D563="Pass",E563="Pass",F563="Pass"),"Pass","Incomplete")))</f>
        <v/>
      </c>
      <c r="H563" s="18"/>
      <c r="I563" s="18"/>
    </row>
    <row r="564" customFormat="false" ht="15.75" hidden="false" customHeight="true" outlineLevel="0" collapsed="false">
      <c r="A564" s="18"/>
      <c r="B564" s="18"/>
      <c r="C564" s="19"/>
      <c r="D564" s="20"/>
      <c r="E564" s="20"/>
      <c r="F564" s="20"/>
      <c r="G564" s="20" t="str">
        <f aca="false">IF(COUNTBLANK(D564:F564)=3,"",IF(OR(D564="Fail",E564="Fail",F564="Fail"),"Fail",IF(AND(D564="Pass",E564="Pass",F564="Pass"),"Pass","Incomplete")))</f>
        <v/>
      </c>
      <c r="H564" s="18"/>
      <c r="I564" s="18"/>
    </row>
    <row r="565" customFormat="false" ht="15.75" hidden="false" customHeight="true" outlineLevel="0" collapsed="false">
      <c r="A565" s="18"/>
      <c r="B565" s="18"/>
      <c r="C565" s="19"/>
      <c r="D565" s="20"/>
      <c r="E565" s="20"/>
      <c r="F565" s="20"/>
      <c r="G565" s="20" t="str">
        <f aca="false">IF(COUNTBLANK(D565:F565)=3,"",IF(OR(D565="Fail",E565="Fail",F565="Fail"),"Fail",IF(AND(D565="Pass",E565="Pass",F565="Pass"),"Pass","Incomplete")))</f>
        <v/>
      </c>
      <c r="H565" s="18"/>
      <c r="I565" s="18"/>
    </row>
    <row r="566" customFormat="false" ht="15.75" hidden="false" customHeight="true" outlineLevel="0" collapsed="false">
      <c r="A566" s="18"/>
      <c r="B566" s="18"/>
      <c r="C566" s="19"/>
      <c r="D566" s="20"/>
      <c r="E566" s="20"/>
      <c r="F566" s="20"/>
      <c r="G566" s="20" t="str">
        <f aca="false">IF(COUNTBLANK(D566:F566)=3,"",IF(OR(D566="Fail",E566="Fail",F566="Fail"),"Fail",IF(AND(D566="Pass",E566="Pass",F566="Pass"),"Pass","Incomplete")))</f>
        <v/>
      </c>
      <c r="H566" s="18"/>
      <c r="I566" s="18"/>
    </row>
    <row r="567" customFormat="false" ht="15.75" hidden="false" customHeight="true" outlineLevel="0" collapsed="false">
      <c r="A567" s="18"/>
      <c r="B567" s="18"/>
      <c r="C567" s="19"/>
      <c r="D567" s="20"/>
      <c r="E567" s="20"/>
      <c r="F567" s="20"/>
      <c r="G567" s="20" t="str">
        <f aca="false">IF(COUNTBLANK(D567:F567)=3,"",IF(OR(D567="Fail",E567="Fail",F567="Fail"),"Fail",IF(AND(D567="Pass",E567="Pass",F567="Pass"),"Pass","Incomplete")))</f>
        <v/>
      </c>
      <c r="H567" s="18"/>
      <c r="I567" s="18"/>
    </row>
    <row r="568" customFormat="false" ht="15.75" hidden="false" customHeight="true" outlineLevel="0" collapsed="false">
      <c r="A568" s="18"/>
      <c r="B568" s="18"/>
      <c r="C568" s="19"/>
      <c r="D568" s="20"/>
      <c r="E568" s="20"/>
      <c r="F568" s="20"/>
      <c r="G568" s="20" t="str">
        <f aca="false">IF(COUNTBLANK(D568:F568)=3,"",IF(OR(D568="Fail",E568="Fail",F568="Fail"),"Fail",IF(AND(D568="Pass",E568="Pass",F568="Pass"),"Pass","Incomplete")))</f>
        <v/>
      </c>
      <c r="H568" s="18"/>
      <c r="I568" s="18"/>
    </row>
    <row r="569" customFormat="false" ht="15.75" hidden="false" customHeight="true" outlineLevel="0" collapsed="false">
      <c r="A569" s="18"/>
      <c r="B569" s="18"/>
      <c r="C569" s="19"/>
      <c r="D569" s="20"/>
      <c r="E569" s="20"/>
      <c r="F569" s="20"/>
      <c r="G569" s="20" t="str">
        <f aca="false">IF(COUNTBLANK(D569:F569)=3,"",IF(OR(D569="Fail",E569="Fail",F569="Fail"),"Fail",IF(AND(D569="Pass",E569="Pass",F569="Pass"),"Pass","Incomplete")))</f>
        <v/>
      </c>
      <c r="H569" s="18"/>
      <c r="I569" s="18"/>
    </row>
    <row r="570" customFormat="false" ht="15.75" hidden="false" customHeight="true" outlineLevel="0" collapsed="false">
      <c r="A570" s="18"/>
      <c r="B570" s="18"/>
      <c r="C570" s="19"/>
      <c r="D570" s="20"/>
      <c r="E570" s="20"/>
      <c r="F570" s="20"/>
      <c r="G570" s="20" t="str">
        <f aca="false">IF(COUNTBLANK(D570:F570)=3,"",IF(OR(D570="Fail",E570="Fail",F570="Fail"),"Fail",IF(AND(D570="Pass",E570="Pass",F570="Pass"),"Pass","Incomplete")))</f>
        <v/>
      </c>
      <c r="H570" s="18"/>
      <c r="I570" s="18"/>
    </row>
    <row r="571" customFormat="false" ht="15.75" hidden="false" customHeight="true" outlineLevel="0" collapsed="false">
      <c r="A571" s="18"/>
      <c r="B571" s="18"/>
      <c r="C571" s="19"/>
      <c r="D571" s="20"/>
      <c r="E571" s="20"/>
      <c r="F571" s="20"/>
      <c r="G571" s="20" t="str">
        <f aca="false">IF(COUNTBLANK(D571:F571)=3,"",IF(OR(D571="Fail",E571="Fail",F571="Fail"),"Fail",IF(AND(D571="Pass",E571="Pass",F571="Pass"),"Pass","Incomplete")))</f>
        <v/>
      </c>
      <c r="H571" s="18"/>
      <c r="I571" s="18"/>
    </row>
    <row r="572" customFormat="false" ht="15.75" hidden="false" customHeight="true" outlineLevel="0" collapsed="false">
      <c r="A572" s="18"/>
      <c r="B572" s="18"/>
      <c r="C572" s="19"/>
      <c r="D572" s="20"/>
      <c r="E572" s="20"/>
      <c r="F572" s="20"/>
      <c r="G572" s="20" t="str">
        <f aca="false">IF(COUNTBLANK(D572:F572)=3,"",IF(OR(D572="Fail",E572="Fail",F572="Fail"),"Fail",IF(AND(D572="Pass",E572="Pass",F572="Pass"),"Pass","Incomplete")))</f>
        <v/>
      </c>
      <c r="H572" s="18"/>
      <c r="I572" s="18"/>
    </row>
    <row r="573" customFormat="false" ht="15.75" hidden="false" customHeight="true" outlineLevel="0" collapsed="false">
      <c r="A573" s="18"/>
      <c r="B573" s="18"/>
      <c r="C573" s="19"/>
      <c r="D573" s="20"/>
      <c r="E573" s="20"/>
      <c r="F573" s="20"/>
      <c r="G573" s="20" t="str">
        <f aca="false">IF(COUNTBLANK(D573:F573)=3,"",IF(OR(D573="Fail",E573="Fail",F573="Fail"),"Fail",IF(AND(D573="Pass",E573="Pass",F573="Pass"),"Pass","Incomplete")))</f>
        <v/>
      </c>
      <c r="H573" s="18"/>
      <c r="I573" s="18"/>
    </row>
    <row r="574" customFormat="false" ht="15.75" hidden="false" customHeight="true" outlineLevel="0" collapsed="false">
      <c r="A574" s="18"/>
      <c r="B574" s="18"/>
      <c r="C574" s="19"/>
      <c r="D574" s="20"/>
      <c r="E574" s="20"/>
      <c r="F574" s="20"/>
      <c r="G574" s="20" t="str">
        <f aca="false">IF(COUNTBLANK(D574:F574)=3,"",IF(OR(D574="Fail",E574="Fail",F574="Fail"),"Fail",IF(AND(D574="Pass",E574="Pass",F574="Pass"),"Pass","Incomplete")))</f>
        <v/>
      </c>
      <c r="H574" s="18"/>
      <c r="I574" s="18"/>
    </row>
    <row r="575" customFormat="false" ht="15.75" hidden="false" customHeight="true" outlineLevel="0" collapsed="false">
      <c r="A575" s="18"/>
      <c r="B575" s="18"/>
      <c r="C575" s="19"/>
      <c r="D575" s="20"/>
      <c r="E575" s="20"/>
      <c r="F575" s="20"/>
      <c r="G575" s="20" t="str">
        <f aca="false">IF(COUNTBLANK(D575:F575)=3,"",IF(OR(D575="Fail",E575="Fail",F575="Fail"),"Fail",IF(AND(D575="Pass",E575="Pass",F575="Pass"),"Pass","Incomplete")))</f>
        <v/>
      </c>
      <c r="H575" s="18"/>
      <c r="I575" s="18"/>
    </row>
    <row r="576" customFormat="false" ht="15.75" hidden="false" customHeight="true" outlineLevel="0" collapsed="false">
      <c r="A576" s="18"/>
      <c r="B576" s="18"/>
      <c r="C576" s="19"/>
      <c r="D576" s="20"/>
      <c r="E576" s="20"/>
      <c r="F576" s="20"/>
      <c r="G576" s="20" t="str">
        <f aca="false">IF(COUNTBLANK(D576:F576)=3,"",IF(OR(D576="Fail",E576="Fail",F576="Fail"),"Fail",IF(AND(D576="Pass",E576="Pass",F576="Pass"),"Pass","Incomplete")))</f>
        <v/>
      </c>
      <c r="H576" s="18"/>
      <c r="I576" s="18"/>
    </row>
    <row r="577" customFormat="false" ht="15.75" hidden="false" customHeight="true" outlineLevel="0" collapsed="false">
      <c r="A577" s="18"/>
      <c r="B577" s="18"/>
      <c r="C577" s="19"/>
      <c r="D577" s="20"/>
      <c r="E577" s="20"/>
      <c r="F577" s="20"/>
      <c r="G577" s="20" t="str">
        <f aca="false">IF(COUNTBLANK(D577:F577)=3,"",IF(OR(D577="Fail",E577="Fail",F577="Fail"),"Fail",IF(AND(D577="Pass",E577="Pass",F577="Pass"),"Pass","Incomplete")))</f>
        <v/>
      </c>
      <c r="H577" s="18"/>
      <c r="I577" s="18"/>
    </row>
    <row r="578" customFormat="false" ht="15.75" hidden="false" customHeight="true" outlineLevel="0" collapsed="false">
      <c r="A578" s="18"/>
      <c r="B578" s="18"/>
      <c r="C578" s="19"/>
      <c r="D578" s="20"/>
      <c r="E578" s="20"/>
      <c r="F578" s="20"/>
      <c r="G578" s="20" t="str">
        <f aca="false">IF(COUNTBLANK(D578:F578)=3,"",IF(OR(D578="Fail",E578="Fail",F578="Fail"),"Fail",IF(AND(D578="Pass",E578="Pass",F578="Pass"),"Pass","Incomplete")))</f>
        <v/>
      </c>
      <c r="H578" s="18"/>
      <c r="I578" s="18"/>
    </row>
    <row r="579" customFormat="false" ht="15.75" hidden="false" customHeight="true" outlineLevel="0" collapsed="false">
      <c r="A579" s="18"/>
      <c r="B579" s="18"/>
      <c r="C579" s="19"/>
      <c r="D579" s="20"/>
      <c r="E579" s="20"/>
      <c r="F579" s="20"/>
      <c r="G579" s="20" t="str">
        <f aca="false">IF(COUNTBLANK(D579:F579)=3,"",IF(OR(D579="Fail",E579="Fail",F579="Fail"),"Fail",IF(AND(D579="Pass",E579="Pass",F579="Pass"),"Pass","Incomplete")))</f>
        <v/>
      </c>
      <c r="H579" s="18"/>
      <c r="I579" s="18"/>
    </row>
    <row r="580" customFormat="false" ht="15.75" hidden="false" customHeight="true" outlineLevel="0" collapsed="false">
      <c r="A580" s="18"/>
      <c r="B580" s="18"/>
      <c r="C580" s="19"/>
      <c r="D580" s="20"/>
      <c r="E580" s="20"/>
      <c r="F580" s="20"/>
      <c r="G580" s="20" t="str">
        <f aca="false">IF(COUNTBLANK(D580:F580)=3,"",IF(OR(D580="Fail",E580="Fail",F580="Fail"),"Fail",IF(AND(D580="Pass",E580="Pass",F580="Pass"),"Pass","Incomplete")))</f>
        <v/>
      </c>
      <c r="H580" s="18"/>
      <c r="I580" s="18"/>
    </row>
    <row r="581" customFormat="false" ht="15.75" hidden="false" customHeight="true" outlineLevel="0" collapsed="false">
      <c r="A581" s="18"/>
      <c r="B581" s="18"/>
      <c r="C581" s="19"/>
      <c r="D581" s="20"/>
      <c r="E581" s="20"/>
      <c r="F581" s="20"/>
      <c r="G581" s="20" t="str">
        <f aca="false">IF(COUNTBLANK(D581:F581)=3,"",IF(OR(D581="Fail",E581="Fail",F581="Fail"),"Fail",IF(AND(D581="Pass",E581="Pass",F581="Pass"),"Pass","Incomplete")))</f>
        <v/>
      </c>
      <c r="H581" s="18"/>
      <c r="I581" s="18"/>
    </row>
    <row r="582" customFormat="false" ht="15.75" hidden="false" customHeight="true" outlineLevel="0" collapsed="false">
      <c r="A582" s="18"/>
      <c r="B582" s="18"/>
      <c r="C582" s="19"/>
      <c r="D582" s="20"/>
      <c r="E582" s="20"/>
      <c r="F582" s="20"/>
      <c r="G582" s="20" t="str">
        <f aca="false">IF(COUNTBLANK(D582:F582)=3,"",IF(OR(D582="Fail",E582="Fail",F582="Fail"),"Fail",IF(AND(D582="Pass",E582="Pass",F582="Pass"),"Pass","Incomplete")))</f>
        <v/>
      </c>
      <c r="H582" s="18"/>
      <c r="I582" s="18"/>
    </row>
    <row r="583" customFormat="false" ht="15.75" hidden="false" customHeight="true" outlineLevel="0" collapsed="false">
      <c r="A583" s="18"/>
      <c r="B583" s="18"/>
      <c r="C583" s="19"/>
      <c r="D583" s="20"/>
      <c r="E583" s="20"/>
      <c r="F583" s="20"/>
      <c r="G583" s="20" t="str">
        <f aca="false">IF(COUNTBLANK(D583:F583)=3,"",IF(OR(D583="Fail",E583="Fail",F583="Fail"),"Fail",IF(AND(D583="Pass",E583="Pass",F583="Pass"),"Pass","Incomplete")))</f>
        <v/>
      </c>
      <c r="H583" s="18"/>
      <c r="I583" s="18"/>
    </row>
    <row r="584" customFormat="false" ht="15.75" hidden="false" customHeight="true" outlineLevel="0" collapsed="false">
      <c r="A584" s="18"/>
      <c r="B584" s="18"/>
      <c r="C584" s="19"/>
      <c r="D584" s="20"/>
      <c r="E584" s="20"/>
      <c r="F584" s="20"/>
      <c r="G584" s="20" t="str">
        <f aca="false">IF(COUNTBLANK(D584:F584)=3,"",IF(OR(D584="Fail",E584="Fail",F584="Fail"),"Fail",IF(AND(D584="Pass",E584="Pass",F584="Pass"),"Pass","Incomplete")))</f>
        <v/>
      </c>
      <c r="H584" s="18"/>
      <c r="I584" s="18"/>
    </row>
    <row r="585" customFormat="false" ht="15.75" hidden="false" customHeight="true" outlineLevel="0" collapsed="false">
      <c r="A585" s="18"/>
      <c r="B585" s="18"/>
      <c r="C585" s="19"/>
      <c r="D585" s="20"/>
      <c r="E585" s="20"/>
      <c r="F585" s="20"/>
      <c r="G585" s="20" t="str">
        <f aca="false">IF(COUNTBLANK(D585:F585)=3,"",IF(OR(D585="Fail",E585="Fail",F585="Fail"),"Fail",IF(AND(D585="Pass",E585="Pass",F585="Pass"),"Pass","Incomplete")))</f>
        <v/>
      </c>
      <c r="H585" s="18"/>
      <c r="I585" s="18"/>
    </row>
    <row r="586" customFormat="false" ht="15.75" hidden="false" customHeight="true" outlineLevel="0" collapsed="false">
      <c r="A586" s="18"/>
      <c r="B586" s="18"/>
      <c r="C586" s="19"/>
      <c r="D586" s="20"/>
      <c r="E586" s="20"/>
      <c r="F586" s="20"/>
      <c r="G586" s="20" t="str">
        <f aca="false">IF(COUNTBLANK(D586:F586)=3,"",IF(OR(D586="Fail",E586="Fail",F586="Fail"),"Fail",IF(AND(D586="Pass",E586="Pass",F586="Pass"),"Pass","Incomplete")))</f>
        <v/>
      </c>
      <c r="H586" s="18"/>
      <c r="I586" s="18"/>
    </row>
    <row r="587" customFormat="false" ht="15.75" hidden="false" customHeight="true" outlineLevel="0" collapsed="false">
      <c r="A587" s="18"/>
      <c r="B587" s="18"/>
      <c r="C587" s="19"/>
      <c r="D587" s="20"/>
      <c r="E587" s="20"/>
      <c r="F587" s="20"/>
      <c r="G587" s="20" t="str">
        <f aca="false">IF(COUNTBLANK(D587:F587)=3,"",IF(OR(D587="Fail",E587="Fail",F587="Fail"),"Fail",IF(AND(D587="Pass",E587="Pass",F587="Pass"),"Pass","Incomplete")))</f>
        <v/>
      </c>
      <c r="H587" s="18"/>
      <c r="I587" s="18"/>
    </row>
    <row r="588" customFormat="false" ht="15.75" hidden="false" customHeight="true" outlineLevel="0" collapsed="false">
      <c r="A588" s="18"/>
      <c r="B588" s="18"/>
      <c r="C588" s="19"/>
      <c r="D588" s="20"/>
      <c r="E588" s="20"/>
      <c r="F588" s="20"/>
      <c r="G588" s="20" t="str">
        <f aca="false">IF(COUNTBLANK(D588:F588)=3,"",IF(OR(D588="Fail",E588="Fail",F588="Fail"),"Fail",IF(AND(D588="Pass",E588="Pass",F588="Pass"),"Pass","Incomplete")))</f>
        <v/>
      </c>
      <c r="H588" s="18"/>
      <c r="I588" s="18"/>
    </row>
    <row r="589" customFormat="false" ht="15.75" hidden="false" customHeight="true" outlineLevel="0" collapsed="false">
      <c r="A589" s="18"/>
      <c r="B589" s="18"/>
      <c r="C589" s="19"/>
      <c r="D589" s="20"/>
      <c r="E589" s="20"/>
      <c r="F589" s="20"/>
      <c r="G589" s="20" t="str">
        <f aca="false">IF(COUNTBLANK(D589:F589)=3,"",IF(OR(D589="Fail",E589="Fail",F589="Fail"),"Fail",IF(AND(D589="Pass",E589="Pass",F589="Pass"),"Pass","Incomplete")))</f>
        <v/>
      </c>
      <c r="H589" s="18"/>
      <c r="I589" s="18"/>
    </row>
    <row r="590" customFormat="false" ht="15.75" hidden="false" customHeight="true" outlineLevel="0" collapsed="false">
      <c r="A590" s="18"/>
      <c r="B590" s="18"/>
      <c r="C590" s="19"/>
      <c r="D590" s="20"/>
      <c r="E590" s="20"/>
      <c r="F590" s="20"/>
      <c r="G590" s="20" t="str">
        <f aca="false">IF(COUNTBLANK(D590:F590)=3,"",IF(OR(D590="Fail",E590="Fail",F590="Fail"),"Fail",IF(AND(D590="Pass",E590="Pass",F590="Pass"),"Pass","Incomplete")))</f>
        <v/>
      </c>
      <c r="H590" s="18"/>
      <c r="I590" s="18"/>
    </row>
    <row r="591" customFormat="false" ht="15.75" hidden="false" customHeight="true" outlineLevel="0" collapsed="false">
      <c r="A591" s="18"/>
      <c r="B591" s="18"/>
      <c r="C591" s="19"/>
      <c r="D591" s="20"/>
      <c r="E591" s="20"/>
      <c r="F591" s="20"/>
      <c r="G591" s="20" t="str">
        <f aca="false">IF(COUNTBLANK(D591:F591)=3,"",IF(OR(D591="Fail",E591="Fail",F591="Fail"),"Fail",IF(AND(D591="Pass",E591="Pass",F591="Pass"),"Pass","Incomplete")))</f>
        <v/>
      </c>
      <c r="H591" s="18"/>
      <c r="I591" s="18"/>
    </row>
    <row r="592" customFormat="false" ht="15.75" hidden="false" customHeight="true" outlineLevel="0" collapsed="false">
      <c r="A592" s="18"/>
      <c r="B592" s="18"/>
      <c r="C592" s="19"/>
      <c r="D592" s="20"/>
      <c r="E592" s="20"/>
      <c r="F592" s="20"/>
      <c r="G592" s="20" t="str">
        <f aca="false">IF(COUNTBLANK(D592:F592)=3,"",IF(OR(D592="Fail",E592="Fail",F592="Fail"),"Fail",IF(AND(D592="Pass",E592="Pass",F592="Pass"),"Pass","Incomplete")))</f>
        <v/>
      </c>
      <c r="H592" s="18"/>
      <c r="I592" s="18"/>
    </row>
    <row r="593" customFormat="false" ht="15.75" hidden="false" customHeight="true" outlineLevel="0" collapsed="false">
      <c r="A593" s="18"/>
      <c r="B593" s="18"/>
      <c r="C593" s="19"/>
      <c r="D593" s="20"/>
      <c r="E593" s="20"/>
      <c r="F593" s="20"/>
      <c r="G593" s="20" t="str">
        <f aca="false">IF(COUNTBLANK(D593:F593)=3,"",IF(OR(D593="Fail",E593="Fail",F593="Fail"),"Fail",IF(AND(D593="Pass",E593="Pass",F593="Pass"),"Pass","Incomplete")))</f>
        <v/>
      </c>
      <c r="H593" s="18"/>
      <c r="I593" s="18"/>
    </row>
    <row r="594" customFormat="false" ht="15.75" hidden="false" customHeight="true" outlineLevel="0" collapsed="false">
      <c r="A594" s="18"/>
      <c r="B594" s="18"/>
      <c r="C594" s="19"/>
      <c r="D594" s="20"/>
      <c r="E594" s="20"/>
      <c r="F594" s="20"/>
      <c r="G594" s="20" t="str">
        <f aca="false">IF(COUNTBLANK(D594:F594)=3,"",IF(OR(D594="Fail",E594="Fail",F594="Fail"),"Fail",IF(AND(D594="Pass",E594="Pass",F594="Pass"),"Pass","Incomplete")))</f>
        <v/>
      </c>
      <c r="H594" s="18"/>
      <c r="I594" s="18"/>
    </row>
    <row r="595" customFormat="false" ht="15.75" hidden="false" customHeight="true" outlineLevel="0" collapsed="false">
      <c r="A595" s="18"/>
      <c r="B595" s="18"/>
      <c r="C595" s="19"/>
      <c r="D595" s="20"/>
      <c r="E595" s="20"/>
      <c r="F595" s="20"/>
      <c r="G595" s="20" t="str">
        <f aca="false">IF(COUNTBLANK(D595:F595)=3,"",IF(OR(D595="Fail",E595="Fail",F595="Fail"),"Fail",IF(AND(D595="Pass",E595="Pass",F595="Pass"),"Pass","Incomplete")))</f>
        <v/>
      </c>
      <c r="H595" s="18"/>
      <c r="I595" s="18"/>
    </row>
    <row r="596" customFormat="false" ht="15.75" hidden="false" customHeight="true" outlineLevel="0" collapsed="false">
      <c r="A596" s="18"/>
      <c r="B596" s="18"/>
      <c r="C596" s="19"/>
      <c r="D596" s="20"/>
      <c r="E596" s="20"/>
      <c r="F596" s="20"/>
      <c r="G596" s="20" t="str">
        <f aca="false">IF(COUNTBLANK(D596:F596)=3,"",IF(OR(D596="Fail",E596="Fail",F596="Fail"),"Fail",IF(AND(D596="Pass",E596="Pass",F596="Pass"),"Pass","Incomplete")))</f>
        <v/>
      </c>
      <c r="H596" s="18"/>
      <c r="I596" s="18"/>
    </row>
    <row r="597" customFormat="false" ht="15.75" hidden="false" customHeight="true" outlineLevel="0" collapsed="false">
      <c r="A597" s="18"/>
      <c r="B597" s="18"/>
      <c r="C597" s="19"/>
      <c r="D597" s="20"/>
      <c r="E597" s="20"/>
      <c r="F597" s="20"/>
      <c r="G597" s="20" t="str">
        <f aca="false">IF(COUNTBLANK(D597:F597)=3,"",IF(OR(D597="Fail",E597="Fail",F597="Fail"),"Fail",IF(AND(D597="Pass",E597="Pass",F597="Pass"),"Pass","Incomplete")))</f>
        <v/>
      </c>
      <c r="H597" s="18"/>
      <c r="I597" s="18"/>
    </row>
    <row r="598" customFormat="false" ht="15.75" hidden="false" customHeight="true" outlineLevel="0" collapsed="false">
      <c r="A598" s="18"/>
      <c r="B598" s="18"/>
      <c r="C598" s="19"/>
      <c r="D598" s="20"/>
      <c r="E598" s="20"/>
      <c r="F598" s="20"/>
      <c r="G598" s="20" t="str">
        <f aca="false">IF(COUNTBLANK(D598:F598)=3,"",IF(OR(D598="Fail",E598="Fail",F598="Fail"),"Fail",IF(AND(D598="Pass",E598="Pass",F598="Pass"),"Pass","Incomplete")))</f>
        <v/>
      </c>
      <c r="H598" s="18"/>
      <c r="I598" s="18"/>
    </row>
    <row r="599" customFormat="false" ht="15.75" hidden="false" customHeight="true" outlineLevel="0" collapsed="false">
      <c r="A599" s="18"/>
      <c r="B599" s="18"/>
      <c r="C599" s="19"/>
      <c r="D599" s="20"/>
      <c r="E599" s="20"/>
      <c r="F599" s="20"/>
      <c r="G599" s="20" t="str">
        <f aca="false">IF(COUNTBLANK(D599:F599)=3,"",IF(OR(D599="Fail",E599="Fail",F599="Fail"),"Fail",IF(AND(D599="Pass",E599="Pass",F599="Pass"),"Pass","Incomplete")))</f>
        <v/>
      </c>
      <c r="H599" s="18"/>
      <c r="I599" s="18"/>
    </row>
    <row r="600" customFormat="false" ht="15.75" hidden="false" customHeight="true" outlineLevel="0" collapsed="false">
      <c r="A600" s="18"/>
      <c r="B600" s="18"/>
      <c r="C600" s="19"/>
      <c r="D600" s="20"/>
      <c r="E600" s="20"/>
      <c r="F600" s="20"/>
      <c r="G600" s="20" t="str">
        <f aca="false">IF(COUNTBLANK(D600:F600)=3,"",IF(OR(D600="Fail",E600="Fail",F600="Fail"),"Fail",IF(AND(D600="Pass",E600="Pass",F600="Pass"),"Pass","Incomplete")))</f>
        <v/>
      </c>
      <c r="H600" s="18"/>
      <c r="I600" s="18"/>
    </row>
    <row r="601" customFormat="false" ht="15.75" hidden="false" customHeight="true" outlineLevel="0" collapsed="false">
      <c r="A601" s="18"/>
      <c r="B601" s="18"/>
      <c r="C601" s="19"/>
      <c r="D601" s="20"/>
      <c r="E601" s="20"/>
      <c r="F601" s="20"/>
      <c r="G601" s="20" t="str">
        <f aca="false">IF(COUNTBLANK(D601:F601)=3,"",IF(OR(D601="Fail",E601="Fail",F601="Fail"),"Fail",IF(AND(D601="Pass",E601="Pass",F601="Pass"),"Pass","Incomplete")))</f>
        <v/>
      </c>
      <c r="H601" s="18"/>
      <c r="I601" s="18"/>
    </row>
    <row r="602" customFormat="false" ht="15.75" hidden="false" customHeight="true" outlineLevel="0" collapsed="false">
      <c r="A602" s="18"/>
      <c r="B602" s="18"/>
      <c r="C602" s="19"/>
      <c r="D602" s="20"/>
      <c r="E602" s="20"/>
      <c r="F602" s="20"/>
      <c r="G602" s="20" t="str">
        <f aca="false">IF(COUNTBLANK(D602:F602)=3,"",IF(OR(D602="Fail",E602="Fail",F602="Fail"),"Fail",IF(AND(D602="Pass",E602="Pass",F602="Pass"),"Pass","Incomplete")))</f>
        <v/>
      </c>
      <c r="H602" s="18"/>
      <c r="I602" s="18"/>
    </row>
    <row r="603" customFormat="false" ht="15.75" hidden="false" customHeight="true" outlineLevel="0" collapsed="false">
      <c r="A603" s="18"/>
      <c r="B603" s="18"/>
      <c r="C603" s="19"/>
      <c r="D603" s="20"/>
      <c r="E603" s="20"/>
      <c r="F603" s="20"/>
      <c r="G603" s="20" t="str">
        <f aca="false">IF(COUNTBLANK(D603:F603)=3,"",IF(OR(D603="Fail",E603="Fail",F603="Fail"),"Fail",IF(AND(D603="Pass",E603="Pass",F603="Pass"),"Pass","Incomplete")))</f>
        <v/>
      </c>
      <c r="H603" s="18"/>
      <c r="I603" s="18"/>
    </row>
    <row r="604" customFormat="false" ht="15.75" hidden="false" customHeight="true" outlineLevel="0" collapsed="false">
      <c r="A604" s="18"/>
      <c r="B604" s="18"/>
      <c r="C604" s="19"/>
      <c r="D604" s="20"/>
      <c r="E604" s="20"/>
      <c r="F604" s="20"/>
      <c r="G604" s="20" t="str">
        <f aca="false">IF(COUNTBLANK(D604:F604)=3,"",IF(OR(D604="Fail",E604="Fail",F604="Fail"),"Fail",IF(AND(D604="Pass",E604="Pass",F604="Pass"),"Pass","Incomplete")))</f>
        <v/>
      </c>
      <c r="H604" s="18"/>
      <c r="I604" s="18"/>
    </row>
    <row r="605" customFormat="false" ht="15.75" hidden="false" customHeight="true" outlineLevel="0" collapsed="false">
      <c r="A605" s="18"/>
      <c r="B605" s="18"/>
      <c r="C605" s="19"/>
      <c r="D605" s="20"/>
      <c r="E605" s="20"/>
      <c r="F605" s="20"/>
      <c r="G605" s="20" t="str">
        <f aca="false">IF(COUNTBLANK(D605:F605)=3,"",IF(OR(D605="Fail",E605="Fail",F605="Fail"),"Fail",IF(AND(D605="Pass",E605="Pass",F605="Pass"),"Pass","Incomplete")))</f>
        <v/>
      </c>
      <c r="H605" s="18"/>
      <c r="I605" s="18"/>
    </row>
    <row r="606" customFormat="false" ht="15.75" hidden="false" customHeight="true" outlineLevel="0" collapsed="false">
      <c r="A606" s="18"/>
      <c r="B606" s="18"/>
      <c r="C606" s="19"/>
      <c r="D606" s="20"/>
      <c r="E606" s="20"/>
      <c r="F606" s="20"/>
      <c r="G606" s="20" t="str">
        <f aca="false">IF(COUNTBLANK(D606:F606)=3,"",IF(OR(D606="Fail",E606="Fail",F606="Fail"),"Fail",IF(AND(D606="Pass",E606="Pass",F606="Pass"),"Pass","Incomplete")))</f>
        <v/>
      </c>
      <c r="H606" s="18"/>
      <c r="I606" s="18"/>
    </row>
    <row r="607" customFormat="false" ht="15.75" hidden="false" customHeight="true" outlineLevel="0" collapsed="false">
      <c r="A607" s="18"/>
      <c r="B607" s="18"/>
      <c r="C607" s="19"/>
      <c r="D607" s="20"/>
      <c r="E607" s="20"/>
      <c r="F607" s="20"/>
      <c r="G607" s="20" t="str">
        <f aca="false">IF(COUNTBLANK(D607:F607)=3,"",IF(OR(D607="Fail",E607="Fail",F607="Fail"),"Fail",IF(AND(D607="Pass",E607="Pass",F607="Pass"),"Pass","Incomplete")))</f>
        <v/>
      </c>
      <c r="H607" s="18"/>
      <c r="I607" s="18"/>
    </row>
    <row r="608" customFormat="false" ht="15.75" hidden="false" customHeight="true" outlineLevel="0" collapsed="false">
      <c r="A608" s="18"/>
      <c r="B608" s="18"/>
      <c r="C608" s="19"/>
      <c r="D608" s="20"/>
      <c r="E608" s="20"/>
      <c r="F608" s="20"/>
      <c r="G608" s="20" t="str">
        <f aca="false">IF(COUNTBLANK(D608:F608)=3,"",IF(OR(D608="Fail",E608="Fail",F608="Fail"),"Fail",IF(AND(D608="Pass",E608="Pass",F608="Pass"),"Pass","Incomplete")))</f>
        <v/>
      </c>
      <c r="H608" s="18"/>
      <c r="I608" s="18"/>
    </row>
    <row r="609" customFormat="false" ht="15.75" hidden="false" customHeight="true" outlineLevel="0" collapsed="false">
      <c r="A609" s="18"/>
      <c r="B609" s="18"/>
      <c r="C609" s="19"/>
      <c r="D609" s="20"/>
      <c r="E609" s="20"/>
      <c r="F609" s="20"/>
      <c r="G609" s="20" t="str">
        <f aca="false">IF(COUNTBLANK(D609:F609)=3,"",IF(OR(D609="Fail",E609="Fail",F609="Fail"),"Fail",IF(AND(D609="Pass",E609="Pass",F609="Pass"),"Pass","Incomplete")))</f>
        <v/>
      </c>
      <c r="H609" s="18"/>
      <c r="I609" s="18"/>
    </row>
    <row r="610" customFormat="false" ht="15.75" hidden="false" customHeight="true" outlineLevel="0" collapsed="false">
      <c r="A610" s="18"/>
      <c r="B610" s="18"/>
      <c r="C610" s="19"/>
      <c r="D610" s="20"/>
      <c r="E610" s="20"/>
      <c r="F610" s="20"/>
      <c r="G610" s="20" t="str">
        <f aca="false">IF(COUNTBLANK(D610:F610)=3,"",IF(OR(D610="Fail",E610="Fail",F610="Fail"),"Fail",IF(AND(D610="Pass",E610="Pass",F610="Pass"),"Pass","Incomplete")))</f>
        <v/>
      </c>
      <c r="H610" s="18"/>
      <c r="I610" s="18"/>
    </row>
    <row r="611" customFormat="false" ht="15.75" hidden="false" customHeight="true" outlineLevel="0" collapsed="false">
      <c r="A611" s="18"/>
      <c r="B611" s="18"/>
      <c r="C611" s="19"/>
      <c r="D611" s="20"/>
      <c r="E611" s="20"/>
      <c r="F611" s="20"/>
      <c r="G611" s="20" t="str">
        <f aca="false">IF(COUNTBLANK(D611:F611)=3,"",IF(OR(D611="Fail",E611="Fail",F611="Fail"),"Fail",IF(AND(D611="Pass",E611="Pass",F611="Pass"),"Pass","Incomplete")))</f>
        <v/>
      </c>
      <c r="H611" s="18"/>
      <c r="I611" s="18"/>
    </row>
    <row r="612" customFormat="false" ht="15.75" hidden="false" customHeight="true" outlineLevel="0" collapsed="false">
      <c r="A612" s="18"/>
      <c r="B612" s="18"/>
      <c r="C612" s="19"/>
      <c r="D612" s="20"/>
      <c r="E612" s="20"/>
      <c r="F612" s="20"/>
      <c r="G612" s="20" t="str">
        <f aca="false">IF(COUNTBLANK(D612:F612)=3,"",IF(OR(D612="Fail",E612="Fail",F612="Fail"),"Fail",IF(AND(D612="Pass",E612="Pass",F612="Pass"),"Pass","Incomplete")))</f>
        <v/>
      </c>
      <c r="H612" s="18"/>
      <c r="I612" s="18"/>
    </row>
    <row r="613" customFormat="false" ht="15.75" hidden="false" customHeight="true" outlineLevel="0" collapsed="false">
      <c r="A613" s="18"/>
      <c r="B613" s="18"/>
      <c r="C613" s="19"/>
      <c r="D613" s="20"/>
      <c r="E613" s="20"/>
      <c r="F613" s="20"/>
      <c r="G613" s="20" t="str">
        <f aca="false">IF(COUNTBLANK(D613:F613)=3,"",IF(OR(D613="Fail",E613="Fail",F613="Fail"),"Fail",IF(AND(D613="Pass",E613="Pass",F613="Pass"),"Pass","Incomplete")))</f>
        <v/>
      </c>
      <c r="H613" s="18"/>
      <c r="I613" s="18"/>
    </row>
    <row r="614" customFormat="false" ht="15.75" hidden="false" customHeight="true" outlineLevel="0" collapsed="false">
      <c r="A614" s="18"/>
      <c r="B614" s="18"/>
      <c r="C614" s="19"/>
      <c r="D614" s="20"/>
      <c r="E614" s="20"/>
      <c r="F614" s="20"/>
      <c r="G614" s="20" t="str">
        <f aca="false">IF(COUNTBLANK(D614:F614)=3,"",IF(OR(D614="Fail",E614="Fail",F614="Fail"),"Fail",IF(AND(D614="Pass",E614="Pass",F614="Pass"),"Pass","Incomplete")))</f>
        <v/>
      </c>
      <c r="H614" s="18"/>
      <c r="I614" s="18"/>
    </row>
    <row r="615" customFormat="false" ht="15.75" hidden="false" customHeight="true" outlineLevel="0" collapsed="false">
      <c r="A615" s="18"/>
      <c r="B615" s="18"/>
      <c r="C615" s="19"/>
      <c r="D615" s="20"/>
      <c r="E615" s="20"/>
      <c r="F615" s="20"/>
      <c r="G615" s="20" t="str">
        <f aca="false">IF(COUNTBLANK(D615:F615)=3,"",IF(OR(D615="Fail",E615="Fail",F615="Fail"),"Fail",IF(AND(D615="Pass",E615="Pass",F615="Pass"),"Pass","Incomplete")))</f>
        <v/>
      </c>
      <c r="H615" s="18"/>
      <c r="I615" s="18"/>
    </row>
    <row r="616" customFormat="false" ht="15.75" hidden="false" customHeight="true" outlineLevel="0" collapsed="false">
      <c r="A616" s="18"/>
      <c r="B616" s="18"/>
      <c r="C616" s="19"/>
      <c r="D616" s="20"/>
      <c r="E616" s="20"/>
      <c r="F616" s="20"/>
      <c r="G616" s="20" t="str">
        <f aca="false">IF(COUNTBLANK(D616:F616)=3,"",IF(OR(D616="Fail",E616="Fail",F616="Fail"),"Fail",IF(AND(D616="Pass",E616="Pass",F616="Pass"),"Pass","Incomplete")))</f>
        <v/>
      </c>
      <c r="H616" s="18"/>
      <c r="I616" s="18"/>
    </row>
    <row r="617" customFormat="false" ht="15.75" hidden="false" customHeight="true" outlineLevel="0" collapsed="false">
      <c r="A617" s="18"/>
      <c r="B617" s="18"/>
      <c r="C617" s="19"/>
      <c r="D617" s="20"/>
      <c r="E617" s="20"/>
      <c r="F617" s="20"/>
      <c r="G617" s="20" t="str">
        <f aca="false">IF(COUNTBLANK(D617:F617)=3,"",IF(OR(D617="Fail",E617="Fail",F617="Fail"),"Fail",IF(AND(D617="Pass",E617="Pass",F617="Pass"),"Pass","Incomplete")))</f>
        <v/>
      </c>
      <c r="H617" s="18"/>
      <c r="I617" s="18"/>
    </row>
    <row r="618" customFormat="false" ht="15.75" hidden="false" customHeight="true" outlineLevel="0" collapsed="false">
      <c r="A618" s="18"/>
      <c r="B618" s="18"/>
      <c r="C618" s="19"/>
      <c r="D618" s="20"/>
      <c r="E618" s="20"/>
      <c r="F618" s="20"/>
      <c r="G618" s="20" t="str">
        <f aca="false">IF(COUNTBLANK(D618:F618)=3,"",IF(OR(D618="Fail",E618="Fail",F618="Fail"),"Fail",IF(AND(D618="Pass",E618="Pass",F618="Pass"),"Pass","Incomplete")))</f>
        <v/>
      </c>
      <c r="H618" s="18"/>
      <c r="I618" s="18"/>
    </row>
    <row r="619" customFormat="false" ht="15.75" hidden="false" customHeight="true" outlineLevel="0" collapsed="false">
      <c r="A619" s="18"/>
      <c r="B619" s="18"/>
      <c r="C619" s="19"/>
      <c r="D619" s="20"/>
      <c r="E619" s="20"/>
      <c r="F619" s="20"/>
      <c r="G619" s="20" t="str">
        <f aca="false">IF(COUNTBLANK(D619:F619)=3,"",IF(OR(D619="Fail",E619="Fail",F619="Fail"),"Fail",IF(AND(D619="Pass",E619="Pass",F619="Pass"),"Pass","Incomplete")))</f>
        <v/>
      </c>
      <c r="H619" s="18"/>
      <c r="I619" s="18"/>
    </row>
    <row r="620" customFormat="false" ht="15.75" hidden="false" customHeight="true" outlineLevel="0" collapsed="false">
      <c r="A620" s="18"/>
      <c r="B620" s="18"/>
      <c r="C620" s="19"/>
      <c r="D620" s="20"/>
      <c r="E620" s="20"/>
      <c r="F620" s="20"/>
      <c r="G620" s="20" t="str">
        <f aca="false">IF(COUNTBLANK(D620:F620)=3,"",IF(OR(D620="Fail",E620="Fail",F620="Fail"),"Fail",IF(AND(D620="Pass",E620="Pass",F620="Pass"),"Pass","Incomplete")))</f>
        <v/>
      </c>
      <c r="H620" s="18"/>
      <c r="I620" s="18"/>
    </row>
    <row r="621" customFormat="false" ht="15.75" hidden="false" customHeight="true" outlineLevel="0" collapsed="false">
      <c r="A621" s="18"/>
      <c r="B621" s="18"/>
      <c r="C621" s="19"/>
      <c r="D621" s="20"/>
      <c r="E621" s="20"/>
      <c r="F621" s="20"/>
      <c r="G621" s="20" t="str">
        <f aca="false">IF(COUNTBLANK(D621:F621)=3,"",IF(OR(D621="Fail",E621="Fail",F621="Fail"),"Fail",IF(AND(D621="Pass",E621="Pass",F621="Pass"),"Pass","Incomplete")))</f>
        <v/>
      </c>
      <c r="H621" s="18"/>
      <c r="I621" s="18"/>
    </row>
    <row r="622" customFormat="false" ht="15.75" hidden="false" customHeight="true" outlineLevel="0" collapsed="false">
      <c r="A622" s="18"/>
      <c r="B622" s="18"/>
      <c r="C622" s="19"/>
      <c r="D622" s="20"/>
      <c r="E622" s="20"/>
      <c r="F622" s="20"/>
      <c r="G622" s="20" t="str">
        <f aca="false">IF(COUNTBLANK(D622:F622)=3,"",IF(OR(D622="Fail",E622="Fail",F622="Fail"),"Fail",IF(AND(D622="Pass",E622="Pass",F622="Pass"),"Pass","Incomplete")))</f>
        <v/>
      </c>
      <c r="H622" s="18"/>
      <c r="I622" s="18"/>
    </row>
    <row r="623" customFormat="false" ht="15.75" hidden="false" customHeight="true" outlineLevel="0" collapsed="false">
      <c r="A623" s="18"/>
      <c r="B623" s="18"/>
      <c r="C623" s="19"/>
      <c r="D623" s="20"/>
      <c r="E623" s="20"/>
      <c r="F623" s="20"/>
      <c r="G623" s="20" t="str">
        <f aca="false">IF(COUNTBLANK(D623:F623)=3,"",IF(OR(D623="Fail",E623="Fail",F623="Fail"),"Fail",IF(AND(D623="Pass",E623="Pass",F623="Pass"),"Pass","Incomplete")))</f>
        <v/>
      </c>
      <c r="H623" s="18"/>
      <c r="I623" s="18"/>
    </row>
    <row r="624" customFormat="false" ht="15.75" hidden="false" customHeight="true" outlineLevel="0" collapsed="false">
      <c r="A624" s="18"/>
      <c r="B624" s="18"/>
      <c r="C624" s="19"/>
      <c r="D624" s="20"/>
      <c r="E624" s="20"/>
      <c r="F624" s="20"/>
      <c r="G624" s="20" t="str">
        <f aca="false">IF(COUNTBLANK(D624:F624)=3,"",IF(OR(D624="Fail",E624="Fail",F624="Fail"),"Fail",IF(AND(D624="Pass",E624="Pass",F624="Pass"),"Pass","Incomplete")))</f>
        <v/>
      </c>
      <c r="H624" s="18"/>
      <c r="I624" s="18"/>
    </row>
    <row r="625" customFormat="false" ht="15.75" hidden="false" customHeight="true" outlineLevel="0" collapsed="false">
      <c r="A625" s="18"/>
      <c r="B625" s="18"/>
      <c r="C625" s="19"/>
      <c r="D625" s="20"/>
      <c r="E625" s="20"/>
      <c r="F625" s="20"/>
      <c r="G625" s="20" t="str">
        <f aca="false">IF(COUNTBLANK(D625:F625)=3,"",IF(OR(D625="Fail",E625="Fail",F625="Fail"),"Fail",IF(AND(D625="Pass",E625="Pass",F625="Pass"),"Pass","Incomplete")))</f>
        <v/>
      </c>
      <c r="H625" s="18"/>
      <c r="I625" s="18"/>
    </row>
    <row r="626" customFormat="false" ht="15.75" hidden="false" customHeight="true" outlineLevel="0" collapsed="false">
      <c r="A626" s="18"/>
      <c r="B626" s="18"/>
      <c r="C626" s="19"/>
      <c r="D626" s="20"/>
      <c r="E626" s="20"/>
      <c r="F626" s="20"/>
      <c r="G626" s="20" t="str">
        <f aca="false">IF(COUNTBLANK(D626:F626)=3,"",IF(OR(D626="Fail",E626="Fail",F626="Fail"),"Fail",IF(AND(D626="Pass",E626="Pass",F626="Pass"),"Pass","Incomplete")))</f>
        <v/>
      </c>
      <c r="H626" s="18"/>
      <c r="I626" s="18"/>
    </row>
    <row r="627" customFormat="false" ht="15.75" hidden="false" customHeight="true" outlineLevel="0" collapsed="false">
      <c r="A627" s="18"/>
      <c r="B627" s="18"/>
      <c r="C627" s="19"/>
      <c r="D627" s="20"/>
      <c r="E627" s="20"/>
      <c r="F627" s="20"/>
      <c r="G627" s="20" t="str">
        <f aca="false">IF(COUNTBLANK(D627:F627)=3,"",IF(OR(D627="Fail",E627="Fail",F627="Fail"),"Fail",IF(AND(D627="Pass",E627="Pass",F627="Pass"),"Pass","Incomplete")))</f>
        <v/>
      </c>
      <c r="H627" s="18"/>
      <c r="I627" s="18"/>
    </row>
    <row r="628" customFormat="false" ht="15.75" hidden="false" customHeight="true" outlineLevel="0" collapsed="false">
      <c r="A628" s="18"/>
      <c r="B628" s="18"/>
      <c r="C628" s="19"/>
      <c r="D628" s="20"/>
      <c r="E628" s="20"/>
      <c r="F628" s="20"/>
      <c r="G628" s="20" t="str">
        <f aca="false">IF(COUNTBLANK(D628:F628)=3,"",IF(OR(D628="Fail",E628="Fail",F628="Fail"),"Fail",IF(AND(D628="Pass",E628="Pass",F628="Pass"),"Pass","Incomplete")))</f>
        <v/>
      </c>
      <c r="H628" s="18"/>
      <c r="I628" s="18"/>
    </row>
    <row r="629" customFormat="false" ht="15.75" hidden="false" customHeight="true" outlineLevel="0" collapsed="false">
      <c r="A629" s="18"/>
      <c r="B629" s="18"/>
      <c r="C629" s="19"/>
      <c r="D629" s="20"/>
      <c r="E629" s="20"/>
      <c r="F629" s="20"/>
      <c r="G629" s="20" t="str">
        <f aca="false">IF(COUNTBLANK(D629:F629)=3,"",IF(OR(D629="Fail",E629="Fail",F629="Fail"),"Fail",IF(AND(D629="Pass",E629="Pass",F629="Pass"),"Pass","Incomplete")))</f>
        <v/>
      </c>
      <c r="H629" s="18"/>
      <c r="I629" s="18"/>
    </row>
    <row r="630" customFormat="false" ht="15.75" hidden="false" customHeight="true" outlineLevel="0" collapsed="false">
      <c r="A630" s="18"/>
      <c r="B630" s="18"/>
      <c r="C630" s="19"/>
      <c r="D630" s="20"/>
      <c r="E630" s="20"/>
      <c r="F630" s="20"/>
      <c r="G630" s="20" t="str">
        <f aca="false">IF(COUNTBLANK(D630:F630)=3,"",IF(OR(D630="Fail",E630="Fail",F630="Fail"),"Fail",IF(AND(D630="Pass",E630="Pass",F630="Pass"),"Pass","Incomplete")))</f>
        <v/>
      </c>
      <c r="H630" s="18"/>
      <c r="I630" s="18"/>
    </row>
    <row r="631" customFormat="false" ht="15.75" hidden="false" customHeight="true" outlineLevel="0" collapsed="false">
      <c r="A631" s="18"/>
      <c r="B631" s="18"/>
      <c r="C631" s="19"/>
      <c r="D631" s="20"/>
      <c r="E631" s="20"/>
      <c r="F631" s="20"/>
      <c r="G631" s="20" t="str">
        <f aca="false">IF(COUNTBLANK(D631:F631)=3,"",IF(OR(D631="Fail",E631="Fail",F631="Fail"),"Fail",IF(AND(D631="Pass",E631="Pass",F631="Pass"),"Pass","Incomplete")))</f>
        <v/>
      </c>
      <c r="H631" s="18"/>
      <c r="I631" s="18"/>
    </row>
    <row r="632" customFormat="false" ht="15.75" hidden="false" customHeight="true" outlineLevel="0" collapsed="false">
      <c r="A632" s="18"/>
      <c r="B632" s="18"/>
      <c r="C632" s="19"/>
      <c r="D632" s="20"/>
      <c r="E632" s="20"/>
      <c r="F632" s="20"/>
      <c r="G632" s="20" t="str">
        <f aca="false">IF(COUNTBLANK(D632:F632)=3,"",IF(OR(D632="Fail",E632="Fail",F632="Fail"),"Fail",IF(AND(D632="Pass",E632="Pass",F632="Pass"),"Pass","Incomplete")))</f>
        <v/>
      </c>
      <c r="H632" s="18"/>
      <c r="I632" s="18"/>
    </row>
    <row r="633" customFormat="false" ht="15.75" hidden="false" customHeight="true" outlineLevel="0" collapsed="false">
      <c r="A633" s="18"/>
      <c r="B633" s="18"/>
      <c r="C633" s="19"/>
      <c r="D633" s="20"/>
      <c r="E633" s="20"/>
      <c r="F633" s="20"/>
      <c r="G633" s="20" t="str">
        <f aca="false">IF(COUNTBLANK(D633:F633)=3,"",IF(OR(D633="Fail",E633="Fail",F633="Fail"),"Fail",IF(AND(D633="Pass",E633="Pass",F633="Pass"),"Pass","Incomplete")))</f>
        <v/>
      </c>
      <c r="H633" s="18"/>
      <c r="I633" s="18"/>
    </row>
    <row r="634" customFormat="false" ht="15.75" hidden="false" customHeight="true" outlineLevel="0" collapsed="false">
      <c r="A634" s="18"/>
      <c r="B634" s="18"/>
      <c r="C634" s="19"/>
      <c r="D634" s="20"/>
      <c r="E634" s="20"/>
      <c r="F634" s="20"/>
      <c r="G634" s="20" t="str">
        <f aca="false">IF(COUNTBLANK(D634:F634)=3,"",IF(OR(D634="Fail",E634="Fail",F634="Fail"),"Fail",IF(AND(D634="Pass",E634="Pass",F634="Pass"),"Pass","Incomplete")))</f>
        <v/>
      </c>
      <c r="H634" s="18"/>
      <c r="I634" s="18"/>
    </row>
    <row r="635" customFormat="false" ht="15.75" hidden="false" customHeight="true" outlineLevel="0" collapsed="false">
      <c r="A635" s="18"/>
      <c r="B635" s="18"/>
      <c r="C635" s="19"/>
      <c r="D635" s="20"/>
      <c r="E635" s="20"/>
      <c r="F635" s="20"/>
      <c r="G635" s="20" t="str">
        <f aca="false">IF(COUNTBLANK(D635:F635)=3,"",IF(OR(D635="Fail",E635="Fail",F635="Fail"),"Fail",IF(AND(D635="Pass",E635="Pass",F635="Pass"),"Pass","Incomplete")))</f>
        <v/>
      </c>
      <c r="H635" s="18"/>
      <c r="I635" s="18"/>
    </row>
    <row r="636" customFormat="false" ht="15.75" hidden="false" customHeight="true" outlineLevel="0" collapsed="false">
      <c r="A636" s="18"/>
      <c r="B636" s="18"/>
      <c r="C636" s="19"/>
      <c r="D636" s="20"/>
      <c r="E636" s="20"/>
      <c r="F636" s="20"/>
      <c r="G636" s="20" t="str">
        <f aca="false">IF(COUNTBLANK(D636:F636)=3,"",IF(OR(D636="Fail",E636="Fail",F636="Fail"),"Fail",IF(AND(D636="Pass",E636="Pass",F636="Pass"),"Pass","Incomplete")))</f>
        <v/>
      </c>
      <c r="H636" s="18"/>
      <c r="I636" s="18"/>
    </row>
    <row r="637" customFormat="false" ht="15.75" hidden="false" customHeight="true" outlineLevel="0" collapsed="false">
      <c r="A637" s="18"/>
      <c r="B637" s="18"/>
      <c r="C637" s="19"/>
      <c r="D637" s="20"/>
      <c r="E637" s="20"/>
      <c r="F637" s="20"/>
      <c r="G637" s="20" t="str">
        <f aca="false">IF(COUNTBLANK(D637:F637)=3,"",IF(OR(D637="Fail",E637="Fail",F637="Fail"),"Fail",IF(AND(D637="Pass",E637="Pass",F637="Pass"),"Pass","Incomplete")))</f>
        <v/>
      </c>
      <c r="H637" s="18"/>
      <c r="I637" s="18"/>
    </row>
    <row r="638" customFormat="false" ht="15.75" hidden="false" customHeight="true" outlineLevel="0" collapsed="false">
      <c r="A638" s="18"/>
      <c r="B638" s="18"/>
      <c r="C638" s="19"/>
      <c r="D638" s="20"/>
      <c r="E638" s="20"/>
      <c r="F638" s="20"/>
      <c r="G638" s="20" t="str">
        <f aca="false">IF(COUNTBLANK(D638:F638)=3,"",IF(OR(D638="Fail",E638="Fail",F638="Fail"),"Fail",IF(AND(D638="Pass",E638="Pass",F638="Pass"),"Pass","Incomplete")))</f>
        <v/>
      </c>
      <c r="H638" s="18"/>
      <c r="I638" s="18"/>
    </row>
    <row r="639" customFormat="false" ht="15.75" hidden="false" customHeight="true" outlineLevel="0" collapsed="false">
      <c r="A639" s="18"/>
      <c r="B639" s="18"/>
      <c r="C639" s="19"/>
      <c r="D639" s="20"/>
      <c r="E639" s="20"/>
      <c r="F639" s="20"/>
      <c r="G639" s="20" t="str">
        <f aca="false">IF(COUNTBLANK(D639:F639)=3,"",IF(OR(D639="Fail",E639="Fail",F639="Fail"),"Fail",IF(AND(D639="Pass",E639="Pass",F639="Pass"),"Pass","Incomplete")))</f>
        <v/>
      </c>
      <c r="H639" s="18"/>
      <c r="I639" s="18"/>
    </row>
    <row r="640" customFormat="false" ht="15.75" hidden="false" customHeight="true" outlineLevel="0" collapsed="false">
      <c r="A640" s="18"/>
      <c r="B640" s="18"/>
      <c r="C640" s="19"/>
      <c r="D640" s="20"/>
      <c r="E640" s="20"/>
      <c r="F640" s="20"/>
      <c r="G640" s="20" t="str">
        <f aca="false">IF(COUNTBLANK(D640:F640)=3,"",IF(OR(D640="Fail",E640="Fail",F640="Fail"),"Fail",IF(AND(D640="Pass",E640="Pass",F640="Pass"),"Pass","Incomplete")))</f>
        <v/>
      </c>
      <c r="H640" s="18"/>
      <c r="I640" s="18"/>
    </row>
    <row r="641" customFormat="false" ht="15.75" hidden="false" customHeight="true" outlineLevel="0" collapsed="false">
      <c r="A641" s="18"/>
      <c r="B641" s="18"/>
      <c r="C641" s="19"/>
      <c r="D641" s="20"/>
      <c r="E641" s="20"/>
      <c r="F641" s="20"/>
      <c r="G641" s="20" t="str">
        <f aca="false">IF(COUNTBLANK(D641:F641)=3,"",IF(OR(D641="Fail",E641="Fail",F641="Fail"),"Fail",IF(AND(D641="Pass",E641="Pass",F641="Pass"),"Pass","Incomplete")))</f>
        <v/>
      </c>
      <c r="H641" s="18"/>
      <c r="I641" s="18"/>
    </row>
    <row r="642" customFormat="false" ht="15.75" hidden="false" customHeight="true" outlineLevel="0" collapsed="false">
      <c r="A642" s="18"/>
      <c r="B642" s="18"/>
      <c r="C642" s="19"/>
      <c r="D642" s="20"/>
      <c r="E642" s="20"/>
      <c r="F642" s="20"/>
      <c r="G642" s="20" t="str">
        <f aca="false">IF(COUNTBLANK(D642:F642)=3,"",IF(OR(D642="Fail",E642="Fail",F642="Fail"),"Fail",IF(AND(D642="Pass",E642="Pass",F642="Pass"),"Pass","Incomplete")))</f>
        <v/>
      </c>
      <c r="H642" s="18"/>
      <c r="I642" s="18"/>
    </row>
    <row r="643" customFormat="false" ht="15.75" hidden="false" customHeight="true" outlineLevel="0" collapsed="false">
      <c r="A643" s="18"/>
      <c r="B643" s="18"/>
      <c r="C643" s="19"/>
      <c r="D643" s="20"/>
      <c r="E643" s="20"/>
      <c r="F643" s="20"/>
      <c r="G643" s="20" t="str">
        <f aca="false">IF(COUNTBLANK(D643:F643)=3,"",IF(OR(D643="Fail",E643="Fail",F643="Fail"),"Fail",IF(AND(D643="Pass",E643="Pass",F643="Pass"),"Pass","Incomplete")))</f>
        <v/>
      </c>
      <c r="H643" s="18"/>
      <c r="I643" s="18"/>
    </row>
    <row r="644" customFormat="false" ht="15.75" hidden="false" customHeight="true" outlineLevel="0" collapsed="false">
      <c r="A644" s="18"/>
      <c r="B644" s="18"/>
      <c r="C644" s="19"/>
      <c r="D644" s="20"/>
      <c r="E644" s="20"/>
      <c r="F644" s="20"/>
      <c r="G644" s="20" t="str">
        <f aca="false">IF(COUNTBLANK(D644:F644)=3,"",IF(OR(D644="Fail",E644="Fail",F644="Fail"),"Fail",IF(AND(D644="Pass",E644="Pass",F644="Pass"),"Pass","Incomplete")))</f>
        <v/>
      </c>
      <c r="H644" s="18"/>
      <c r="I644" s="18"/>
    </row>
    <row r="645" customFormat="false" ht="15.75" hidden="false" customHeight="true" outlineLevel="0" collapsed="false">
      <c r="A645" s="18"/>
      <c r="B645" s="18"/>
      <c r="C645" s="19"/>
      <c r="D645" s="20"/>
      <c r="E645" s="20"/>
      <c r="F645" s="20"/>
      <c r="G645" s="20" t="str">
        <f aca="false">IF(COUNTBLANK(D645:F645)=3,"",IF(OR(D645="Fail",E645="Fail",F645="Fail"),"Fail",IF(AND(D645="Pass",E645="Pass",F645="Pass"),"Pass","Incomplete")))</f>
        <v/>
      </c>
      <c r="H645" s="18"/>
      <c r="I645" s="18"/>
    </row>
    <row r="646" customFormat="false" ht="15.75" hidden="false" customHeight="true" outlineLevel="0" collapsed="false">
      <c r="A646" s="18"/>
      <c r="B646" s="18"/>
      <c r="C646" s="19"/>
      <c r="D646" s="20"/>
      <c r="E646" s="20"/>
      <c r="F646" s="20"/>
      <c r="G646" s="20" t="str">
        <f aca="false">IF(COUNTBLANK(D646:F646)=3,"",IF(OR(D646="Fail",E646="Fail",F646="Fail"),"Fail",IF(AND(D646="Pass",E646="Pass",F646="Pass"),"Pass","Incomplete")))</f>
        <v/>
      </c>
      <c r="H646" s="18"/>
      <c r="I646" s="18"/>
    </row>
    <row r="647" customFormat="false" ht="15.75" hidden="false" customHeight="true" outlineLevel="0" collapsed="false">
      <c r="A647" s="18"/>
      <c r="B647" s="18"/>
      <c r="C647" s="19"/>
      <c r="D647" s="20"/>
      <c r="E647" s="20"/>
      <c r="F647" s="20"/>
      <c r="G647" s="20" t="str">
        <f aca="false">IF(COUNTBLANK(D647:F647)=3,"",IF(OR(D647="Fail",E647="Fail",F647="Fail"),"Fail",IF(AND(D647="Pass",E647="Pass",F647="Pass"),"Pass","Incomplete")))</f>
        <v/>
      </c>
      <c r="H647" s="18"/>
      <c r="I647" s="18"/>
    </row>
    <row r="648" customFormat="false" ht="15.75" hidden="false" customHeight="true" outlineLevel="0" collapsed="false">
      <c r="A648" s="18"/>
      <c r="B648" s="18"/>
      <c r="C648" s="19"/>
      <c r="D648" s="20"/>
      <c r="E648" s="20"/>
      <c r="F648" s="20"/>
      <c r="G648" s="20" t="str">
        <f aca="false">IF(COUNTBLANK(D648:F648)=3,"",IF(OR(D648="Fail",E648="Fail",F648="Fail"),"Fail",IF(AND(D648="Pass",E648="Pass",F648="Pass"),"Pass","Incomplete")))</f>
        <v/>
      </c>
      <c r="H648" s="18"/>
      <c r="I648" s="18"/>
    </row>
    <row r="649" customFormat="false" ht="15.75" hidden="false" customHeight="true" outlineLevel="0" collapsed="false">
      <c r="A649" s="18"/>
      <c r="B649" s="18"/>
      <c r="C649" s="19"/>
      <c r="D649" s="20"/>
      <c r="E649" s="20"/>
      <c r="F649" s="20"/>
      <c r="G649" s="20" t="str">
        <f aca="false">IF(COUNTBLANK(D649:F649)=3,"",IF(OR(D649="Fail",E649="Fail",F649="Fail"),"Fail",IF(AND(D649="Pass",E649="Pass",F649="Pass"),"Pass","Incomplete")))</f>
        <v/>
      </c>
      <c r="H649" s="18"/>
      <c r="I649" s="18"/>
    </row>
    <row r="650" customFormat="false" ht="15.75" hidden="false" customHeight="true" outlineLevel="0" collapsed="false">
      <c r="A650" s="18"/>
      <c r="B650" s="18"/>
      <c r="C650" s="19"/>
      <c r="D650" s="20"/>
      <c r="E650" s="20"/>
      <c r="F650" s="20"/>
      <c r="G650" s="20" t="str">
        <f aca="false">IF(COUNTBLANK(D650:F650)=3,"",IF(OR(D650="Fail",E650="Fail",F650="Fail"),"Fail",IF(AND(D650="Pass",E650="Pass",F650="Pass"),"Pass","Incomplete")))</f>
        <v/>
      </c>
      <c r="H650" s="18"/>
      <c r="I650" s="18"/>
    </row>
    <row r="651" customFormat="false" ht="15.75" hidden="false" customHeight="true" outlineLevel="0" collapsed="false">
      <c r="A651" s="18"/>
      <c r="B651" s="18"/>
      <c r="C651" s="19"/>
      <c r="D651" s="20"/>
      <c r="E651" s="20"/>
      <c r="F651" s="20"/>
      <c r="G651" s="20" t="str">
        <f aca="false">IF(COUNTBLANK(D651:F651)=3,"",IF(OR(D651="Fail",E651="Fail",F651="Fail"),"Fail",IF(AND(D651="Pass",E651="Pass",F651="Pass"),"Pass","Incomplete")))</f>
        <v/>
      </c>
      <c r="H651" s="18"/>
      <c r="I651" s="18"/>
    </row>
    <row r="652" customFormat="false" ht="15.75" hidden="false" customHeight="true" outlineLevel="0" collapsed="false">
      <c r="A652" s="18"/>
      <c r="B652" s="18"/>
      <c r="C652" s="19"/>
      <c r="D652" s="20"/>
      <c r="E652" s="20"/>
      <c r="F652" s="20"/>
      <c r="G652" s="20" t="str">
        <f aca="false">IF(COUNTBLANK(D652:F652)=3,"",IF(OR(D652="Fail",E652="Fail",F652="Fail"),"Fail",IF(AND(D652="Pass",E652="Pass",F652="Pass"),"Pass","Incomplete")))</f>
        <v/>
      </c>
      <c r="H652" s="18"/>
      <c r="I652" s="18"/>
    </row>
    <row r="653" customFormat="false" ht="15.75" hidden="false" customHeight="true" outlineLevel="0" collapsed="false">
      <c r="A653" s="18"/>
      <c r="B653" s="18"/>
      <c r="C653" s="19"/>
      <c r="D653" s="20"/>
      <c r="E653" s="20"/>
      <c r="F653" s="20"/>
      <c r="G653" s="20" t="str">
        <f aca="false">IF(COUNTBLANK(D653:F653)=3,"",IF(OR(D653="Fail",E653="Fail",F653="Fail"),"Fail",IF(AND(D653="Pass",E653="Pass",F653="Pass"),"Pass","Incomplete")))</f>
        <v/>
      </c>
      <c r="H653" s="18"/>
      <c r="I653" s="18"/>
    </row>
    <row r="654" customFormat="false" ht="15.75" hidden="false" customHeight="true" outlineLevel="0" collapsed="false">
      <c r="A654" s="18"/>
      <c r="B654" s="18"/>
      <c r="C654" s="19"/>
      <c r="D654" s="20"/>
      <c r="E654" s="20"/>
      <c r="F654" s="20"/>
      <c r="G654" s="20" t="str">
        <f aca="false">IF(COUNTBLANK(D654:F654)=3,"",IF(OR(D654="Fail",E654="Fail",F654="Fail"),"Fail",IF(AND(D654="Pass",E654="Pass",F654="Pass"),"Pass","Incomplete")))</f>
        <v/>
      </c>
      <c r="H654" s="18"/>
      <c r="I654" s="18"/>
    </row>
    <row r="655" customFormat="false" ht="15.75" hidden="false" customHeight="true" outlineLevel="0" collapsed="false">
      <c r="A655" s="18"/>
      <c r="B655" s="18"/>
      <c r="C655" s="19"/>
      <c r="D655" s="20"/>
      <c r="E655" s="20"/>
      <c r="F655" s="20"/>
      <c r="G655" s="20" t="str">
        <f aca="false">IF(COUNTBLANK(D655:F655)=3,"",IF(OR(D655="Fail",E655="Fail",F655="Fail"),"Fail",IF(AND(D655="Pass",E655="Pass",F655="Pass"),"Pass","Incomplete")))</f>
        <v/>
      </c>
      <c r="H655" s="18"/>
      <c r="I655" s="18"/>
    </row>
    <row r="656" customFormat="false" ht="15.75" hidden="false" customHeight="true" outlineLevel="0" collapsed="false">
      <c r="A656" s="18"/>
      <c r="B656" s="18"/>
      <c r="C656" s="19"/>
      <c r="D656" s="20"/>
      <c r="E656" s="20"/>
      <c r="F656" s="20"/>
      <c r="G656" s="20" t="str">
        <f aca="false">IF(COUNTBLANK(D656:F656)=3,"",IF(OR(D656="Fail",E656="Fail",F656="Fail"),"Fail",IF(AND(D656="Pass",E656="Pass",F656="Pass"),"Pass","Incomplete")))</f>
        <v/>
      </c>
      <c r="H656" s="18"/>
      <c r="I656" s="18"/>
    </row>
    <row r="657" customFormat="false" ht="15.75" hidden="false" customHeight="true" outlineLevel="0" collapsed="false">
      <c r="A657" s="18"/>
      <c r="B657" s="18"/>
      <c r="C657" s="19"/>
      <c r="D657" s="20"/>
      <c r="E657" s="20"/>
      <c r="F657" s="20"/>
      <c r="G657" s="20" t="str">
        <f aca="false">IF(COUNTBLANK(D657:F657)=3,"",IF(OR(D657="Fail",E657="Fail",F657="Fail"),"Fail",IF(AND(D657="Pass",E657="Pass",F657="Pass"),"Pass","Incomplete")))</f>
        <v/>
      </c>
      <c r="H657" s="18"/>
      <c r="I657" s="18"/>
    </row>
    <row r="658" customFormat="false" ht="15.75" hidden="false" customHeight="true" outlineLevel="0" collapsed="false">
      <c r="A658" s="18"/>
      <c r="B658" s="18"/>
      <c r="C658" s="19"/>
      <c r="D658" s="20"/>
      <c r="E658" s="20"/>
      <c r="F658" s="20"/>
      <c r="G658" s="20" t="str">
        <f aca="false">IF(COUNTBLANK(D658:F658)=3,"",IF(OR(D658="Fail",E658="Fail",F658="Fail"),"Fail",IF(AND(D658="Pass",E658="Pass",F658="Pass"),"Pass","Incomplete")))</f>
        <v/>
      </c>
      <c r="H658" s="18"/>
      <c r="I658" s="18"/>
    </row>
    <row r="659" customFormat="false" ht="15.75" hidden="false" customHeight="true" outlineLevel="0" collapsed="false">
      <c r="A659" s="18"/>
      <c r="B659" s="18"/>
      <c r="C659" s="19"/>
      <c r="D659" s="20"/>
      <c r="E659" s="20"/>
      <c r="F659" s="20"/>
      <c r="G659" s="20" t="str">
        <f aca="false">IF(COUNTBLANK(D659:F659)=3,"",IF(OR(D659="Fail",E659="Fail",F659="Fail"),"Fail",IF(AND(D659="Pass",E659="Pass",F659="Pass"),"Pass","Incomplete")))</f>
        <v/>
      </c>
      <c r="H659" s="18"/>
      <c r="I659" s="18"/>
    </row>
    <row r="660" customFormat="false" ht="15.75" hidden="false" customHeight="true" outlineLevel="0" collapsed="false">
      <c r="A660" s="18"/>
      <c r="B660" s="18"/>
      <c r="C660" s="19"/>
      <c r="D660" s="20"/>
      <c r="E660" s="20"/>
      <c r="F660" s="20"/>
      <c r="G660" s="20" t="str">
        <f aca="false">IF(COUNTBLANK(D660:F660)=3,"",IF(OR(D660="Fail",E660="Fail",F660="Fail"),"Fail",IF(AND(D660="Pass",E660="Pass",F660="Pass"),"Pass","Incomplete")))</f>
        <v/>
      </c>
      <c r="H660" s="18"/>
      <c r="I660" s="18"/>
    </row>
    <row r="661" customFormat="false" ht="15.75" hidden="false" customHeight="true" outlineLevel="0" collapsed="false">
      <c r="A661" s="18"/>
      <c r="B661" s="18"/>
      <c r="C661" s="19"/>
      <c r="D661" s="20"/>
      <c r="E661" s="20"/>
      <c r="F661" s="20"/>
      <c r="G661" s="20" t="str">
        <f aca="false">IF(COUNTBLANK(D661:F661)=3,"",IF(OR(D661="Fail",E661="Fail",F661="Fail"),"Fail",IF(AND(D661="Pass",E661="Pass",F661="Pass"),"Pass","Incomplete")))</f>
        <v/>
      </c>
      <c r="H661" s="18"/>
      <c r="I661" s="18"/>
    </row>
    <row r="662" customFormat="false" ht="15.75" hidden="false" customHeight="true" outlineLevel="0" collapsed="false">
      <c r="A662" s="18"/>
      <c r="B662" s="18"/>
      <c r="C662" s="19"/>
      <c r="D662" s="20"/>
      <c r="E662" s="20"/>
      <c r="F662" s="20"/>
      <c r="G662" s="20" t="str">
        <f aca="false">IF(COUNTBLANK(D662:F662)=3,"",IF(OR(D662="Fail",E662="Fail",F662="Fail"),"Fail",IF(AND(D662="Pass",E662="Pass",F662="Pass"),"Pass","Incomplete")))</f>
        <v/>
      </c>
      <c r="H662" s="18"/>
      <c r="I662" s="18"/>
    </row>
    <row r="663" customFormat="false" ht="15.75" hidden="false" customHeight="true" outlineLevel="0" collapsed="false">
      <c r="A663" s="18"/>
      <c r="B663" s="18"/>
      <c r="C663" s="19"/>
      <c r="D663" s="20"/>
      <c r="E663" s="20"/>
      <c r="F663" s="20"/>
      <c r="G663" s="20" t="str">
        <f aca="false">IF(COUNTBLANK(D663:F663)=3,"",IF(OR(D663="Fail",E663="Fail",F663="Fail"),"Fail",IF(AND(D663="Pass",E663="Pass",F663="Pass"),"Pass","Incomplete")))</f>
        <v/>
      </c>
      <c r="H663" s="18"/>
      <c r="I663" s="18"/>
    </row>
    <row r="664" customFormat="false" ht="15.75" hidden="false" customHeight="true" outlineLevel="0" collapsed="false">
      <c r="A664" s="18"/>
      <c r="B664" s="18"/>
      <c r="C664" s="19"/>
      <c r="D664" s="20"/>
      <c r="E664" s="20"/>
      <c r="F664" s="20"/>
      <c r="G664" s="20" t="str">
        <f aca="false">IF(COUNTBLANK(D664:F664)=3,"",IF(OR(D664="Fail",E664="Fail",F664="Fail"),"Fail",IF(AND(D664="Pass",E664="Pass",F664="Pass"),"Pass","Incomplete")))</f>
        <v/>
      </c>
      <c r="H664" s="18"/>
      <c r="I664" s="18"/>
    </row>
    <row r="665" customFormat="false" ht="15.75" hidden="false" customHeight="true" outlineLevel="0" collapsed="false">
      <c r="A665" s="18"/>
      <c r="B665" s="18"/>
      <c r="C665" s="19"/>
      <c r="D665" s="20"/>
      <c r="E665" s="20"/>
      <c r="F665" s="20"/>
      <c r="G665" s="20" t="str">
        <f aca="false">IF(COUNTBLANK(D665:F665)=3,"",IF(OR(D665="Fail",E665="Fail",F665="Fail"),"Fail",IF(AND(D665="Pass",E665="Pass",F665="Pass"),"Pass","Incomplete")))</f>
        <v/>
      </c>
      <c r="H665" s="18"/>
      <c r="I665" s="18"/>
    </row>
    <row r="666" customFormat="false" ht="15.75" hidden="false" customHeight="true" outlineLevel="0" collapsed="false">
      <c r="A666" s="18"/>
      <c r="B666" s="18"/>
      <c r="C666" s="19"/>
      <c r="D666" s="20"/>
      <c r="E666" s="20"/>
      <c r="F666" s="20"/>
      <c r="G666" s="20" t="str">
        <f aca="false">IF(COUNTBLANK(D666:F666)=3,"",IF(OR(D666="Fail",E666="Fail",F666="Fail"),"Fail",IF(AND(D666="Pass",E666="Pass",F666="Pass"),"Pass","Incomplete")))</f>
        <v/>
      </c>
      <c r="H666" s="18"/>
      <c r="I666" s="18"/>
    </row>
    <row r="667" customFormat="false" ht="15.75" hidden="false" customHeight="true" outlineLevel="0" collapsed="false">
      <c r="A667" s="18"/>
      <c r="B667" s="18"/>
      <c r="C667" s="19"/>
      <c r="D667" s="20"/>
      <c r="E667" s="20"/>
      <c r="F667" s="20"/>
      <c r="G667" s="20" t="str">
        <f aca="false">IF(COUNTBLANK(D667:F667)=3,"",IF(OR(D667="Fail",E667="Fail",F667="Fail"),"Fail",IF(AND(D667="Pass",E667="Pass",F667="Pass"),"Pass","Incomplete")))</f>
        <v/>
      </c>
      <c r="H667" s="18"/>
      <c r="I667" s="18"/>
    </row>
    <row r="668" customFormat="false" ht="15.75" hidden="false" customHeight="true" outlineLevel="0" collapsed="false">
      <c r="A668" s="18"/>
      <c r="B668" s="18"/>
      <c r="C668" s="19"/>
      <c r="D668" s="20"/>
      <c r="E668" s="20"/>
      <c r="F668" s="20"/>
      <c r="G668" s="20" t="str">
        <f aca="false">IF(COUNTBLANK(D668:F668)=3,"",IF(OR(D668="Fail",E668="Fail",F668="Fail"),"Fail",IF(AND(D668="Pass",E668="Pass",F668="Pass"),"Pass","Incomplete")))</f>
        <v/>
      </c>
      <c r="H668" s="18"/>
      <c r="I668" s="18"/>
    </row>
    <row r="669" customFormat="false" ht="15.75" hidden="false" customHeight="true" outlineLevel="0" collapsed="false">
      <c r="A669" s="18"/>
      <c r="B669" s="18"/>
      <c r="C669" s="19"/>
      <c r="D669" s="20"/>
      <c r="E669" s="20"/>
      <c r="F669" s="20"/>
      <c r="G669" s="20" t="str">
        <f aca="false">IF(COUNTBLANK(D669:F669)=3,"",IF(OR(D669="Fail",E669="Fail",F669="Fail"),"Fail",IF(AND(D669="Pass",E669="Pass",F669="Pass"),"Pass","Incomplete")))</f>
        <v/>
      </c>
      <c r="H669" s="18"/>
      <c r="I669" s="18"/>
    </row>
    <row r="670" customFormat="false" ht="15.75" hidden="false" customHeight="true" outlineLevel="0" collapsed="false">
      <c r="A670" s="18"/>
      <c r="B670" s="18"/>
      <c r="C670" s="19"/>
      <c r="D670" s="20"/>
      <c r="E670" s="20"/>
      <c r="F670" s="20"/>
      <c r="G670" s="20" t="str">
        <f aca="false">IF(COUNTBLANK(D670:F670)=3,"",IF(OR(D670="Fail",E670="Fail",F670="Fail"),"Fail",IF(AND(D670="Pass",E670="Pass",F670="Pass"),"Pass","Incomplete")))</f>
        <v/>
      </c>
      <c r="H670" s="18"/>
      <c r="I670" s="18"/>
    </row>
    <row r="671" customFormat="false" ht="15.75" hidden="false" customHeight="true" outlineLevel="0" collapsed="false">
      <c r="A671" s="18"/>
      <c r="B671" s="18"/>
      <c r="C671" s="19"/>
      <c r="D671" s="20"/>
      <c r="E671" s="20"/>
      <c r="F671" s="20"/>
      <c r="G671" s="20" t="str">
        <f aca="false">IF(COUNTBLANK(D671:F671)=3,"",IF(OR(D671="Fail",E671="Fail",F671="Fail"),"Fail",IF(AND(D671="Pass",E671="Pass",F671="Pass"),"Pass","Incomplete")))</f>
        <v/>
      </c>
      <c r="H671" s="18"/>
      <c r="I671" s="18"/>
    </row>
    <row r="672" customFormat="false" ht="15.75" hidden="false" customHeight="true" outlineLevel="0" collapsed="false">
      <c r="A672" s="18"/>
      <c r="B672" s="18"/>
      <c r="C672" s="19"/>
      <c r="D672" s="20"/>
      <c r="E672" s="20"/>
      <c r="F672" s="20"/>
      <c r="G672" s="20" t="str">
        <f aca="false">IF(COUNTBLANK(D672:F672)=3,"",IF(OR(D672="Fail",E672="Fail",F672="Fail"),"Fail",IF(AND(D672="Pass",E672="Pass",F672="Pass"),"Pass","Incomplete")))</f>
        <v/>
      </c>
      <c r="H672" s="18"/>
      <c r="I672" s="18"/>
    </row>
    <row r="673" customFormat="false" ht="15.75" hidden="false" customHeight="true" outlineLevel="0" collapsed="false">
      <c r="A673" s="18"/>
      <c r="B673" s="18"/>
      <c r="C673" s="19"/>
      <c r="D673" s="20"/>
      <c r="E673" s="20"/>
      <c r="F673" s="20"/>
      <c r="G673" s="20" t="str">
        <f aca="false">IF(COUNTBLANK(D673:F673)=3,"",IF(OR(D673="Fail",E673="Fail",F673="Fail"),"Fail",IF(AND(D673="Pass",E673="Pass",F673="Pass"),"Pass","Incomplete")))</f>
        <v/>
      </c>
      <c r="H673" s="18"/>
      <c r="I673" s="18"/>
    </row>
    <row r="674" customFormat="false" ht="15.75" hidden="false" customHeight="true" outlineLevel="0" collapsed="false">
      <c r="A674" s="18"/>
      <c r="B674" s="18"/>
      <c r="C674" s="19"/>
      <c r="D674" s="20"/>
      <c r="E674" s="20"/>
      <c r="F674" s="20"/>
      <c r="G674" s="20" t="str">
        <f aca="false">IF(COUNTBLANK(D674:F674)=3,"",IF(OR(D674="Fail",E674="Fail",F674="Fail"),"Fail",IF(AND(D674="Pass",E674="Pass",F674="Pass"),"Pass","Incomplete")))</f>
        <v/>
      </c>
      <c r="H674" s="18"/>
      <c r="I674" s="18"/>
    </row>
    <row r="675" customFormat="false" ht="15.75" hidden="false" customHeight="true" outlineLevel="0" collapsed="false">
      <c r="A675" s="18"/>
      <c r="B675" s="18"/>
      <c r="C675" s="19"/>
      <c r="D675" s="20"/>
      <c r="E675" s="20"/>
      <c r="F675" s="20"/>
      <c r="G675" s="20" t="str">
        <f aca="false">IF(COUNTBLANK(D675:F675)=3,"",IF(OR(D675="Fail",E675="Fail",F675="Fail"),"Fail",IF(AND(D675="Pass",E675="Pass",F675="Pass"),"Pass","Incomplete")))</f>
        <v/>
      </c>
      <c r="H675" s="18"/>
      <c r="I675" s="18"/>
    </row>
    <row r="676" customFormat="false" ht="15.75" hidden="false" customHeight="true" outlineLevel="0" collapsed="false">
      <c r="A676" s="18"/>
      <c r="B676" s="18"/>
      <c r="C676" s="19"/>
      <c r="D676" s="20"/>
      <c r="E676" s="20"/>
      <c r="F676" s="20"/>
      <c r="G676" s="20" t="str">
        <f aca="false">IF(COUNTBLANK(D676:F676)=3,"",IF(OR(D676="Fail",E676="Fail",F676="Fail"),"Fail",IF(AND(D676="Pass",E676="Pass",F676="Pass"),"Pass","Incomplete")))</f>
        <v/>
      </c>
      <c r="H676" s="18"/>
      <c r="I676" s="18"/>
    </row>
    <row r="677" customFormat="false" ht="15.75" hidden="false" customHeight="true" outlineLevel="0" collapsed="false">
      <c r="A677" s="18"/>
      <c r="B677" s="18"/>
      <c r="C677" s="19"/>
      <c r="D677" s="20"/>
      <c r="E677" s="20"/>
      <c r="F677" s="20"/>
      <c r="G677" s="20" t="str">
        <f aca="false">IF(COUNTBLANK(D677:F677)=3,"",IF(OR(D677="Fail",E677="Fail",F677="Fail"),"Fail",IF(AND(D677="Pass",E677="Pass",F677="Pass"),"Pass","Incomplete")))</f>
        <v/>
      </c>
      <c r="H677" s="18"/>
      <c r="I677" s="18"/>
    </row>
    <row r="678" customFormat="false" ht="15.75" hidden="false" customHeight="true" outlineLevel="0" collapsed="false">
      <c r="A678" s="18"/>
      <c r="B678" s="18"/>
      <c r="C678" s="19"/>
      <c r="D678" s="20"/>
      <c r="E678" s="20"/>
      <c r="F678" s="20"/>
      <c r="G678" s="20" t="str">
        <f aca="false">IF(COUNTBLANK(D678:F678)=3,"",IF(OR(D678="Fail",E678="Fail",F678="Fail"),"Fail",IF(AND(D678="Pass",E678="Pass",F678="Pass"),"Pass","Incomplete")))</f>
        <v/>
      </c>
      <c r="H678" s="18"/>
      <c r="I678" s="18"/>
    </row>
    <row r="679" customFormat="false" ht="15.75" hidden="false" customHeight="true" outlineLevel="0" collapsed="false">
      <c r="A679" s="18"/>
      <c r="B679" s="18"/>
      <c r="C679" s="19"/>
      <c r="D679" s="20"/>
      <c r="E679" s="20"/>
      <c r="F679" s="20"/>
      <c r="G679" s="20" t="str">
        <f aca="false">IF(COUNTBLANK(D679:F679)=3,"",IF(OR(D679="Fail",E679="Fail",F679="Fail"),"Fail",IF(AND(D679="Pass",E679="Pass",F679="Pass"),"Pass","Incomplete")))</f>
        <v/>
      </c>
      <c r="H679" s="18"/>
      <c r="I679" s="18"/>
    </row>
    <row r="680" customFormat="false" ht="15.75" hidden="false" customHeight="true" outlineLevel="0" collapsed="false">
      <c r="A680" s="18"/>
      <c r="B680" s="18"/>
      <c r="C680" s="19"/>
      <c r="D680" s="20"/>
      <c r="E680" s="20"/>
      <c r="F680" s="20"/>
      <c r="G680" s="20" t="str">
        <f aca="false">IF(COUNTBLANK(D680:F680)=3,"",IF(OR(D680="Fail",E680="Fail",F680="Fail"),"Fail",IF(AND(D680="Pass",E680="Pass",F680="Pass"),"Pass","Incomplete")))</f>
        <v/>
      </c>
      <c r="H680" s="18"/>
      <c r="I680" s="18"/>
    </row>
    <row r="681" customFormat="false" ht="15.75" hidden="false" customHeight="true" outlineLevel="0" collapsed="false">
      <c r="A681" s="18"/>
      <c r="B681" s="18"/>
      <c r="C681" s="19"/>
      <c r="D681" s="20"/>
      <c r="E681" s="20"/>
      <c r="F681" s="20"/>
      <c r="G681" s="20" t="str">
        <f aca="false">IF(COUNTBLANK(D681:F681)=3,"",IF(OR(D681="Fail",E681="Fail",F681="Fail"),"Fail",IF(AND(D681="Pass",E681="Pass",F681="Pass"),"Pass","Incomplete")))</f>
        <v/>
      </c>
      <c r="H681" s="18"/>
      <c r="I681" s="18"/>
    </row>
    <row r="682" customFormat="false" ht="15.75" hidden="false" customHeight="true" outlineLevel="0" collapsed="false">
      <c r="A682" s="18"/>
      <c r="B682" s="18"/>
      <c r="C682" s="19"/>
      <c r="D682" s="20"/>
      <c r="E682" s="20"/>
      <c r="F682" s="20"/>
      <c r="G682" s="20" t="str">
        <f aca="false">IF(COUNTBLANK(D682:F682)=3,"",IF(OR(D682="Fail",E682="Fail",F682="Fail"),"Fail",IF(AND(D682="Pass",E682="Pass",F682="Pass"),"Pass","Incomplete")))</f>
        <v/>
      </c>
      <c r="H682" s="18"/>
      <c r="I682" s="18"/>
    </row>
    <row r="683" customFormat="false" ht="15.75" hidden="false" customHeight="true" outlineLevel="0" collapsed="false">
      <c r="A683" s="18"/>
      <c r="B683" s="18"/>
      <c r="C683" s="19"/>
      <c r="D683" s="20"/>
      <c r="E683" s="20"/>
      <c r="F683" s="20"/>
      <c r="G683" s="20" t="str">
        <f aca="false">IF(COUNTBLANK(D683:F683)=3,"",IF(OR(D683="Fail",E683="Fail",F683="Fail"),"Fail",IF(AND(D683="Pass",E683="Pass",F683="Pass"),"Pass","Incomplete")))</f>
        <v/>
      </c>
      <c r="H683" s="18"/>
      <c r="I683" s="18"/>
    </row>
    <row r="684" customFormat="false" ht="15.75" hidden="false" customHeight="true" outlineLevel="0" collapsed="false">
      <c r="A684" s="18"/>
      <c r="B684" s="18"/>
      <c r="C684" s="19"/>
      <c r="D684" s="20"/>
      <c r="E684" s="20"/>
      <c r="F684" s="20"/>
      <c r="G684" s="20" t="str">
        <f aca="false">IF(COUNTBLANK(D684:F684)=3,"",IF(OR(D684="Fail",E684="Fail",F684="Fail"),"Fail",IF(AND(D684="Pass",E684="Pass",F684="Pass"),"Pass","Incomplete")))</f>
        <v/>
      </c>
      <c r="H684" s="18"/>
      <c r="I684" s="18"/>
    </row>
    <row r="685" customFormat="false" ht="15.75" hidden="false" customHeight="true" outlineLevel="0" collapsed="false">
      <c r="A685" s="18"/>
      <c r="B685" s="18"/>
      <c r="C685" s="19"/>
      <c r="D685" s="20"/>
      <c r="E685" s="20"/>
      <c r="F685" s="20"/>
      <c r="G685" s="20" t="str">
        <f aca="false">IF(COUNTBLANK(D685:F685)=3,"",IF(OR(D685="Fail",E685="Fail",F685="Fail"),"Fail",IF(AND(D685="Pass",E685="Pass",F685="Pass"),"Pass","Incomplete")))</f>
        <v/>
      </c>
      <c r="H685" s="18"/>
      <c r="I685" s="18"/>
    </row>
    <row r="686" customFormat="false" ht="15.75" hidden="false" customHeight="true" outlineLevel="0" collapsed="false">
      <c r="A686" s="18"/>
      <c r="B686" s="18"/>
      <c r="C686" s="19"/>
      <c r="D686" s="20"/>
      <c r="E686" s="20"/>
      <c r="F686" s="20"/>
      <c r="G686" s="20" t="str">
        <f aca="false">IF(COUNTBLANK(D686:F686)=3,"",IF(OR(D686="Fail",E686="Fail",F686="Fail"),"Fail",IF(AND(D686="Pass",E686="Pass",F686="Pass"),"Pass","Incomplete")))</f>
        <v/>
      </c>
      <c r="H686" s="18"/>
      <c r="I686" s="18"/>
    </row>
    <row r="687" customFormat="false" ht="15.75" hidden="false" customHeight="true" outlineLevel="0" collapsed="false">
      <c r="A687" s="18"/>
      <c r="B687" s="18"/>
      <c r="C687" s="19"/>
      <c r="D687" s="20"/>
      <c r="E687" s="20"/>
      <c r="F687" s="20"/>
      <c r="G687" s="20" t="str">
        <f aca="false">IF(COUNTBLANK(D687:F687)=3,"",IF(OR(D687="Fail",E687="Fail",F687="Fail"),"Fail",IF(AND(D687="Pass",E687="Pass",F687="Pass"),"Pass","Incomplete")))</f>
        <v/>
      </c>
      <c r="H687" s="18"/>
      <c r="I687" s="18"/>
    </row>
    <row r="688" customFormat="false" ht="15.75" hidden="false" customHeight="true" outlineLevel="0" collapsed="false">
      <c r="A688" s="18"/>
      <c r="B688" s="18"/>
      <c r="C688" s="19"/>
      <c r="D688" s="20"/>
      <c r="E688" s="20"/>
      <c r="F688" s="20"/>
      <c r="G688" s="20" t="str">
        <f aca="false">IF(COUNTBLANK(D688:F688)=3,"",IF(OR(D688="Fail",E688="Fail",F688="Fail"),"Fail",IF(AND(D688="Pass",E688="Pass",F688="Pass"),"Pass","Incomplete")))</f>
        <v/>
      </c>
      <c r="H688" s="18"/>
      <c r="I688" s="18"/>
    </row>
    <row r="689" customFormat="false" ht="15.75" hidden="false" customHeight="true" outlineLevel="0" collapsed="false">
      <c r="A689" s="18"/>
      <c r="B689" s="18"/>
      <c r="C689" s="19"/>
      <c r="D689" s="20"/>
      <c r="E689" s="20"/>
      <c r="F689" s="20"/>
      <c r="G689" s="20" t="str">
        <f aca="false">IF(COUNTBLANK(D689:F689)=3,"",IF(OR(D689="Fail",E689="Fail",F689="Fail"),"Fail",IF(AND(D689="Pass",E689="Pass",F689="Pass"),"Pass","Incomplete")))</f>
        <v/>
      </c>
      <c r="H689" s="18"/>
      <c r="I689" s="18"/>
    </row>
    <row r="690" customFormat="false" ht="15.75" hidden="false" customHeight="true" outlineLevel="0" collapsed="false">
      <c r="A690" s="18"/>
      <c r="B690" s="18"/>
      <c r="C690" s="19"/>
      <c r="D690" s="20"/>
      <c r="E690" s="20"/>
      <c r="F690" s="20"/>
      <c r="G690" s="20" t="str">
        <f aca="false">IF(COUNTBLANK(D690:F690)=3,"",IF(OR(D690="Fail",E690="Fail",F690="Fail"),"Fail",IF(AND(D690="Pass",E690="Pass",F690="Pass"),"Pass","Incomplete")))</f>
        <v/>
      </c>
      <c r="H690" s="18"/>
      <c r="I690" s="18"/>
    </row>
    <row r="691" customFormat="false" ht="15.75" hidden="false" customHeight="true" outlineLevel="0" collapsed="false">
      <c r="A691" s="18"/>
      <c r="B691" s="18"/>
      <c r="C691" s="19"/>
      <c r="D691" s="20"/>
      <c r="E691" s="20"/>
      <c r="F691" s="20"/>
      <c r="G691" s="20" t="str">
        <f aca="false">IF(COUNTBLANK(D691:F691)=3,"",IF(OR(D691="Fail",E691="Fail",F691="Fail"),"Fail",IF(AND(D691="Pass",E691="Pass",F691="Pass"),"Pass","Incomplete")))</f>
        <v/>
      </c>
      <c r="H691" s="18"/>
      <c r="I691" s="18"/>
    </row>
    <row r="692" customFormat="false" ht="15.75" hidden="false" customHeight="true" outlineLevel="0" collapsed="false">
      <c r="A692" s="18"/>
      <c r="B692" s="18"/>
      <c r="C692" s="19"/>
      <c r="D692" s="20"/>
      <c r="E692" s="20"/>
      <c r="F692" s="20"/>
      <c r="G692" s="20" t="str">
        <f aca="false">IF(COUNTBLANK(D692:F692)=3,"",IF(OR(D692="Fail",E692="Fail",F692="Fail"),"Fail",IF(AND(D692="Pass",E692="Pass",F692="Pass"),"Pass","Incomplete")))</f>
        <v/>
      </c>
      <c r="H692" s="18"/>
      <c r="I692" s="18"/>
    </row>
    <row r="693" customFormat="false" ht="15.75" hidden="false" customHeight="true" outlineLevel="0" collapsed="false">
      <c r="A693" s="18"/>
      <c r="B693" s="18"/>
      <c r="C693" s="19"/>
      <c r="D693" s="20"/>
      <c r="E693" s="20"/>
      <c r="F693" s="20"/>
      <c r="G693" s="20" t="str">
        <f aca="false">IF(COUNTBLANK(D693:F693)=3,"",IF(OR(D693="Fail",E693="Fail",F693="Fail"),"Fail",IF(AND(D693="Pass",E693="Pass",F693="Pass"),"Pass","Incomplete")))</f>
        <v/>
      </c>
      <c r="H693" s="18"/>
      <c r="I693" s="18"/>
    </row>
    <row r="694" customFormat="false" ht="15.75" hidden="false" customHeight="true" outlineLevel="0" collapsed="false">
      <c r="A694" s="18"/>
      <c r="B694" s="18"/>
      <c r="C694" s="19"/>
      <c r="D694" s="20"/>
      <c r="E694" s="20"/>
      <c r="F694" s="20"/>
      <c r="G694" s="20" t="str">
        <f aca="false">IF(COUNTBLANK(D694:F694)=3,"",IF(OR(D694="Fail",E694="Fail",F694="Fail"),"Fail",IF(AND(D694="Pass",E694="Pass",F694="Pass"),"Pass","Incomplete")))</f>
        <v/>
      </c>
      <c r="H694" s="18"/>
      <c r="I694" s="18"/>
    </row>
    <row r="695" customFormat="false" ht="15.75" hidden="false" customHeight="true" outlineLevel="0" collapsed="false">
      <c r="A695" s="18"/>
      <c r="B695" s="18"/>
      <c r="C695" s="19"/>
      <c r="D695" s="20"/>
      <c r="E695" s="20"/>
      <c r="F695" s="20"/>
      <c r="G695" s="20" t="str">
        <f aca="false">IF(COUNTBLANK(D695:F695)=3,"",IF(OR(D695="Fail",E695="Fail",F695="Fail"),"Fail",IF(AND(D695="Pass",E695="Pass",F695="Pass"),"Pass","Incomplete")))</f>
        <v/>
      </c>
      <c r="H695" s="18"/>
      <c r="I695" s="18"/>
    </row>
    <row r="696" customFormat="false" ht="15.75" hidden="false" customHeight="true" outlineLevel="0" collapsed="false">
      <c r="A696" s="18"/>
      <c r="B696" s="18"/>
      <c r="C696" s="19"/>
      <c r="D696" s="20"/>
      <c r="E696" s="20"/>
      <c r="F696" s="20"/>
      <c r="G696" s="20" t="str">
        <f aca="false">IF(COUNTBLANK(D696:F696)=3,"",IF(OR(D696="Fail",E696="Fail",F696="Fail"),"Fail",IF(AND(D696="Pass",E696="Pass",F696="Pass"),"Pass","Incomplete")))</f>
        <v/>
      </c>
      <c r="H696" s="18"/>
      <c r="I696" s="18"/>
    </row>
    <row r="697" customFormat="false" ht="15.75" hidden="false" customHeight="true" outlineLevel="0" collapsed="false">
      <c r="A697" s="18"/>
      <c r="B697" s="18"/>
      <c r="C697" s="19"/>
      <c r="D697" s="20"/>
      <c r="E697" s="20"/>
      <c r="F697" s="20"/>
      <c r="G697" s="20" t="str">
        <f aca="false">IF(COUNTBLANK(D697:F697)=3,"",IF(OR(D697="Fail",E697="Fail",F697="Fail"),"Fail",IF(AND(D697="Pass",E697="Pass",F697="Pass"),"Pass","Incomplete")))</f>
        <v/>
      </c>
      <c r="H697" s="18"/>
      <c r="I697" s="18"/>
    </row>
    <row r="698" customFormat="false" ht="15.75" hidden="false" customHeight="true" outlineLevel="0" collapsed="false">
      <c r="A698" s="18"/>
      <c r="B698" s="18"/>
      <c r="C698" s="19"/>
      <c r="D698" s="20"/>
      <c r="E698" s="20"/>
      <c r="F698" s="20"/>
      <c r="G698" s="20" t="str">
        <f aca="false">IF(COUNTBLANK(D698:F698)=3,"",IF(OR(D698="Fail",E698="Fail",F698="Fail"),"Fail",IF(AND(D698="Pass",E698="Pass",F698="Pass"),"Pass","Incomplete")))</f>
        <v/>
      </c>
      <c r="H698" s="18"/>
      <c r="I698" s="18"/>
    </row>
    <row r="699" customFormat="false" ht="15.75" hidden="false" customHeight="true" outlineLevel="0" collapsed="false">
      <c r="A699" s="18"/>
      <c r="B699" s="18"/>
      <c r="C699" s="19"/>
      <c r="D699" s="20"/>
      <c r="E699" s="20"/>
      <c r="F699" s="20"/>
      <c r="G699" s="20" t="str">
        <f aca="false">IF(COUNTBLANK(D699:F699)=3,"",IF(OR(D699="Fail",E699="Fail",F699="Fail"),"Fail",IF(AND(D699="Pass",E699="Pass",F699="Pass"),"Pass","Incomplete")))</f>
        <v/>
      </c>
      <c r="H699" s="18"/>
      <c r="I699" s="18"/>
    </row>
    <row r="700" customFormat="false" ht="15.75" hidden="false" customHeight="true" outlineLevel="0" collapsed="false">
      <c r="A700" s="18"/>
      <c r="B700" s="18"/>
      <c r="C700" s="19"/>
      <c r="D700" s="20"/>
      <c r="E700" s="20"/>
      <c r="F700" s="20"/>
      <c r="G700" s="20" t="str">
        <f aca="false">IF(COUNTBLANK(D700:F700)=3,"",IF(OR(D700="Fail",E700="Fail",F700="Fail"),"Fail",IF(AND(D700="Pass",E700="Pass",F700="Pass"),"Pass","Incomplete")))</f>
        <v/>
      </c>
      <c r="H700" s="18"/>
      <c r="I700" s="18"/>
    </row>
    <row r="701" customFormat="false" ht="15.75" hidden="false" customHeight="true" outlineLevel="0" collapsed="false">
      <c r="A701" s="18"/>
      <c r="B701" s="18"/>
      <c r="C701" s="19"/>
      <c r="D701" s="20"/>
      <c r="E701" s="20"/>
      <c r="F701" s="20"/>
      <c r="G701" s="20" t="str">
        <f aca="false">IF(COUNTBLANK(D701:F701)=3,"",IF(OR(D701="Fail",E701="Fail",F701="Fail"),"Fail",IF(AND(D701="Pass",E701="Pass",F701="Pass"),"Pass","Incomplete")))</f>
        <v/>
      </c>
      <c r="H701" s="18"/>
      <c r="I701" s="18"/>
    </row>
    <row r="702" customFormat="false" ht="15.75" hidden="false" customHeight="true" outlineLevel="0" collapsed="false">
      <c r="A702" s="18"/>
      <c r="B702" s="18"/>
      <c r="C702" s="19"/>
      <c r="D702" s="20"/>
      <c r="E702" s="20"/>
      <c r="F702" s="20"/>
      <c r="G702" s="20" t="str">
        <f aca="false">IF(COUNTBLANK(D702:F702)=3,"",IF(OR(D702="Fail",E702="Fail",F702="Fail"),"Fail",IF(AND(D702="Pass",E702="Pass",F702="Pass"),"Pass","Incomplete")))</f>
        <v/>
      </c>
      <c r="H702" s="18"/>
      <c r="I702" s="18"/>
    </row>
    <row r="703" customFormat="false" ht="15.75" hidden="false" customHeight="true" outlineLevel="0" collapsed="false">
      <c r="A703" s="18"/>
      <c r="B703" s="18"/>
      <c r="C703" s="19"/>
      <c r="D703" s="20"/>
      <c r="E703" s="20"/>
      <c r="F703" s="20"/>
      <c r="G703" s="20" t="str">
        <f aca="false">IF(COUNTBLANK(D703:F703)=3,"",IF(OR(D703="Fail",E703="Fail",F703="Fail"),"Fail",IF(AND(D703="Pass",E703="Pass",F703="Pass"),"Pass","Incomplete")))</f>
        <v/>
      </c>
      <c r="H703" s="18"/>
      <c r="I703" s="18"/>
    </row>
    <row r="704" customFormat="false" ht="15.75" hidden="false" customHeight="true" outlineLevel="0" collapsed="false">
      <c r="A704" s="18"/>
      <c r="B704" s="18"/>
      <c r="C704" s="19"/>
      <c r="D704" s="20"/>
      <c r="E704" s="20"/>
      <c r="F704" s="20"/>
      <c r="G704" s="20" t="str">
        <f aca="false">IF(COUNTBLANK(D704:F704)=3,"",IF(OR(D704="Fail",E704="Fail",F704="Fail"),"Fail",IF(AND(D704="Pass",E704="Pass",F704="Pass"),"Pass","Incomplete")))</f>
        <v/>
      </c>
      <c r="H704" s="18"/>
      <c r="I704" s="18"/>
    </row>
    <row r="705" customFormat="false" ht="15.75" hidden="false" customHeight="true" outlineLevel="0" collapsed="false">
      <c r="A705" s="18"/>
      <c r="B705" s="18"/>
      <c r="C705" s="19"/>
      <c r="D705" s="20"/>
      <c r="E705" s="20"/>
      <c r="F705" s="20"/>
      <c r="G705" s="20" t="str">
        <f aca="false">IF(COUNTBLANK(D705:F705)=3,"",IF(OR(D705="Fail",E705="Fail",F705="Fail"),"Fail",IF(AND(D705="Pass",E705="Pass",F705="Pass"),"Pass","Incomplete")))</f>
        <v/>
      </c>
      <c r="H705" s="18"/>
      <c r="I705" s="18"/>
    </row>
    <row r="706" customFormat="false" ht="15.75" hidden="false" customHeight="true" outlineLevel="0" collapsed="false">
      <c r="A706" s="18"/>
      <c r="B706" s="18"/>
      <c r="C706" s="19"/>
      <c r="D706" s="20"/>
      <c r="E706" s="20"/>
      <c r="F706" s="20"/>
      <c r="G706" s="20" t="str">
        <f aca="false">IF(COUNTBLANK(D706:F706)=3,"",IF(OR(D706="Fail",E706="Fail",F706="Fail"),"Fail",IF(AND(D706="Pass",E706="Pass",F706="Pass"),"Pass","Incomplete")))</f>
        <v/>
      </c>
      <c r="H706" s="18"/>
      <c r="I706" s="18"/>
    </row>
    <row r="707" customFormat="false" ht="15.75" hidden="false" customHeight="true" outlineLevel="0" collapsed="false">
      <c r="A707" s="18"/>
      <c r="B707" s="18"/>
      <c r="C707" s="19"/>
      <c r="D707" s="20"/>
      <c r="E707" s="20"/>
      <c r="F707" s="20"/>
      <c r="G707" s="20" t="str">
        <f aca="false">IF(COUNTBLANK(D707:F707)=3,"",IF(OR(D707="Fail",E707="Fail",F707="Fail"),"Fail",IF(AND(D707="Pass",E707="Pass",F707="Pass"),"Pass","Incomplete")))</f>
        <v/>
      </c>
      <c r="H707" s="18"/>
      <c r="I707" s="18"/>
    </row>
    <row r="708" customFormat="false" ht="15.75" hidden="false" customHeight="true" outlineLevel="0" collapsed="false">
      <c r="A708" s="18"/>
      <c r="B708" s="18"/>
      <c r="C708" s="19"/>
      <c r="D708" s="20"/>
      <c r="E708" s="20"/>
      <c r="F708" s="20"/>
      <c r="G708" s="20" t="str">
        <f aca="false">IF(COUNTBLANK(D708:F708)=3,"",IF(OR(D708="Fail",E708="Fail",F708="Fail"),"Fail",IF(AND(D708="Pass",E708="Pass",F708="Pass"),"Pass","Incomplete")))</f>
        <v/>
      </c>
      <c r="H708" s="18"/>
      <c r="I708" s="18"/>
    </row>
    <row r="709" customFormat="false" ht="15.75" hidden="false" customHeight="true" outlineLevel="0" collapsed="false">
      <c r="A709" s="18"/>
      <c r="B709" s="18"/>
      <c r="C709" s="19"/>
      <c r="D709" s="20"/>
      <c r="E709" s="20"/>
      <c r="F709" s="20"/>
      <c r="G709" s="20" t="str">
        <f aca="false">IF(COUNTBLANK(D709:F709)=3,"",IF(OR(D709="Fail",E709="Fail",F709="Fail"),"Fail",IF(AND(D709="Pass",E709="Pass",F709="Pass"),"Pass","Incomplete")))</f>
        <v/>
      </c>
      <c r="H709" s="18"/>
      <c r="I709" s="18"/>
    </row>
    <row r="710" customFormat="false" ht="15.75" hidden="false" customHeight="true" outlineLevel="0" collapsed="false">
      <c r="A710" s="18"/>
      <c r="B710" s="18"/>
      <c r="C710" s="19"/>
      <c r="D710" s="20"/>
      <c r="E710" s="20"/>
      <c r="F710" s="20"/>
      <c r="G710" s="20" t="str">
        <f aca="false">IF(COUNTBLANK(D710:F710)=3,"",IF(OR(D710="Fail",E710="Fail",F710="Fail"),"Fail",IF(AND(D710="Pass",E710="Pass",F710="Pass"),"Pass","Incomplete")))</f>
        <v/>
      </c>
      <c r="H710" s="18"/>
      <c r="I710" s="18"/>
    </row>
    <row r="711" customFormat="false" ht="15.75" hidden="false" customHeight="true" outlineLevel="0" collapsed="false">
      <c r="A711" s="18"/>
      <c r="B711" s="18"/>
      <c r="C711" s="19"/>
      <c r="D711" s="20"/>
      <c r="E711" s="20"/>
      <c r="F711" s="20"/>
      <c r="G711" s="20" t="str">
        <f aca="false">IF(COUNTBLANK(D711:F711)=3,"",IF(OR(D711="Fail",E711="Fail",F711="Fail"),"Fail",IF(AND(D711="Pass",E711="Pass",F711="Pass"),"Pass","Incomplete")))</f>
        <v/>
      </c>
      <c r="H711" s="18"/>
      <c r="I711" s="18"/>
    </row>
    <row r="712" customFormat="false" ht="15.75" hidden="false" customHeight="true" outlineLevel="0" collapsed="false">
      <c r="A712" s="18"/>
      <c r="B712" s="18"/>
      <c r="C712" s="19"/>
      <c r="D712" s="20"/>
      <c r="E712" s="20"/>
      <c r="F712" s="20"/>
      <c r="G712" s="20" t="str">
        <f aca="false">IF(COUNTBLANK(D712:F712)=3,"",IF(OR(D712="Fail",E712="Fail",F712="Fail"),"Fail",IF(AND(D712="Pass",E712="Pass",F712="Pass"),"Pass","Incomplete")))</f>
        <v/>
      </c>
      <c r="H712" s="18"/>
      <c r="I712" s="18"/>
    </row>
    <row r="713" customFormat="false" ht="15.75" hidden="false" customHeight="true" outlineLevel="0" collapsed="false">
      <c r="A713" s="18"/>
      <c r="B713" s="18"/>
      <c r="C713" s="19"/>
      <c r="D713" s="20"/>
      <c r="E713" s="20"/>
      <c r="F713" s="20"/>
      <c r="G713" s="20" t="str">
        <f aca="false">IF(COUNTBLANK(D713:F713)=3,"",IF(OR(D713="Fail",E713="Fail",F713="Fail"),"Fail",IF(AND(D713="Pass",E713="Pass",F713="Pass"),"Pass","Incomplete")))</f>
        <v/>
      </c>
      <c r="H713" s="18"/>
      <c r="I713" s="18"/>
    </row>
    <row r="714" customFormat="false" ht="15.75" hidden="false" customHeight="true" outlineLevel="0" collapsed="false">
      <c r="A714" s="18"/>
      <c r="B714" s="18"/>
      <c r="C714" s="19"/>
      <c r="D714" s="20"/>
      <c r="E714" s="20"/>
      <c r="F714" s="20"/>
      <c r="G714" s="20" t="str">
        <f aca="false">IF(COUNTBLANK(D714:F714)=3,"",IF(OR(D714="Fail",E714="Fail",F714="Fail"),"Fail",IF(AND(D714="Pass",E714="Pass",F714="Pass"),"Pass","Incomplete")))</f>
        <v/>
      </c>
      <c r="H714" s="18"/>
      <c r="I714" s="18"/>
    </row>
    <row r="715" customFormat="false" ht="15.75" hidden="false" customHeight="true" outlineLevel="0" collapsed="false">
      <c r="A715" s="18"/>
      <c r="B715" s="18"/>
      <c r="C715" s="19"/>
      <c r="D715" s="20"/>
      <c r="E715" s="20"/>
      <c r="F715" s="20"/>
      <c r="G715" s="20" t="str">
        <f aca="false">IF(COUNTBLANK(D715:F715)=3,"",IF(OR(D715="Fail",E715="Fail",F715="Fail"),"Fail",IF(AND(D715="Pass",E715="Pass",F715="Pass"),"Pass","Incomplete")))</f>
        <v/>
      </c>
      <c r="H715" s="18"/>
      <c r="I715" s="18"/>
    </row>
    <row r="716" customFormat="false" ht="15.75" hidden="false" customHeight="true" outlineLevel="0" collapsed="false">
      <c r="A716" s="18"/>
      <c r="B716" s="18"/>
      <c r="C716" s="19"/>
      <c r="D716" s="20"/>
      <c r="E716" s="20"/>
      <c r="F716" s="20"/>
      <c r="G716" s="20" t="str">
        <f aca="false">IF(COUNTBLANK(D716:F716)=3,"",IF(OR(D716="Fail",E716="Fail",F716="Fail"),"Fail",IF(AND(D716="Pass",E716="Pass",F716="Pass"),"Pass","Incomplete")))</f>
        <v/>
      </c>
      <c r="H716" s="18"/>
      <c r="I716" s="18"/>
    </row>
    <row r="717" customFormat="false" ht="15.75" hidden="false" customHeight="true" outlineLevel="0" collapsed="false">
      <c r="A717" s="18"/>
      <c r="B717" s="18"/>
      <c r="C717" s="19"/>
      <c r="D717" s="20"/>
      <c r="E717" s="20"/>
      <c r="F717" s="20"/>
      <c r="G717" s="20" t="str">
        <f aca="false">IF(COUNTBLANK(D717:F717)=3,"",IF(OR(D717="Fail",E717="Fail",F717="Fail"),"Fail",IF(AND(D717="Pass",E717="Pass",F717="Pass"),"Pass","Incomplete")))</f>
        <v/>
      </c>
      <c r="H717" s="18"/>
      <c r="I717" s="18"/>
    </row>
    <row r="718" customFormat="false" ht="15.75" hidden="false" customHeight="true" outlineLevel="0" collapsed="false">
      <c r="A718" s="18"/>
      <c r="B718" s="18"/>
      <c r="C718" s="19"/>
      <c r="D718" s="20"/>
      <c r="E718" s="20"/>
      <c r="F718" s="20"/>
      <c r="G718" s="20" t="str">
        <f aca="false">IF(COUNTBLANK(D718:F718)=3,"",IF(OR(D718="Fail",E718="Fail",F718="Fail"),"Fail",IF(AND(D718="Pass",E718="Pass",F718="Pass"),"Pass","Incomplete")))</f>
        <v/>
      </c>
      <c r="H718" s="18"/>
      <c r="I718" s="18"/>
    </row>
    <row r="719" customFormat="false" ht="15.75" hidden="false" customHeight="true" outlineLevel="0" collapsed="false">
      <c r="A719" s="18"/>
      <c r="B719" s="18"/>
      <c r="C719" s="19"/>
      <c r="D719" s="20"/>
      <c r="E719" s="20"/>
      <c r="F719" s="20"/>
      <c r="G719" s="20" t="str">
        <f aca="false">IF(COUNTBLANK(D719:F719)=3,"",IF(OR(D719="Fail",E719="Fail",F719="Fail"),"Fail",IF(AND(D719="Pass",E719="Pass",F719="Pass"),"Pass","Incomplete")))</f>
        <v/>
      </c>
      <c r="H719" s="18"/>
      <c r="I719" s="18"/>
    </row>
    <row r="720" customFormat="false" ht="15.75" hidden="false" customHeight="true" outlineLevel="0" collapsed="false">
      <c r="A720" s="18"/>
      <c r="B720" s="18"/>
      <c r="C720" s="19"/>
      <c r="D720" s="20"/>
      <c r="E720" s="20"/>
      <c r="F720" s="20"/>
      <c r="G720" s="20" t="str">
        <f aca="false">IF(COUNTBLANK(D720:F720)=3,"",IF(OR(D720="Fail",E720="Fail",F720="Fail"),"Fail",IF(AND(D720="Pass",E720="Pass",F720="Pass"),"Pass","Incomplete")))</f>
        <v/>
      </c>
      <c r="H720" s="18"/>
      <c r="I720" s="18"/>
    </row>
    <row r="721" customFormat="false" ht="15.75" hidden="false" customHeight="true" outlineLevel="0" collapsed="false">
      <c r="A721" s="18"/>
      <c r="B721" s="18"/>
      <c r="C721" s="19"/>
      <c r="D721" s="20"/>
      <c r="E721" s="20"/>
      <c r="F721" s="20"/>
      <c r="G721" s="20" t="str">
        <f aca="false">IF(COUNTBLANK(D721:F721)=3,"",IF(OR(D721="Fail",E721="Fail",F721="Fail"),"Fail",IF(AND(D721="Pass",E721="Pass",F721="Pass"),"Pass","Incomplete")))</f>
        <v/>
      </c>
      <c r="H721" s="18"/>
      <c r="I721" s="18"/>
    </row>
    <row r="722" customFormat="false" ht="15.75" hidden="false" customHeight="true" outlineLevel="0" collapsed="false">
      <c r="A722" s="18"/>
      <c r="B722" s="18"/>
      <c r="C722" s="19"/>
      <c r="D722" s="20"/>
      <c r="E722" s="20"/>
      <c r="F722" s="20"/>
      <c r="G722" s="20" t="str">
        <f aca="false">IF(COUNTBLANK(D722:F722)=3,"",IF(OR(D722="Fail",E722="Fail",F722="Fail"),"Fail",IF(AND(D722="Pass",E722="Pass",F722="Pass"),"Pass","Incomplete")))</f>
        <v/>
      </c>
      <c r="H722" s="18"/>
      <c r="I722" s="18"/>
    </row>
    <row r="723" customFormat="false" ht="15.75" hidden="false" customHeight="true" outlineLevel="0" collapsed="false">
      <c r="A723" s="18"/>
      <c r="B723" s="18"/>
      <c r="C723" s="19"/>
      <c r="D723" s="20"/>
      <c r="E723" s="20"/>
      <c r="F723" s="20"/>
      <c r="G723" s="20" t="str">
        <f aca="false">IF(COUNTBLANK(D723:F723)=3,"",IF(OR(D723="Fail",E723="Fail",F723="Fail"),"Fail",IF(AND(D723="Pass",E723="Pass",F723="Pass"),"Pass","Incomplete")))</f>
        <v/>
      </c>
      <c r="H723" s="18"/>
      <c r="I723" s="18"/>
    </row>
    <row r="724" customFormat="false" ht="15.75" hidden="false" customHeight="true" outlineLevel="0" collapsed="false">
      <c r="A724" s="18"/>
      <c r="B724" s="18"/>
      <c r="C724" s="19"/>
      <c r="D724" s="20"/>
      <c r="E724" s="20"/>
      <c r="F724" s="20"/>
      <c r="G724" s="20" t="str">
        <f aca="false">IF(COUNTBLANK(D724:F724)=3,"",IF(OR(D724="Fail",E724="Fail",F724="Fail"),"Fail",IF(AND(D724="Pass",E724="Pass",F724="Pass"),"Pass","Incomplete")))</f>
        <v/>
      </c>
      <c r="H724" s="18"/>
      <c r="I724" s="18"/>
    </row>
    <row r="725" customFormat="false" ht="15.75" hidden="false" customHeight="true" outlineLevel="0" collapsed="false">
      <c r="A725" s="18"/>
      <c r="B725" s="18"/>
      <c r="C725" s="19"/>
      <c r="D725" s="20"/>
      <c r="E725" s="20"/>
      <c r="F725" s="20"/>
      <c r="G725" s="20" t="str">
        <f aca="false">IF(COUNTBLANK(D725:F725)=3,"",IF(OR(D725="Fail",E725="Fail",F725="Fail"),"Fail",IF(AND(D725="Pass",E725="Pass",F725="Pass"),"Pass","Incomplete")))</f>
        <v/>
      </c>
      <c r="H725" s="18"/>
      <c r="I725" s="18"/>
    </row>
    <row r="726" customFormat="false" ht="15.75" hidden="false" customHeight="true" outlineLevel="0" collapsed="false">
      <c r="A726" s="18"/>
      <c r="B726" s="18"/>
      <c r="C726" s="19"/>
      <c r="D726" s="20"/>
      <c r="E726" s="20"/>
      <c r="F726" s="20"/>
      <c r="G726" s="20" t="str">
        <f aca="false">IF(COUNTBLANK(D726:F726)=3,"",IF(OR(D726="Fail",E726="Fail",F726="Fail"),"Fail",IF(AND(D726="Pass",E726="Pass",F726="Pass"),"Pass","Incomplete")))</f>
        <v/>
      </c>
      <c r="H726" s="18"/>
      <c r="I726" s="18"/>
    </row>
    <row r="727" customFormat="false" ht="15.75" hidden="false" customHeight="true" outlineLevel="0" collapsed="false">
      <c r="A727" s="18"/>
      <c r="B727" s="18"/>
      <c r="C727" s="19"/>
      <c r="D727" s="20"/>
      <c r="E727" s="20"/>
      <c r="F727" s="20"/>
      <c r="G727" s="20" t="str">
        <f aca="false">IF(COUNTBLANK(D727:F727)=3,"",IF(OR(D727="Fail",E727="Fail",F727="Fail"),"Fail",IF(AND(D727="Pass",E727="Pass",F727="Pass"),"Pass","Incomplete")))</f>
        <v/>
      </c>
      <c r="H727" s="18"/>
      <c r="I727" s="18"/>
    </row>
    <row r="728" customFormat="false" ht="15.75" hidden="false" customHeight="true" outlineLevel="0" collapsed="false">
      <c r="A728" s="18"/>
      <c r="B728" s="18"/>
      <c r="C728" s="19"/>
      <c r="D728" s="20"/>
      <c r="E728" s="20"/>
      <c r="F728" s="20"/>
      <c r="G728" s="20" t="str">
        <f aca="false">IF(COUNTBLANK(D728:F728)=3,"",IF(OR(D728="Fail",E728="Fail",F728="Fail"),"Fail",IF(AND(D728="Pass",E728="Pass",F728="Pass"),"Pass","Incomplete")))</f>
        <v/>
      </c>
      <c r="H728" s="18"/>
      <c r="I728" s="18"/>
    </row>
    <row r="729" customFormat="false" ht="15.75" hidden="false" customHeight="true" outlineLevel="0" collapsed="false">
      <c r="A729" s="18"/>
      <c r="B729" s="18"/>
      <c r="C729" s="19"/>
      <c r="D729" s="20"/>
      <c r="E729" s="20"/>
      <c r="F729" s="20"/>
      <c r="G729" s="20" t="str">
        <f aca="false">IF(COUNTBLANK(D729:F729)=3,"",IF(OR(D729="Fail",E729="Fail",F729="Fail"),"Fail",IF(AND(D729="Pass",E729="Pass",F729="Pass"),"Pass","Incomplete")))</f>
        <v/>
      </c>
      <c r="H729" s="18"/>
      <c r="I729" s="18"/>
    </row>
    <row r="730" customFormat="false" ht="15.75" hidden="false" customHeight="true" outlineLevel="0" collapsed="false">
      <c r="A730" s="18"/>
      <c r="B730" s="18"/>
      <c r="C730" s="19"/>
      <c r="D730" s="20"/>
      <c r="E730" s="20"/>
      <c r="F730" s="20"/>
      <c r="G730" s="20" t="str">
        <f aca="false">IF(COUNTBLANK(D730:F730)=3,"",IF(OR(D730="Fail",E730="Fail",F730="Fail"),"Fail",IF(AND(D730="Pass",E730="Pass",F730="Pass"),"Pass","Incomplete")))</f>
        <v/>
      </c>
      <c r="H730" s="18"/>
      <c r="I730" s="18"/>
    </row>
    <row r="731" customFormat="false" ht="15.75" hidden="false" customHeight="true" outlineLevel="0" collapsed="false">
      <c r="A731" s="18"/>
      <c r="B731" s="18"/>
      <c r="C731" s="19"/>
      <c r="D731" s="20"/>
      <c r="E731" s="20"/>
      <c r="F731" s="20"/>
      <c r="G731" s="20" t="str">
        <f aca="false">IF(COUNTBLANK(D731:F731)=3,"",IF(OR(D731="Fail",E731="Fail",F731="Fail"),"Fail",IF(AND(D731="Pass",E731="Pass",F731="Pass"),"Pass","Incomplete")))</f>
        <v/>
      </c>
      <c r="H731" s="18"/>
      <c r="I731" s="18"/>
    </row>
    <row r="732" customFormat="false" ht="15.75" hidden="false" customHeight="true" outlineLevel="0" collapsed="false">
      <c r="A732" s="18"/>
      <c r="B732" s="18"/>
      <c r="C732" s="19"/>
      <c r="D732" s="20"/>
      <c r="E732" s="20"/>
      <c r="F732" s="20"/>
      <c r="G732" s="20" t="str">
        <f aca="false">IF(COUNTBLANK(D732:F732)=3,"",IF(OR(D732="Fail",E732="Fail",F732="Fail"),"Fail",IF(AND(D732="Pass",E732="Pass",F732="Pass"),"Pass","Incomplete")))</f>
        <v/>
      </c>
      <c r="H732" s="18"/>
      <c r="I732" s="18"/>
    </row>
    <row r="733" customFormat="false" ht="15.75" hidden="false" customHeight="true" outlineLevel="0" collapsed="false">
      <c r="A733" s="18"/>
      <c r="B733" s="18"/>
      <c r="C733" s="19"/>
      <c r="D733" s="20"/>
      <c r="E733" s="20"/>
      <c r="F733" s="20"/>
      <c r="G733" s="20" t="str">
        <f aca="false">IF(COUNTBLANK(D733:F733)=3,"",IF(OR(D733="Fail",E733="Fail",F733="Fail"),"Fail",IF(AND(D733="Pass",E733="Pass",F733="Pass"),"Pass","Incomplete")))</f>
        <v/>
      </c>
      <c r="H733" s="18"/>
      <c r="I733" s="18"/>
    </row>
    <row r="734" customFormat="false" ht="15.75" hidden="false" customHeight="true" outlineLevel="0" collapsed="false">
      <c r="A734" s="18"/>
      <c r="B734" s="18"/>
      <c r="C734" s="19"/>
      <c r="D734" s="20"/>
      <c r="E734" s="20"/>
      <c r="F734" s="20"/>
      <c r="G734" s="20" t="str">
        <f aca="false">IF(COUNTBLANK(D734:F734)=3,"",IF(OR(D734="Fail",E734="Fail",F734="Fail"),"Fail",IF(AND(D734="Pass",E734="Pass",F734="Pass"),"Pass","Incomplete")))</f>
        <v/>
      </c>
      <c r="H734" s="18"/>
      <c r="I734" s="18"/>
    </row>
    <row r="735" customFormat="false" ht="15.75" hidden="false" customHeight="true" outlineLevel="0" collapsed="false">
      <c r="A735" s="18"/>
      <c r="B735" s="18"/>
      <c r="C735" s="19"/>
      <c r="D735" s="20"/>
      <c r="E735" s="20"/>
      <c r="F735" s="20"/>
      <c r="G735" s="20" t="str">
        <f aca="false">IF(COUNTBLANK(D735:F735)=3,"",IF(OR(D735="Fail",E735="Fail",F735="Fail"),"Fail",IF(AND(D735="Pass",E735="Pass",F735="Pass"),"Pass","Incomplete")))</f>
        <v/>
      </c>
      <c r="H735" s="18"/>
      <c r="I735" s="18"/>
    </row>
    <row r="736" customFormat="false" ht="15.75" hidden="false" customHeight="true" outlineLevel="0" collapsed="false">
      <c r="A736" s="18"/>
      <c r="B736" s="18"/>
      <c r="C736" s="19"/>
      <c r="D736" s="20"/>
      <c r="E736" s="20"/>
      <c r="F736" s="20"/>
      <c r="G736" s="20" t="str">
        <f aca="false">IF(COUNTBLANK(D736:F736)=3,"",IF(OR(D736="Fail",E736="Fail",F736="Fail"),"Fail",IF(AND(D736="Pass",E736="Pass",F736="Pass"),"Pass","Incomplete")))</f>
        <v/>
      </c>
      <c r="H736" s="18"/>
      <c r="I736" s="18"/>
    </row>
    <row r="737" customFormat="false" ht="15.75" hidden="false" customHeight="true" outlineLevel="0" collapsed="false">
      <c r="A737" s="18"/>
      <c r="B737" s="18"/>
      <c r="C737" s="19"/>
      <c r="D737" s="20"/>
      <c r="E737" s="20"/>
      <c r="F737" s="20"/>
      <c r="G737" s="20" t="str">
        <f aca="false">IF(COUNTBLANK(D737:F737)=3,"",IF(OR(D737="Fail",E737="Fail",F737="Fail"),"Fail",IF(AND(D737="Pass",E737="Pass",F737="Pass"),"Pass","Incomplete")))</f>
        <v/>
      </c>
      <c r="H737" s="18"/>
      <c r="I737" s="18"/>
    </row>
    <row r="738" customFormat="false" ht="15.75" hidden="false" customHeight="true" outlineLevel="0" collapsed="false">
      <c r="A738" s="18"/>
      <c r="B738" s="18"/>
      <c r="C738" s="19"/>
      <c r="D738" s="20"/>
      <c r="E738" s="20"/>
      <c r="F738" s="20"/>
      <c r="G738" s="20" t="str">
        <f aca="false">IF(COUNTBLANK(D738:F738)=3,"",IF(OR(D738="Fail",E738="Fail",F738="Fail"),"Fail",IF(AND(D738="Pass",E738="Pass",F738="Pass"),"Pass","Incomplete")))</f>
        <v/>
      </c>
      <c r="H738" s="18"/>
      <c r="I738" s="18"/>
    </row>
    <row r="739" customFormat="false" ht="15.75" hidden="false" customHeight="true" outlineLevel="0" collapsed="false">
      <c r="A739" s="18"/>
      <c r="B739" s="18"/>
      <c r="C739" s="19"/>
      <c r="D739" s="20"/>
      <c r="E739" s="20"/>
      <c r="F739" s="20"/>
      <c r="G739" s="20" t="str">
        <f aca="false">IF(COUNTBLANK(D739:F739)=3,"",IF(OR(D739="Fail",E739="Fail",F739="Fail"),"Fail",IF(AND(D739="Pass",E739="Pass",F739="Pass"),"Pass","Incomplete")))</f>
        <v/>
      </c>
      <c r="H739" s="18"/>
      <c r="I739" s="18"/>
    </row>
    <row r="740" customFormat="false" ht="15.75" hidden="false" customHeight="true" outlineLevel="0" collapsed="false">
      <c r="A740" s="18"/>
      <c r="B740" s="18"/>
      <c r="C740" s="19"/>
      <c r="D740" s="20"/>
      <c r="E740" s="20"/>
      <c r="F740" s="20"/>
      <c r="G740" s="20" t="str">
        <f aca="false">IF(COUNTBLANK(D740:F740)=3,"",IF(OR(D740="Fail",E740="Fail",F740="Fail"),"Fail",IF(AND(D740="Pass",E740="Pass",F740="Pass"),"Pass","Incomplete")))</f>
        <v/>
      </c>
      <c r="H740" s="18"/>
      <c r="I740" s="18"/>
    </row>
    <row r="741" customFormat="false" ht="15.75" hidden="false" customHeight="true" outlineLevel="0" collapsed="false">
      <c r="A741" s="18"/>
      <c r="B741" s="18"/>
      <c r="C741" s="19"/>
      <c r="D741" s="20"/>
      <c r="E741" s="20"/>
      <c r="F741" s="20"/>
      <c r="G741" s="20" t="str">
        <f aca="false">IF(COUNTBLANK(D741:F741)=3,"",IF(OR(D741="Fail",E741="Fail",F741="Fail"),"Fail",IF(AND(D741="Pass",E741="Pass",F741="Pass"),"Pass","Incomplete")))</f>
        <v/>
      </c>
      <c r="H741" s="18"/>
      <c r="I741" s="18"/>
    </row>
    <row r="742" customFormat="false" ht="15.75" hidden="false" customHeight="true" outlineLevel="0" collapsed="false">
      <c r="A742" s="18"/>
      <c r="B742" s="18"/>
      <c r="C742" s="19"/>
      <c r="D742" s="20"/>
      <c r="E742" s="20"/>
      <c r="F742" s="20"/>
      <c r="G742" s="20" t="str">
        <f aca="false">IF(COUNTBLANK(D742:F742)=3,"",IF(OR(D742="Fail",E742="Fail",F742="Fail"),"Fail",IF(AND(D742="Pass",E742="Pass",F742="Pass"),"Pass","Incomplete")))</f>
        <v/>
      </c>
      <c r="H742" s="18"/>
      <c r="I742" s="18"/>
    </row>
    <row r="743" customFormat="false" ht="15.75" hidden="false" customHeight="true" outlineLevel="0" collapsed="false">
      <c r="A743" s="18"/>
      <c r="B743" s="18"/>
      <c r="C743" s="19"/>
      <c r="D743" s="20"/>
      <c r="E743" s="20"/>
      <c r="F743" s="20"/>
      <c r="G743" s="20" t="str">
        <f aca="false">IF(COUNTBLANK(D743:F743)=3,"",IF(OR(D743="Fail",E743="Fail",F743="Fail"),"Fail",IF(AND(D743="Pass",E743="Pass",F743="Pass"),"Pass","Incomplete")))</f>
        <v/>
      </c>
      <c r="H743" s="18"/>
      <c r="I743" s="18"/>
    </row>
    <row r="744" customFormat="false" ht="15.75" hidden="false" customHeight="true" outlineLevel="0" collapsed="false">
      <c r="A744" s="18"/>
      <c r="B744" s="18"/>
      <c r="C744" s="19"/>
      <c r="D744" s="20"/>
      <c r="E744" s="20"/>
      <c r="F744" s="20"/>
      <c r="G744" s="20" t="str">
        <f aca="false">IF(COUNTBLANK(D744:F744)=3,"",IF(OR(D744="Fail",E744="Fail",F744="Fail"),"Fail",IF(AND(D744="Pass",E744="Pass",F744="Pass"),"Pass","Incomplete")))</f>
        <v/>
      </c>
      <c r="H744" s="18"/>
      <c r="I744" s="18"/>
    </row>
    <row r="745" customFormat="false" ht="15.75" hidden="false" customHeight="true" outlineLevel="0" collapsed="false">
      <c r="A745" s="18"/>
      <c r="B745" s="18"/>
      <c r="C745" s="19"/>
      <c r="D745" s="20"/>
      <c r="E745" s="20"/>
      <c r="F745" s="20"/>
      <c r="G745" s="20" t="str">
        <f aca="false">IF(COUNTBLANK(D745:F745)=3,"",IF(OR(D745="Fail",E745="Fail",F745="Fail"),"Fail",IF(AND(D745="Pass",E745="Pass",F745="Pass"),"Pass","Incomplete")))</f>
        <v/>
      </c>
      <c r="H745" s="18"/>
      <c r="I745" s="18"/>
    </row>
    <row r="746" customFormat="false" ht="15.75" hidden="false" customHeight="true" outlineLevel="0" collapsed="false">
      <c r="A746" s="18"/>
      <c r="B746" s="18"/>
      <c r="C746" s="19"/>
      <c r="D746" s="20"/>
      <c r="E746" s="20"/>
      <c r="F746" s="20"/>
      <c r="G746" s="20" t="str">
        <f aca="false">IF(COUNTBLANK(D746:F746)=3,"",IF(OR(D746="Fail",E746="Fail",F746="Fail"),"Fail",IF(AND(D746="Pass",E746="Pass",F746="Pass"),"Pass","Incomplete")))</f>
        <v/>
      </c>
      <c r="H746" s="18"/>
      <c r="I746" s="18"/>
    </row>
    <row r="747" customFormat="false" ht="15.75" hidden="false" customHeight="true" outlineLevel="0" collapsed="false">
      <c r="A747" s="18"/>
      <c r="B747" s="18"/>
      <c r="C747" s="19"/>
      <c r="D747" s="20"/>
      <c r="E747" s="20"/>
      <c r="F747" s="20"/>
      <c r="G747" s="20" t="str">
        <f aca="false">IF(COUNTBLANK(D747:F747)=3,"",IF(OR(D747="Fail",E747="Fail",F747="Fail"),"Fail",IF(AND(D747="Pass",E747="Pass",F747="Pass"),"Pass","Incomplete")))</f>
        <v/>
      </c>
      <c r="H747" s="18"/>
      <c r="I747" s="18"/>
    </row>
    <row r="748" customFormat="false" ht="15.75" hidden="false" customHeight="true" outlineLevel="0" collapsed="false">
      <c r="A748" s="18"/>
      <c r="B748" s="18"/>
      <c r="C748" s="19"/>
      <c r="D748" s="20"/>
      <c r="E748" s="20"/>
      <c r="F748" s="20"/>
      <c r="G748" s="20" t="str">
        <f aca="false">IF(COUNTBLANK(D748:F748)=3,"",IF(OR(D748="Fail",E748="Fail",F748="Fail"),"Fail",IF(AND(D748="Pass",E748="Pass",F748="Pass"),"Pass","Incomplete")))</f>
        <v/>
      </c>
      <c r="H748" s="18"/>
      <c r="I748" s="18"/>
    </row>
    <row r="749" customFormat="false" ht="15.75" hidden="false" customHeight="true" outlineLevel="0" collapsed="false">
      <c r="A749" s="18"/>
      <c r="B749" s="18"/>
      <c r="C749" s="19"/>
      <c r="D749" s="20"/>
      <c r="E749" s="20"/>
      <c r="F749" s="20"/>
      <c r="G749" s="20" t="str">
        <f aca="false">IF(COUNTBLANK(D749:F749)=3,"",IF(OR(D749="Fail",E749="Fail",F749="Fail"),"Fail",IF(AND(D749="Pass",E749="Pass",F749="Pass"),"Pass","Incomplete")))</f>
        <v/>
      </c>
      <c r="H749" s="18"/>
      <c r="I749" s="18"/>
    </row>
    <row r="750" customFormat="false" ht="15.75" hidden="false" customHeight="true" outlineLevel="0" collapsed="false">
      <c r="A750" s="18"/>
      <c r="B750" s="18"/>
      <c r="C750" s="19"/>
      <c r="D750" s="20"/>
      <c r="E750" s="20"/>
      <c r="F750" s="20"/>
      <c r="G750" s="20" t="str">
        <f aca="false">IF(COUNTBLANK(D750:F750)=3,"",IF(OR(D750="Fail",E750="Fail",F750="Fail"),"Fail",IF(AND(D750="Pass",E750="Pass",F750="Pass"),"Pass","Incomplete")))</f>
        <v/>
      </c>
      <c r="H750" s="18"/>
      <c r="I750" s="18"/>
    </row>
    <row r="751" customFormat="false" ht="15.75" hidden="false" customHeight="true" outlineLevel="0" collapsed="false">
      <c r="A751" s="18"/>
      <c r="B751" s="18"/>
      <c r="C751" s="19"/>
      <c r="D751" s="20"/>
      <c r="E751" s="20"/>
      <c r="F751" s="20"/>
      <c r="G751" s="20" t="str">
        <f aca="false">IF(COUNTBLANK(D751:F751)=3,"",IF(OR(D751="Fail",E751="Fail",F751="Fail"),"Fail",IF(AND(D751="Pass",E751="Pass",F751="Pass"),"Pass","Incomplete")))</f>
        <v/>
      </c>
      <c r="H751" s="18"/>
      <c r="I751" s="18"/>
    </row>
    <row r="752" customFormat="false" ht="15.75" hidden="false" customHeight="true" outlineLevel="0" collapsed="false">
      <c r="A752" s="18"/>
      <c r="B752" s="18"/>
      <c r="C752" s="19"/>
      <c r="D752" s="20"/>
      <c r="E752" s="20"/>
      <c r="F752" s="20"/>
      <c r="G752" s="20" t="str">
        <f aca="false">IF(COUNTBLANK(D752:F752)=3,"",IF(OR(D752="Fail",E752="Fail",F752="Fail"),"Fail",IF(AND(D752="Pass",E752="Pass",F752="Pass"),"Pass","Incomplete")))</f>
        <v/>
      </c>
      <c r="H752" s="18"/>
      <c r="I752" s="18"/>
    </row>
    <row r="753" customFormat="false" ht="15.75" hidden="false" customHeight="true" outlineLevel="0" collapsed="false">
      <c r="A753" s="18"/>
      <c r="B753" s="18"/>
      <c r="C753" s="19"/>
      <c r="D753" s="20"/>
      <c r="E753" s="20"/>
      <c r="F753" s="20"/>
      <c r="G753" s="20" t="str">
        <f aca="false">IF(COUNTBLANK(D753:F753)=3,"",IF(OR(D753="Fail",E753="Fail",F753="Fail"),"Fail",IF(AND(D753="Pass",E753="Pass",F753="Pass"),"Pass","Incomplete")))</f>
        <v/>
      </c>
      <c r="H753" s="18"/>
      <c r="I753" s="18"/>
    </row>
    <row r="754" customFormat="false" ht="15.75" hidden="false" customHeight="true" outlineLevel="0" collapsed="false">
      <c r="A754" s="18"/>
      <c r="B754" s="18"/>
      <c r="C754" s="19"/>
      <c r="D754" s="20"/>
      <c r="E754" s="20"/>
      <c r="F754" s="20"/>
      <c r="G754" s="20" t="str">
        <f aca="false">IF(COUNTBLANK(D754:F754)=3,"",IF(OR(D754="Fail",E754="Fail",F754="Fail"),"Fail",IF(AND(D754="Pass",E754="Pass",F754="Pass"),"Pass","Incomplete")))</f>
        <v/>
      </c>
      <c r="H754" s="18"/>
      <c r="I754" s="18"/>
    </row>
    <row r="755" customFormat="false" ht="15.75" hidden="false" customHeight="true" outlineLevel="0" collapsed="false">
      <c r="A755" s="18"/>
      <c r="B755" s="18"/>
      <c r="C755" s="19"/>
      <c r="D755" s="20"/>
      <c r="E755" s="20"/>
      <c r="F755" s="20"/>
      <c r="G755" s="20" t="str">
        <f aca="false">IF(COUNTBLANK(D755:F755)=3,"",IF(OR(D755="Fail",E755="Fail",F755="Fail"),"Fail",IF(AND(D755="Pass",E755="Pass",F755="Pass"),"Pass","Incomplete")))</f>
        <v/>
      </c>
      <c r="H755" s="18"/>
      <c r="I755" s="18"/>
    </row>
    <row r="756" customFormat="false" ht="15.75" hidden="false" customHeight="true" outlineLevel="0" collapsed="false">
      <c r="A756" s="18"/>
      <c r="B756" s="18"/>
      <c r="C756" s="19"/>
      <c r="D756" s="20"/>
      <c r="E756" s="20"/>
      <c r="F756" s="20"/>
      <c r="G756" s="20" t="str">
        <f aca="false">IF(COUNTBLANK(D756:F756)=3,"",IF(OR(D756="Fail",E756="Fail",F756="Fail"),"Fail",IF(AND(D756="Pass",E756="Pass",F756="Pass"),"Pass","Incomplete")))</f>
        <v/>
      </c>
      <c r="H756" s="18"/>
      <c r="I756" s="18"/>
    </row>
    <row r="757" customFormat="false" ht="15.75" hidden="false" customHeight="true" outlineLevel="0" collapsed="false">
      <c r="A757" s="18"/>
      <c r="B757" s="18"/>
      <c r="C757" s="19"/>
      <c r="D757" s="20"/>
      <c r="E757" s="20"/>
      <c r="F757" s="20"/>
      <c r="G757" s="20" t="str">
        <f aca="false">IF(COUNTBLANK(D757:F757)=3,"",IF(OR(D757="Fail",E757="Fail",F757="Fail"),"Fail",IF(AND(D757="Pass",E757="Pass",F757="Pass"),"Pass","Incomplete")))</f>
        <v/>
      </c>
      <c r="H757" s="18"/>
      <c r="I757" s="18"/>
    </row>
    <row r="758" customFormat="false" ht="15.75" hidden="false" customHeight="true" outlineLevel="0" collapsed="false">
      <c r="A758" s="18"/>
      <c r="B758" s="18"/>
      <c r="C758" s="19"/>
      <c r="D758" s="20"/>
      <c r="E758" s="20"/>
      <c r="F758" s="20"/>
      <c r="G758" s="20" t="str">
        <f aca="false">IF(COUNTBLANK(D758:F758)=3,"",IF(OR(D758="Fail",E758="Fail",F758="Fail"),"Fail",IF(AND(D758="Pass",E758="Pass",F758="Pass"),"Pass","Incomplete")))</f>
        <v/>
      </c>
      <c r="H758" s="18"/>
      <c r="I758" s="18"/>
    </row>
    <row r="759" customFormat="false" ht="15.75" hidden="false" customHeight="true" outlineLevel="0" collapsed="false">
      <c r="A759" s="18"/>
      <c r="B759" s="18"/>
      <c r="C759" s="19"/>
      <c r="D759" s="20"/>
      <c r="E759" s="20"/>
      <c r="F759" s="20"/>
      <c r="G759" s="20" t="str">
        <f aca="false">IF(COUNTBLANK(D759:F759)=3,"",IF(OR(D759="Fail",E759="Fail",F759="Fail"),"Fail",IF(AND(D759="Pass",E759="Pass",F759="Pass"),"Pass","Incomplete")))</f>
        <v/>
      </c>
      <c r="H759" s="18"/>
      <c r="I759" s="18"/>
    </row>
    <row r="760" customFormat="false" ht="15.75" hidden="false" customHeight="true" outlineLevel="0" collapsed="false">
      <c r="A760" s="18"/>
      <c r="B760" s="18"/>
      <c r="C760" s="19"/>
      <c r="D760" s="20"/>
      <c r="E760" s="20"/>
      <c r="F760" s="20"/>
      <c r="G760" s="20" t="str">
        <f aca="false">IF(COUNTBLANK(D760:F760)=3,"",IF(OR(D760="Fail",E760="Fail",F760="Fail"),"Fail",IF(AND(D760="Pass",E760="Pass",F760="Pass"),"Pass","Incomplete")))</f>
        <v/>
      </c>
      <c r="H760" s="18"/>
      <c r="I760" s="18"/>
    </row>
    <row r="761" customFormat="false" ht="15.75" hidden="false" customHeight="true" outlineLevel="0" collapsed="false">
      <c r="A761" s="18"/>
      <c r="B761" s="18"/>
      <c r="C761" s="19"/>
      <c r="D761" s="20"/>
      <c r="E761" s="20"/>
      <c r="F761" s="20"/>
      <c r="G761" s="20" t="str">
        <f aca="false">IF(COUNTBLANK(D761:F761)=3,"",IF(OR(D761="Fail",E761="Fail",F761="Fail"),"Fail",IF(AND(D761="Pass",E761="Pass",F761="Pass"),"Pass","Incomplete")))</f>
        <v/>
      </c>
      <c r="H761" s="18"/>
      <c r="I761" s="18"/>
    </row>
    <row r="762" customFormat="false" ht="15.75" hidden="false" customHeight="true" outlineLevel="0" collapsed="false">
      <c r="A762" s="18"/>
      <c r="B762" s="18"/>
      <c r="C762" s="19"/>
      <c r="D762" s="20"/>
      <c r="E762" s="20"/>
      <c r="F762" s="20"/>
      <c r="G762" s="20" t="str">
        <f aca="false">IF(COUNTBLANK(D762:F762)=3,"",IF(OR(D762="Fail",E762="Fail",F762="Fail"),"Fail",IF(AND(D762="Pass",E762="Pass",F762="Pass"),"Pass","Incomplete")))</f>
        <v/>
      </c>
      <c r="H762" s="18"/>
      <c r="I762" s="18"/>
    </row>
    <row r="763" customFormat="false" ht="15.75" hidden="false" customHeight="true" outlineLevel="0" collapsed="false">
      <c r="A763" s="18"/>
      <c r="B763" s="18"/>
      <c r="C763" s="19"/>
      <c r="D763" s="20"/>
      <c r="E763" s="20"/>
      <c r="F763" s="20"/>
      <c r="G763" s="20" t="str">
        <f aca="false">IF(COUNTBLANK(D763:F763)=3,"",IF(OR(D763="Fail",E763="Fail",F763="Fail"),"Fail",IF(AND(D763="Pass",E763="Pass",F763="Pass"),"Pass","Incomplete")))</f>
        <v/>
      </c>
      <c r="H763" s="18"/>
      <c r="I763" s="18"/>
    </row>
    <row r="764" customFormat="false" ht="15.75" hidden="false" customHeight="true" outlineLevel="0" collapsed="false">
      <c r="A764" s="18"/>
      <c r="B764" s="18"/>
      <c r="C764" s="19"/>
      <c r="D764" s="20"/>
      <c r="E764" s="20"/>
      <c r="F764" s="20"/>
      <c r="G764" s="20" t="str">
        <f aca="false">IF(COUNTBLANK(D764:F764)=3,"",IF(OR(D764="Fail",E764="Fail",F764="Fail"),"Fail",IF(AND(D764="Pass",E764="Pass",F764="Pass"),"Pass","Incomplete")))</f>
        <v/>
      </c>
      <c r="H764" s="18"/>
      <c r="I764" s="18"/>
    </row>
    <row r="765" customFormat="false" ht="15.75" hidden="false" customHeight="true" outlineLevel="0" collapsed="false">
      <c r="A765" s="18"/>
      <c r="B765" s="18"/>
      <c r="C765" s="19"/>
      <c r="D765" s="20"/>
      <c r="E765" s="20"/>
      <c r="F765" s="20"/>
      <c r="G765" s="20" t="str">
        <f aca="false">IF(COUNTBLANK(D765:F765)=3,"",IF(OR(D765="Fail",E765="Fail",F765="Fail"),"Fail",IF(AND(D765="Pass",E765="Pass",F765="Pass"),"Pass","Incomplete")))</f>
        <v/>
      </c>
      <c r="H765" s="18"/>
      <c r="I765" s="18"/>
    </row>
    <row r="766" customFormat="false" ht="15.75" hidden="false" customHeight="true" outlineLevel="0" collapsed="false">
      <c r="A766" s="18"/>
      <c r="B766" s="18"/>
      <c r="C766" s="19"/>
      <c r="D766" s="20"/>
      <c r="E766" s="20"/>
      <c r="F766" s="20"/>
      <c r="G766" s="20" t="str">
        <f aca="false">IF(COUNTBLANK(D766:F766)=3,"",IF(OR(D766="Fail",E766="Fail",F766="Fail"),"Fail",IF(AND(D766="Pass",E766="Pass",F766="Pass"),"Pass","Incomplete")))</f>
        <v/>
      </c>
      <c r="H766" s="18"/>
      <c r="I766" s="18"/>
    </row>
    <row r="767" customFormat="false" ht="15.75" hidden="false" customHeight="true" outlineLevel="0" collapsed="false">
      <c r="A767" s="18"/>
      <c r="B767" s="18"/>
      <c r="C767" s="19"/>
      <c r="D767" s="20"/>
      <c r="E767" s="20"/>
      <c r="F767" s="20"/>
      <c r="G767" s="20" t="str">
        <f aca="false">IF(COUNTBLANK(D767:F767)=3,"",IF(OR(D767="Fail",E767="Fail",F767="Fail"),"Fail",IF(AND(D767="Pass",E767="Pass",F767="Pass"),"Pass","Incomplete")))</f>
        <v/>
      </c>
      <c r="H767" s="18"/>
      <c r="I767" s="18"/>
    </row>
    <row r="768" customFormat="false" ht="15.75" hidden="false" customHeight="true" outlineLevel="0" collapsed="false">
      <c r="A768" s="18"/>
      <c r="B768" s="18"/>
      <c r="C768" s="19"/>
      <c r="D768" s="20"/>
      <c r="E768" s="20"/>
      <c r="F768" s="20"/>
      <c r="G768" s="20" t="str">
        <f aca="false">IF(COUNTBLANK(D768:F768)=3,"",IF(OR(D768="Fail",E768="Fail",F768="Fail"),"Fail",IF(AND(D768="Pass",E768="Pass",F768="Pass"),"Pass","Incomplete")))</f>
        <v/>
      </c>
      <c r="H768" s="18"/>
      <c r="I768" s="18"/>
    </row>
    <row r="769" customFormat="false" ht="15.75" hidden="false" customHeight="true" outlineLevel="0" collapsed="false">
      <c r="A769" s="18"/>
      <c r="B769" s="18"/>
      <c r="C769" s="19"/>
      <c r="D769" s="20"/>
      <c r="E769" s="20"/>
      <c r="F769" s="20"/>
      <c r="G769" s="20" t="str">
        <f aca="false">IF(COUNTBLANK(D769:F769)=3,"",IF(OR(D769="Fail",E769="Fail",F769="Fail"),"Fail",IF(AND(D769="Pass",E769="Pass",F769="Pass"),"Pass","Incomplete")))</f>
        <v/>
      </c>
      <c r="H769" s="18"/>
      <c r="I769" s="18"/>
    </row>
    <row r="770" customFormat="false" ht="15.75" hidden="false" customHeight="true" outlineLevel="0" collapsed="false">
      <c r="A770" s="18"/>
      <c r="B770" s="18"/>
      <c r="C770" s="19"/>
      <c r="D770" s="20"/>
      <c r="E770" s="20"/>
      <c r="F770" s="20"/>
      <c r="G770" s="20" t="str">
        <f aca="false">IF(COUNTBLANK(D770:F770)=3,"",IF(OR(D770="Fail",E770="Fail",F770="Fail"),"Fail",IF(AND(D770="Pass",E770="Pass",F770="Pass"),"Pass","Incomplete")))</f>
        <v/>
      </c>
      <c r="H770" s="18"/>
      <c r="I770" s="18"/>
    </row>
    <row r="771" customFormat="false" ht="15.75" hidden="false" customHeight="true" outlineLevel="0" collapsed="false">
      <c r="A771" s="18"/>
      <c r="B771" s="18"/>
      <c r="C771" s="19"/>
      <c r="D771" s="20"/>
      <c r="E771" s="20"/>
      <c r="F771" s="20"/>
      <c r="G771" s="20" t="str">
        <f aca="false">IF(COUNTBLANK(D771:F771)=3,"",IF(OR(D771="Fail",E771="Fail",F771="Fail"),"Fail",IF(AND(D771="Pass",E771="Pass",F771="Pass"),"Pass","Incomplete")))</f>
        <v/>
      </c>
      <c r="H771" s="18"/>
      <c r="I771" s="18"/>
    </row>
    <row r="772" customFormat="false" ht="15.75" hidden="false" customHeight="true" outlineLevel="0" collapsed="false">
      <c r="A772" s="18"/>
      <c r="B772" s="18"/>
      <c r="C772" s="19"/>
      <c r="D772" s="20"/>
      <c r="E772" s="20"/>
      <c r="F772" s="20"/>
      <c r="G772" s="20" t="str">
        <f aca="false">IF(COUNTBLANK(D772:F772)=3,"",IF(OR(D772="Fail",E772="Fail",F772="Fail"),"Fail",IF(AND(D772="Pass",E772="Pass",F772="Pass"),"Pass","Incomplete")))</f>
        <v/>
      </c>
      <c r="H772" s="18"/>
      <c r="I772" s="18"/>
    </row>
    <row r="773" customFormat="false" ht="15.75" hidden="false" customHeight="true" outlineLevel="0" collapsed="false">
      <c r="A773" s="18"/>
      <c r="B773" s="18"/>
      <c r="C773" s="19"/>
      <c r="D773" s="20"/>
      <c r="E773" s="20"/>
      <c r="F773" s="20"/>
      <c r="G773" s="20" t="str">
        <f aca="false">IF(COUNTBLANK(D773:F773)=3,"",IF(OR(D773="Fail",E773="Fail",F773="Fail"),"Fail",IF(AND(D773="Pass",E773="Pass",F773="Pass"),"Pass","Incomplete")))</f>
        <v/>
      </c>
      <c r="H773" s="18"/>
      <c r="I773" s="18"/>
    </row>
    <row r="774" customFormat="false" ht="15.75" hidden="false" customHeight="true" outlineLevel="0" collapsed="false">
      <c r="A774" s="18"/>
      <c r="B774" s="18"/>
      <c r="C774" s="19"/>
      <c r="D774" s="20"/>
      <c r="E774" s="20"/>
      <c r="F774" s="20"/>
      <c r="G774" s="20" t="str">
        <f aca="false">IF(COUNTBLANK(D774:F774)=3,"",IF(OR(D774="Fail",E774="Fail",F774="Fail"),"Fail",IF(AND(D774="Pass",E774="Pass",F774="Pass"),"Pass","Incomplete")))</f>
        <v/>
      </c>
      <c r="H774" s="18"/>
      <c r="I774" s="18"/>
    </row>
    <row r="775" customFormat="false" ht="15.75" hidden="false" customHeight="true" outlineLevel="0" collapsed="false">
      <c r="A775" s="18"/>
      <c r="B775" s="18"/>
      <c r="C775" s="19"/>
      <c r="D775" s="20"/>
      <c r="E775" s="20"/>
      <c r="F775" s="20"/>
      <c r="G775" s="20" t="str">
        <f aca="false">IF(COUNTBLANK(D775:F775)=3,"",IF(OR(D775="Fail",E775="Fail",F775="Fail"),"Fail",IF(AND(D775="Pass",E775="Pass",F775="Pass"),"Pass","Incomplete")))</f>
        <v/>
      </c>
      <c r="H775" s="18"/>
      <c r="I775" s="18"/>
    </row>
    <row r="776" customFormat="false" ht="15.75" hidden="false" customHeight="true" outlineLevel="0" collapsed="false">
      <c r="A776" s="18"/>
      <c r="B776" s="18"/>
      <c r="C776" s="19"/>
      <c r="D776" s="20"/>
      <c r="E776" s="20"/>
      <c r="F776" s="20"/>
      <c r="G776" s="20" t="str">
        <f aca="false">IF(COUNTBLANK(D776:F776)=3,"",IF(OR(D776="Fail",E776="Fail",F776="Fail"),"Fail",IF(AND(D776="Pass",E776="Pass",F776="Pass"),"Pass","Incomplete")))</f>
        <v/>
      </c>
      <c r="H776" s="18"/>
      <c r="I776" s="18"/>
    </row>
    <row r="777" customFormat="false" ht="15.75" hidden="false" customHeight="true" outlineLevel="0" collapsed="false">
      <c r="A777" s="18"/>
      <c r="B777" s="18"/>
      <c r="C777" s="19"/>
      <c r="D777" s="20"/>
      <c r="E777" s="20"/>
      <c r="F777" s="20"/>
      <c r="G777" s="20" t="str">
        <f aca="false">IF(COUNTBLANK(D777:F777)=3,"",IF(OR(D777="Fail",E777="Fail",F777="Fail"),"Fail",IF(AND(D777="Pass",E777="Pass",F777="Pass"),"Pass","Incomplete")))</f>
        <v/>
      </c>
      <c r="H777" s="18"/>
      <c r="I777" s="18"/>
    </row>
    <row r="778" customFormat="false" ht="15.75" hidden="false" customHeight="true" outlineLevel="0" collapsed="false">
      <c r="A778" s="18"/>
      <c r="B778" s="18"/>
      <c r="C778" s="19"/>
      <c r="D778" s="20"/>
      <c r="E778" s="20"/>
      <c r="F778" s="20"/>
      <c r="G778" s="20" t="str">
        <f aca="false">IF(COUNTBLANK(D778:F778)=3,"",IF(OR(D778="Fail",E778="Fail",F778="Fail"),"Fail",IF(AND(D778="Pass",E778="Pass",F778="Pass"),"Pass","Incomplete")))</f>
        <v/>
      </c>
      <c r="H778" s="18"/>
      <c r="I778" s="18"/>
    </row>
    <row r="779" customFormat="false" ht="15.75" hidden="false" customHeight="true" outlineLevel="0" collapsed="false">
      <c r="A779" s="18"/>
      <c r="B779" s="18"/>
      <c r="C779" s="19"/>
      <c r="D779" s="20"/>
      <c r="E779" s="20"/>
      <c r="F779" s="20"/>
      <c r="G779" s="20" t="str">
        <f aca="false">IF(COUNTBLANK(D779:F779)=3,"",IF(OR(D779="Fail",E779="Fail",F779="Fail"),"Fail",IF(AND(D779="Pass",E779="Pass",F779="Pass"),"Pass","Incomplete")))</f>
        <v/>
      </c>
      <c r="H779" s="18"/>
      <c r="I779" s="18"/>
    </row>
    <row r="780" customFormat="false" ht="15.75" hidden="false" customHeight="true" outlineLevel="0" collapsed="false">
      <c r="A780" s="18"/>
      <c r="B780" s="18"/>
      <c r="C780" s="19"/>
      <c r="D780" s="20"/>
      <c r="E780" s="20"/>
      <c r="F780" s="20"/>
      <c r="G780" s="20" t="str">
        <f aca="false">IF(COUNTBLANK(D780:F780)=3,"",IF(OR(D780="Fail",E780="Fail",F780="Fail"),"Fail",IF(AND(D780="Pass",E780="Pass",F780="Pass"),"Pass","Incomplete")))</f>
        <v/>
      </c>
      <c r="H780" s="18"/>
      <c r="I780" s="18"/>
    </row>
    <row r="781" customFormat="false" ht="15.75" hidden="false" customHeight="true" outlineLevel="0" collapsed="false">
      <c r="A781" s="18"/>
      <c r="B781" s="18"/>
      <c r="C781" s="19"/>
      <c r="D781" s="20"/>
      <c r="E781" s="20"/>
      <c r="F781" s="20"/>
      <c r="G781" s="20" t="str">
        <f aca="false">IF(COUNTBLANK(D781:F781)=3,"",IF(OR(D781="Fail",E781="Fail",F781="Fail"),"Fail",IF(AND(D781="Pass",E781="Pass",F781="Pass"),"Pass","Incomplete")))</f>
        <v/>
      </c>
      <c r="H781" s="18"/>
      <c r="I781" s="18"/>
    </row>
    <row r="782" customFormat="false" ht="15.75" hidden="false" customHeight="true" outlineLevel="0" collapsed="false">
      <c r="A782" s="18"/>
      <c r="B782" s="18"/>
      <c r="C782" s="19"/>
      <c r="D782" s="20"/>
      <c r="E782" s="20"/>
      <c r="F782" s="20"/>
      <c r="G782" s="20" t="str">
        <f aca="false">IF(COUNTBLANK(D782:F782)=3,"",IF(OR(D782="Fail",E782="Fail",F782="Fail"),"Fail",IF(AND(D782="Pass",E782="Pass",F782="Pass"),"Pass","Incomplete")))</f>
        <v/>
      </c>
      <c r="H782" s="18"/>
      <c r="I782" s="18"/>
    </row>
    <row r="783" customFormat="false" ht="15.75" hidden="false" customHeight="true" outlineLevel="0" collapsed="false">
      <c r="A783" s="18"/>
      <c r="B783" s="18"/>
      <c r="C783" s="19"/>
      <c r="D783" s="20"/>
      <c r="E783" s="20"/>
      <c r="F783" s="20"/>
      <c r="G783" s="20" t="str">
        <f aca="false">IF(COUNTBLANK(D783:F783)=3,"",IF(OR(D783="Fail",E783="Fail",F783="Fail"),"Fail",IF(AND(D783="Pass",E783="Pass",F783="Pass"),"Pass","Incomplete")))</f>
        <v/>
      </c>
      <c r="H783" s="18"/>
      <c r="I783" s="18"/>
    </row>
    <row r="784" customFormat="false" ht="15.75" hidden="false" customHeight="true" outlineLevel="0" collapsed="false">
      <c r="A784" s="18"/>
      <c r="B784" s="18"/>
      <c r="C784" s="19"/>
      <c r="D784" s="20"/>
      <c r="E784" s="20"/>
      <c r="F784" s="20"/>
      <c r="G784" s="20" t="str">
        <f aca="false">IF(COUNTBLANK(D784:F784)=3,"",IF(OR(D784="Fail",E784="Fail",F784="Fail"),"Fail",IF(AND(D784="Pass",E784="Pass",F784="Pass"),"Pass","Incomplete")))</f>
        <v/>
      </c>
      <c r="H784" s="18"/>
      <c r="I784" s="18"/>
    </row>
    <row r="785" customFormat="false" ht="15.75" hidden="false" customHeight="true" outlineLevel="0" collapsed="false">
      <c r="A785" s="18"/>
      <c r="B785" s="18"/>
      <c r="C785" s="19"/>
      <c r="D785" s="20"/>
      <c r="E785" s="20"/>
      <c r="F785" s="20"/>
      <c r="G785" s="20" t="str">
        <f aca="false">IF(COUNTBLANK(D785:F785)=3,"",IF(OR(D785="Fail",E785="Fail",F785="Fail"),"Fail",IF(AND(D785="Pass",E785="Pass",F785="Pass"),"Pass","Incomplete")))</f>
        <v/>
      </c>
      <c r="H785" s="18"/>
      <c r="I785" s="18"/>
    </row>
    <row r="786" customFormat="false" ht="15.75" hidden="false" customHeight="true" outlineLevel="0" collapsed="false">
      <c r="A786" s="18"/>
      <c r="B786" s="18"/>
      <c r="C786" s="19"/>
      <c r="D786" s="20"/>
      <c r="E786" s="20"/>
      <c r="F786" s="20"/>
      <c r="G786" s="20" t="str">
        <f aca="false">IF(COUNTBLANK(D786:F786)=3,"",IF(OR(D786="Fail",E786="Fail",F786="Fail"),"Fail",IF(AND(D786="Pass",E786="Pass",F786="Pass"),"Pass","Incomplete")))</f>
        <v/>
      </c>
      <c r="H786" s="18"/>
      <c r="I786" s="18"/>
    </row>
    <row r="787" customFormat="false" ht="15.75" hidden="false" customHeight="true" outlineLevel="0" collapsed="false">
      <c r="A787" s="18"/>
      <c r="B787" s="18"/>
      <c r="C787" s="19"/>
      <c r="D787" s="20"/>
      <c r="E787" s="20"/>
      <c r="F787" s="20"/>
      <c r="G787" s="20" t="str">
        <f aca="false">IF(COUNTBLANK(D787:F787)=3,"",IF(OR(D787="Fail",E787="Fail",F787="Fail"),"Fail",IF(AND(D787="Pass",E787="Pass",F787="Pass"),"Pass","Incomplete")))</f>
        <v/>
      </c>
      <c r="H787" s="18"/>
      <c r="I787" s="18"/>
    </row>
    <row r="788" customFormat="false" ht="15.75" hidden="false" customHeight="true" outlineLevel="0" collapsed="false">
      <c r="A788" s="18"/>
      <c r="B788" s="18"/>
      <c r="C788" s="19"/>
      <c r="D788" s="20"/>
      <c r="E788" s="20"/>
      <c r="F788" s="20"/>
      <c r="G788" s="20" t="str">
        <f aca="false">IF(COUNTBLANK(D788:F788)=3,"",IF(OR(D788="Fail",E788="Fail",F788="Fail"),"Fail",IF(AND(D788="Pass",E788="Pass",F788="Pass"),"Pass","Incomplete")))</f>
        <v/>
      </c>
      <c r="H788" s="18"/>
      <c r="I788" s="18"/>
    </row>
    <row r="789" customFormat="false" ht="15.75" hidden="false" customHeight="true" outlineLevel="0" collapsed="false">
      <c r="A789" s="18"/>
      <c r="B789" s="18"/>
      <c r="C789" s="19"/>
      <c r="D789" s="20"/>
      <c r="E789" s="20"/>
      <c r="F789" s="20"/>
      <c r="G789" s="20" t="str">
        <f aca="false">IF(COUNTBLANK(D789:F789)=3,"",IF(OR(D789="Fail",E789="Fail",F789="Fail"),"Fail",IF(AND(D789="Pass",E789="Pass",F789="Pass"),"Pass","Incomplete")))</f>
        <v/>
      </c>
      <c r="H789" s="18"/>
      <c r="I789" s="18"/>
    </row>
    <row r="790" customFormat="false" ht="15.75" hidden="false" customHeight="true" outlineLevel="0" collapsed="false">
      <c r="A790" s="18"/>
      <c r="B790" s="18"/>
      <c r="C790" s="19"/>
      <c r="D790" s="20"/>
      <c r="E790" s="20"/>
      <c r="F790" s="20"/>
      <c r="G790" s="20" t="str">
        <f aca="false">IF(COUNTBLANK(D790:F790)=3,"",IF(OR(D790="Fail",E790="Fail",F790="Fail"),"Fail",IF(AND(D790="Pass",E790="Pass",F790="Pass"),"Pass","Incomplete")))</f>
        <v/>
      </c>
      <c r="H790" s="18"/>
      <c r="I790" s="18"/>
    </row>
    <row r="791" customFormat="false" ht="15.75" hidden="false" customHeight="true" outlineLevel="0" collapsed="false">
      <c r="A791" s="18"/>
      <c r="B791" s="18"/>
      <c r="C791" s="19"/>
      <c r="D791" s="20"/>
      <c r="E791" s="20"/>
      <c r="F791" s="20"/>
      <c r="G791" s="20" t="str">
        <f aca="false">IF(COUNTBLANK(D791:F791)=3,"",IF(OR(D791="Fail",E791="Fail",F791="Fail"),"Fail",IF(AND(D791="Pass",E791="Pass",F791="Pass"),"Pass","Incomplete")))</f>
        <v/>
      </c>
      <c r="H791" s="18"/>
      <c r="I791" s="18"/>
    </row>
    <row r="792" customFormat="false" ht="15.75" hidden="false" customHeight="true" outlineLevel="0" collapsed="false">
      <c r="A792" s="18"/>
      <c r="B792" s="18"/>
      <c r="C792" s="19"/>
      <c r="D792" s="20"/>
      <c r="E792" s="20"/>
      <c r="F792" s="20"/>
      <c r="G792" s="20" t="str">
        <f aca="false">IF(COUNTBLANK(D792:F792)=3,"",IF(OR(D792="Fail",E792="Fail",F792="Fail"),"Fail",IF(AND(D792="Pass",E792="Pass",F792="Pass"),"Pass","Incomplete")))</f>
        <v/>
      </c>
      <c r="H792" s="18"/>
      <c r="I792" s="18"/>
    </row>
    <row r="793" customFormat="false" ht="15.75" hidden="false" customHeight="true" outlineLevel="0" collapsed="false">
      <c r="A793" s="18"/>
      <c r="B793" s="18"/>
      <c r="C793" s="19"/>
      <c r="D793" s="20"/>
      <c r="E793" s="20"/>
      <c r="F793" s="20"/>
      <c r="G793" s="20" t="str">
        <f aca="false">IF(COUNTBLANK(D793:F793)=3,"",IF(OR(D793="Fail",E793="Fail",F793="Fail"),"Fail",IF(AND(D793="Pass",E793="Pass",F793="Pass"),"Pass","Incomplete")))</f>
        <v/>
      </c>
      <c r="H793" s="18"/>
      <c r="I793" s="18"/>
    </row>
    <row r="794" customFormat="false" ht="15.75" hidden="false" customHeight="true" outlineLevel="0" collapsed="false">
      <c r="A794" s="18"/>
      <c r="B794" s="18"/>
      <c r="C794" s="19"/>
      <c r="D794" s="20"/>
      <c r="E794" s="20"/>
      <c r="F794" s="20"/>
      <c r="G794" s="20" t="str">
        <f aca="false">IF(COUNTBLANK(D794:F794)=3,"",IF(OR(D794="Fail",E794="Fail",F794="Fail"),"Fail",IF(AND(D794="Pass",E794="Pass",F794="Pass"),"Pass","Incomplete")))</f>
        <v/>
      </c>
      <c r="H794" s="18"/>
      <c r="I794" s="18"/>
    </row>
    <row r="795" customFormat="false" ht="15.75" hidden="false" customHeight="true" outlineLevel="0" collapsed="false">
      <c r="A795" s="18"/>
      <c r="B795" s="18"/>
      <c r="C795" s="19"/>
      <c r="D795" s="20"/>
      <c r="E795" s="20"/>
      <c r="F795" s="20"/>
      <c r="G795" s="20" t="str">
        <f aca="false">IF(COUNTBLANK(D795:F795)=3,"",IF(OR(D795="Fail",E795="Fail",F795="Fail"),"Fail",IF(AND(D795="Pass",E795="Pass",F795="Pass"),"Pass","Incomplete")))</f>
        <v/>
      </c>
      <c r="H795" s="18"/>
      <c r="I795" s="18"/>
    </row>
    <row r="796" customFormat="false" ht="15.75" hidden="false" customHeight="true" outlineLevel="0" collapsed="false">
      <c r="A796" s="18"/>
      <c r="B796" s="18"/>
      <c r="C796" s="19"/>
      <c r="D796" s="20"/>
      <c r="E796" s="20"/>
      <c r="F796" s="20"/>
      <c r="G796" s="20" t="str">
        <f aca="false">IF(COUNTBLANK(D796:F796)=3,"",IF(OR(D796="Fail",E796="Fail",F796="Fail"),"Fail",IF(AND(D796="Pass",E796="Pass",F796="Pass"),"Pass","Incomplete")))</f>
        <v/>
      </c>
      <c r="H796" s="18"/>
      <c r="I796" s="18"/>
    </row>
    <row r="797" customFormat="false" ht="15.75" hidden="false" customHeight="true" outlineLevel="0" collapsed="false">
      <c r="A797" s="18"/>
      <c r="B797" s="18"/>
      <c r="C797" s="19"/>
      <c r="D797" s="20"/>
      <c r="E797" s="20"/>
      <c r="F797" s="20"/>
      <c r="G797" s="20" t="str">
        <f aca="false">IF(COUNTBLANK(D797:F797)=3,"",IF(OR(D797="Fail",E797="Fail",F797="Fail"),"Fail",IF(AND(D797="Pass",E797="Pass",F797="Pass"),"Pass","Incomplete")))</f>
        <v/>
      </c>
      <c r="H797" s="18"/>
      <c r="I797" s="18"/>
    </row>
    <row r="798" customFormat="false" ht="15.75" hidden="false" customHeight="true" outlineLevel="0" collapsed="false">
      <c r="A798" s="18"/>
      <c r="B798" s="18"/>
      <c r="C798" s="19"/>
      <c r="D798" s="20"/>
      <c r="E798" s="20"/>
      <c r="F798" s="20"/>
      <c r="G798" s="20" t="str">
        <f aca="false">IF(COUNTBLANK(D798:F798)=3,"",IF(OR(D798="Fail",E798="Fail",F798="Fail"),"Fail",IF(AND(D798="Pass",E798="Pass",F798="Pass"),"Pass","Incomplete")))</f>
        <v/>
      </c>
      <c r="H798" s="18"/>
      <c r="I798" s="18"/>
    </row>
    <row r="799" customFormat="false" ht="15.75" hidden="false" customHeight="true" outlineLevel="0" collapsed="false">
      <c r="A799" s="18"/>
      <c r="B799" s="18"/>
      <c r="C799" s="19"/>
      <c r="D799" s="20"/>
      <c r="E799" s="20"/>
      <c r="F799" s="20"/>
      <c r="G799" s="20" t="str">
        <f aca="false">IF(COUNTBLANK(D799:F799)=3,"",IF(OR(D799="Fail",E799="Fail",F799="Fail"),"Fail",IF(AND(D799="Pass",E799="Pass",F799="Pass"),"Pass","Incomplete")))</f>
        <v/>
      </c>
      <c r="H799" s="18"/>
      <c r="I799" s="18"/>
    </row>
    <row r="800" customFormat="false" ht="15.75" hidden="false" customHeight="true" outlineLevel="0" collapsed="false">
      <c r="A800" s="18"/>
      <c r="B800" s="18"/>
      <c r="C800" s="19"/>
      <c r="D800" s="20"/>
      <c r="E800" s="20"/>
      <c r="F800" s="20"/>
      <c r="G800" s="20" t="str">
        <f aca="false">IF(COUNTBLANK(D800:F800)=3,"",IF(OR(D800="Fail",E800="Fail",F800="Fail"),"Fail",IF(AND(D800="Pass",E800="Pass",F800="Pass"),"Pass","Incomplete")))</f>
        <v/>
      </c>
      <c r="H800" s="18"/>
      <c r="I800" s="18"/>
    </row>
    <row r="801" customFormat="false" ht="15.75" hidden="false" customHeight="true" outlineLevel="0" collapsed="false">
      <c r="A801" s="18"/>
      <c r="B801" s="18"/>
      <c r="C801" s="19"/>
      <c r="D801" s="20"/>
      <c r="E801" s="20"/>
      <c r="F801" s="20"/>
      <c r="G801" s="20" t="str">
        <f aca="false">IF(COUNTBLANK(D801:F801)=3,"",IF(OR(D801="Fail",E801="Fail",F801="Fail"),"Fail",IF(AND(D801="Pass",E801="Pass",F801="Pass"),"Pass","Incomplete")))</f>
        <v/>
      </c>
      <c r="H801" s="18"/>
      <c r="I801" s="18"/>
    </row>
    <row r="802" customFormat="false" ht="15.75" hidden="false" customHeight="true" outlineLevel="0" collapsed="false">
      <c r="A802" s="18"/>
      <c r="B802" s="18"/>
      <c r="C802" s="19"/>
      <c r="D802" s="20"/>
      <c r="E802" s="20"/>
      <c r="F802" s="20"/>
      <c r="G802" s="20" t="str">
        <f aca="false">IF(COUNTBLANK(D802:F802)=3,"",IF(OR(D802="Fail",E802="Fail",F802="Fail"),"Fail",IF(AND(D802="Pass",E802="Pass",F802="Pass"),"Pass","Incomplete")))</f>
        <v/>
      </c>
      <c r="H802" s="18"/>
      <c r="I802" s="18"/>
    </row>
    <row r="803" customFormat="false" ht="15.75" hidden="false" customHeight="true" outlineLevel="0" collapsed="false">
      <c r="A803" s="18"/>
      <c r="B803" s="18"/>
      <c r="C803" s="19"/>
      <c r="D803" s="20"/>
      <c r="E803" s="20"/>
      <c r="F803" s="20"/>
      <c r="G803" s="20" t="str">
        <f aca="false">IF(COUNTBLANK(D803:F803)=3,"",IF(OR(D803="Fail",E803="Fail",F803="Fail"),"Fail",IF(AND(D803="Pass",E803="Pass",F803="Pass"),"Pass","Incomplete")))</f>
        <v/>
      </c>
      <c r="H803" s="18"/>
      <c r="I803" s="18"/>
    </row>
    <row r="804" customFormat="false" ht="15.75" hidden="false" customHeight="true" outlineLevel="0" collapsed="false">
      <c r="A804" s="18"/>
      <c r="B804" s="18"/>
      <c r="C804" s="19"/>
      <c r="D804" s="20"/>
      <c r="E804" s="20"/>
      <c r="F804" s="20"/>
      <c r="G804" s="20" t="str">
        <f aca="false">IF(COUNTBLANK(D804:F804)=3,"",IF(OR(D804="Fail",E804="Fail",F804="Fail"),"Fail",IF(AND(D804="Pass",E804="Pass",F804="Pass"),"Pass","Incomplete")))</f>
        <v/>
      </c>
      <c r="H804" s="18"/>
      <c r="I804" s="18"/>
    </row>
    <row r="805" customFormat="false" ht="15.75" hidden="false" customHeight="true" outlineLevel="0" collapsed="false">
      <c r="A805" s="18"/>
      <c r="B805" s="18"/>
      <c r="C805" s="19"/>
      <c r="D805" s="20"/>
      <c r="E805" s="20"/>
      <c r="F805" s="20"/>
      <c r="G805" s="20" t="str">
        <f aca="false">IF(COUNTBLANK(D805:F805)=3,"",IF(OR(D805="Fail",E805="Fail",F805="Fail"),"Fail",IF(AND(D805="Pass",E805="Pass",F805="Pass"),"Pass","Incomplete")))</f>
        <v/>
      </c>
      <c r="H805" s="18"/>
      <c r="I805" s="18"/>
    </row>
    <row r="806" customFormat="false" ht="15.75" hidden="false" customHeight="true" outlineLevel="0" collapsed="false">
      <c r="A806" s="18"/>
      <c r="B806" s="18"/>
      <c r="C806" s="19"/>
      <c r="D806" s="20"/>
      <c r="E806" s="20"/>
      <c r="F806" s="20"/>
      <c r="G806" s="20" t="str">
        <f aca="false">IF(COUNTBLANK(D806:F806)=3,"",IF(OR(D806="Fail",E806="Fail",F806="Fail"),"Fail",IF(AND(D806="Pass",E806="Pass",F806="Pass"),"Pass","Incomplete")))</f>
        <v/>
      </c>
      <c r="H806" s="18"/>
      <c r="I806" s="18"/>
    </row>
    <row r="807" customFormat="false" ht="15.75" hidden="false" customHeight="true" outlineLevel="0" collapsed="false">
      <c r="A807" s="18"/>
      <c r="B807" s="18"/>
      <c r="C807" s="19"/>
      <c r="D807" s="20"/>
      <c r="E807" s="20"/>
      <c r="F807" s="20"/>
      <c r="G807" s="20" t="str">
        <f aca="false">IF(COUNTBLANK(D807:F807)=3,"",IF(OR(D807="Fail",E807="Fail",F807="Fail"),"Fail",IF(AND(D807="Pass",E807="Pass",F807="Pass"),"Pass","Incomplete")))</f>
        <v/>
      </c>
      <c r="H807" s="18"/>
      <c r="I807" s="18"/>
    </row>
    <row r="808" customFormat="false" ht="15.75" hidden="false" customHeight="true" outlineLevel="0" collapsed="false">
      <c r="A808" s="18"/>
      <c r="B808" s="18"/>
      <c r="C808" s="19"/>
      <c r="D808" s="20"/>
      <c r="E808" s="20"/>
      <c r="F808" s="20"/>
      <c r="G808" s="20" t="str">
        <f aca="false">IF(COUNTBLANK(D808:F808)=3,"",IF(OR(D808="Fail",E808="Fail",F808="Fail"),"Fail",IF(AND(D808="Pass",E808="Pass",F808="Pass"),"Pass","Incomplete")))</f>
        <v/>
      </c>
      <c r="H808" s="18"/>
      <c r="I808" s="18"/>
    </row>
    <row r="809" customFormat="false" ht="15.75" hidden="false" customHeight="true" outlineLevel="0" collapsed="false">
      <c r="A809" s="18"/>
      <c r="B809" s="18"/>
      <c r="C809" s="19"/>
      <c r="D809" s="20"/>
      <c r="E809" s="20"/>
      <c r="F809" s="20"/>
      <c r="G809" s="20" t="str">
        <f aca="false">IF(COUNTBLANK(D809:F809)=3,"",IF(OR(D809="Fail",E809="Fail",F809="Fail"),"Fail",IF(AND(D809="Pass",E809="Pass",F809="Pass"),"Pass","Incomplete")))</f>
        <v/>
      </c>
      <c r="H809" s="18"/>
      <c r="I809" s="18"/>
    </row>
    <row r="810" customFormat="false" ht="15.75" hidden="false" customHeight="true" outlineLevel="0" collapsed="false">
      <c r="A810" s="18"/>
      <c r="B810" s="18"/>
      <c r="C810" s="19"/>
      <c r="D810" s="20"/>
      <c r="E810" s="20"/>
      <c r="F810" s="20"/>
      <c r="G810" s="20" t="str">
        <f aca="false">IF(COUNTBLANK(D810:F810)=3,"",IF(OR(D810="Fail",E810="Fail",F810="Fail"),"Fail",IF(AND(D810="Pass",E810="Pass",F810="Pass"),"Pass","Incomplete")))</f>
        <v/>
      </c>
      <c r="H810" s="18"/>
      <c r="I810" s="18"/>
    </row>
    <row r="811" customFormat="false" ht="15.75" hidden="false" customHeight="true" outlineLevel="0" collapsed="false">
      <c r="A811" s="18"/>
      <c r="B811" s="18"/>
      <c r="C811" s="19"/>
      <c r="D811" s="20"/>
      <c r="E811" s="20"/>
      <c r="F811" s="20"/>
      <c r="G811" s="20" t="str">
        <f aca="false">IF(COUNTBLANK(D811:F811)=3,"",IF(OR(D811="Fail",E811="Fail",F811="Fail"),"Fail",IF(AND(D811="Pass",E811="Pass",F811="Pass"),"Pass","Incomplete")))</f>
        <v/>
      </c>
      <c r="H811" s="18"/>
      <c r="I811" s="18"/>
    </row>
    <row r="812" customFormat="false" ht="15.75" hidden="false" customHeight="true" outlineLevel="0" collapsed="false">
      <c r="A812" s="18"/>
      <c r="B812" s="18"/>
      <c r="C812" s="19"/>
      <c r="D812" s="20"/>
      <c r="E812" s="20"/>
      <c r="F812" s="20"/>
      <c r="G812" s="20" t="str">
        <f aca="false">IF(COUNTBLANK(D812:F812)=3,"",IF(OR(D812="Fail",E812="Fail",F812="Fail"),"Fail",IF(AND(D812="Pass",E812="Pass",F812="Pass"),"Pass","Incomplete")))</f>
        <v/>
      </c>
      <c r="H812" s="18"/>
      <c r="I812" s="18"/>
    </row>
    <row r="813" customFormat="false" ht="15.75" hidden="false" customHeight="true" outlineLevel="0" collapsed="false">
      <c r="A813" s="18"/>
      <c r="B813" s="18"/>
      <c r="C813" s="19"/>
      <c r="D813" s="20"/>
      <c r="E813" s="20"/>
      <c r="F813" s="20"/>
      <c r="G813" s="20" t="str">
        <f aca="false">IF(COUNTBLANK(D813:F813)=3,"",IF(OR(D813="Fail",E813="Fail",F813="Fail"),"Fail",IF(AND(D813="Pass",E813="Pass",F813="Pass"),"Pass","Incomplete")))</f>
        <v/>
      </c>
      <c r="H813" s="18"/>
      <c r="I813" s="18"/>
    </row>
    <row r="814" customFormat="false" ht="15.75" hidden="false" customHeight="true" outlineLevel="0" collapsed="false">
      <c r="A814" s="18"/>
      <c r="B814" s="18"/>
      <c r="C814" s="19"/>
      <c r="D814" s="20"/>
      <c r="E814" s="20"/>
      <c r="F814" s="20"/>
      <c r="G814" s="20" t="str">
        <f aca="false">IF(COUNTBLANK(D814:F814)=3,"",IF(OR(D814="Fail",E814="Fail",F814="Fail"),"Fail",IF(AND(D814="Pass",E814="Pass",F814="Pass"),"Pass","Incomplete")))</f>
        <v/>
      </c>
      <c r="H814" s="18"/>
      <c r="I814" s="18"/>
    </row>
    <row r="815" customFormat="false" ht="15.75" hidden="false" customHeight="true" outlineLevel="0" collapsed="false">
      <c r="A815" s="18"/>
      <c r="B815" s="18"/>
      <c r="C815" s="19"/>
      <c r="D815" s="20"/>
      <c r="E815" s="20"/>
      <c r="F815" s="20"/>
      <c r="G815" s="20" t="str">
        <f aca="false">IF(COUNTBLANK(D815:F815)=3,"",IF(OR(D815="Fail",E815="Fail",F815="Fail"),"Fail",IF(AND(D815="Pass",E815="Pass",F815="Pass"),"Pass","Incomplete")))</f>
        <v/>
      </c>
      <c r="H815" s="18"/>
      <c r="I815" s="18"/>
    </row>
    <row r="816" customFormat="false" ht="15.75" hidden="false" customHeight="true" outlineLevel="0" collapsed="false">
      <c r="A816" s="18"/>
      <c r="B816" s="18"/>
      <c r="C816" s="19"/>
      <c r="D816" s="20"/>
      <c r="E816" s="20"/>
      <c r="F816" s="20"/>
      <c r="G816" s="20" t="str">
        <f aca="false">IF(COUNTBLANK(D816:F816)=3,"",IF(OR(D816="Fail",E816="Fail",F816="Fail"),"Fail",IF(AND(D816="Pass",E816="Pass",F816="Pass"),"Pass","Incomplete")))</f>
        <v/>
      </c>
      <c r="H816" s="18"/>
      <c r="I816" s="18"/>
    </row>
    <row r="817" customFormat="false" ht="15.75" hidden="false" customHeight="true" outlineLevel="0" collapsed="false">
      <c r="A817" s="18"/>
      <c r="B817" s="18"/>
      <c r="C817" s="19"/>
      <c r="D817" s="20"/>
      <c r="E817" s="20"/>
      <c r="F817" s="20"/>
      <c r="G817" s="20" t="str">
        <f aca="false">IF(COUNTBLANK(D817:F817)=3,"",IF(OR(D817="Fail",E817="Fail",F817="Fail"),"Fail",IF(AND(D817="Pass",E817="Pass",F817="Pass"),"Pass","Incomplete")))</f>
        <v/>
      </c>
      <c r="H817" s="18"/>
      <c r="I817" s="18"/>
    </row>
    <row r="818" customFormat="false" ht="15.75" hidden="false" customHeight="true" outlineLevel="0" collapsed="false">
      <c r="A818" s="18"/>
      <c r="B818" s="18"/>
      <c r="C818" s="19"/>
      <c r="D818" s="20"/>
      <c r="E818" s="20"/>
      <c r="F818" s="20"/>
      <c r="G818" s="20" t="str">
        <f aca="false">IF(COUNTBLANK(D818:F818)=3,"",IF(OR(D818="Fail",E818="Fail",F818="Fail"),"Fail",IF(AND(D818="Pass",E818="Pass",F818="Pass"),"Pass","Incomplete")))</f>
        <v/>
      </c>
      <c r="H818" s="18"/>
      <c r="I818" s="18"/>
    </row>
    <row r="819" customFormat="false" ht="15.75" hidden="false" customHeight="true" outlineLevel="0" collapsed="false">
      <c r="A819" s="18"/>
      <c r="B819" s="18"/>
      <c r="C819" s="19"/>
      <c r="D819" s="20"/>
      <c r="E819" s="20"/>
      <c r="F819" s="20"/>
      <c r="G819" s="20" t="str">
        <f aca="false">IF(COUNTBLANK(D819:F819)=3,"",IF(OR(D819="Fail",E819="Fail",F819="Fail"),"Fail",IF(AND(D819="Pass",E819="Pass",F819="Pass"),"Pass","Incomplete")))</f>
        <v/>
      </c>
      <c r="H819" s="18"/>
      <c r="I819" s="18"/>
    </row>
    <row r="820" customFormat="false" ht="15.75" hidden="false" customHeight="true" outlineLevel="0" collapsed="false">
      <c r="A820" s="18"/>
      <c r="B820" s="18"/>
      <c r="C820" s="19"/>
      <c r="D820" s="20"/>
      <c r="E820" s="20"/>
      <c r="F820" s="20"/>
      <c r="G820" s="20" t="str">
        <f aca="false">IF(COUNTBLANK(D820:F820)=3,"",IF(OR(D820="Fail",E820="Fail",F820="Fail"),"Fail",IF(AND(D820="Pass",E820="Pass",F820="Pass"),"Pass","Incomplete")))</f>
        <v/>
      </c>
      <c r="H820" s="18"/>
      <c r="I820" s="18"/>
    </row>
    <row r="821" customFormat="false" ht="15.75" hidden="false" customHeight="true" outlineLevel="0" collapsed="false">
      <c r="A821" s="18"/>
      <c r="B821" s="18"/>
      <c r="C821" s="19"/>
      <c r="D821" s="20"/>
      <c r="E821" s="20"/>
      <c r="F821" s="20"/>
      <c r="G821" s="20" t="str">
        <f aca="false">IF(COUNTBLANK(D821:F821)=3,"",IF(OR(D821="Fail",E821="Fail",F821="Fail"),"Fail",IF(AND(D821="Pass",E821="Pass",F821="Pass"),"Pass","Incomplete")))</f>
        <v/>
      </c>
      <c r="H821" s="18"/>
      <c r="I821" s="18"/>
    </row>
    <row r="822" customFormat="false" ht="15.75" hidden="false" customHeight="true" outlineLevel="0" collapsed="false">
      <c r="A822" s="18"/>
      <c r="B822" s="18"/>
      <c r="C822" s="19"/>
      <c r="D822" s="20"/>
      <c r="E822" s="20"/>
      <c r="F822" s="20"/>
      <c r="G822" s="20" t="str">
        <f aca="false">IF(COUNTBLANK(D822:F822)=3,"",IF(OR(D822="Fail",E822="Fail",F822="Fail"),"Fail",IF(AND(D822="Pass",E822="Pass",F822="Pass"),"Pass","Incomplete")))</f>
        <v/>
      </c>
      <c r="H822" s="18"/>
      <c r="I822" s="18"/>
    </row>
    <row r="823" customFormat="false" ht="15.75" hidden="false" customHeight="true" outlineLevel="0" collapsed="false">
      <c r="A823" s="18"/>
      <c r="B823" s="18"/>
      <c r="C823" s="19"/>
      <c r="D823" s="20"/>
      <c r="E823" s="20"/>
      <c r="F823" s="20"/>
      <c r="G823" s="20" t="str">
        <f aca="false">IF(COUNTBLANK(D823:F823)=3,"",IF(OR(D823="Fail",E823="Fail",F823="Fail"),"Fail",IF(AND(D823="Pass",E823="Pass",F823="Pass"),"Pass","Incomplete")))</f>
        <v/>
      </c>
      <c r="H823" s="18"/>
      <c r="I823" s="18"/>
    </row>
    <row r="824" customFormat="false" ht="15.75" hidden="false" customHeight="true" outlineLevel="0" collapsed="false">
      <c r="A824" s="18"/>
      <c r="B824" s="18"/>
      <c r="C824" s="19"/>
      <c r="D824" s="20"/>
      <c r="E824" s="20"/>
      <c r="F824" s="20"/>
      <c r="G824" s="20" t="str">
        <f aca="false">IF(COUNTBLANK(D824:F824)=3,"",IF(OR(D824="Fail",E824="Fail",F824="Fail"),"Fail",IF(AND(D824="Pass",E824="Pass",F824="Pass"),"Pass","Incomplete")))</f>
        <v/>
      </c>
      <c r="H824" s="18"/>
      <c r="I824" s="18"/>
    </row>
    <row r="825" customFormat="false" ht="15.75" hidden="false" customHeight="true" outlineLevel="0" collapsed="false">
      <c r="A825" s="18"/>
      <c r="B825" s="18"/>
      <c r="C825" s="19"/>
      <c r="D825" s="20"/>
      <c r="E825" s="20"/>
      <c r="F825" s="20"/>
      <c r="G825" s="20" t="str">
        <f aca="false">IF(COUNTBLANK(D825:F825)=3,"",IF(OR(D825="Fail",E825="Fail",F825="Fail"),"Fail",IF(AND(D825="Pass",E825="Pass",F825="Pass"),"Pass","Incomplete")))</f>
        <v/>
      </c>
      <c r="H825" s="18"/>
      <c r="I825" s="18"/>
    </row>
    <row r="826" customFormat="false" ht="15.75" hidden="false" customHeight="true" outlineLevel="0" collapsed="false">
      <c r="A826" s="18"/>
      <c r="B826" s="18"/>
      <c r="C826" s="19"/>
      <c r="D826" s="20"/>
      <c r="E826" s="20"/>
      <c r="F826" s="20"/>
      <c r="G826" s="20" t="str">
        <f aca="false">IF(COUNTBLANK(D826:F826)=3,"",IF(OR(D826="Fail",E826="Fail",F826="Fail"),"Fail",IF(AND(D826="Pass",E826="Pass",F826="Pass"),"Pass","Incomplete")))</f>
        <v/>
      </c>
      <c r="H826" s="18"/>
      <c r="I826" s="18"/>
    </row>
    <row r="827" customFormat="false" ht="15.75" hidden="false" customHeight="true" outlineLevel="0" collapsed="false">
      <c r="A827" s="18"/>
      <c r="B827" s="18"/>
      <c r="C827" s="19"/>
      <c r="D827" s="20"/>
      <c r="E827" s="20"/>
      <c r="F827" s="20"/>
      <c r="G827" s="20" t="str">
        <f aca="false">IF(COUNTBLANK(D827:F827)=3,"",IF(OR(D827="Fail",E827="Fail",F827="Fail"),"Fail",IF(AND(D827="Pass",E827="Pass",F827="Pass"),"Pass","Incomplete")))</f>
        <v/>
      </c>
      <c r="H827" s="18"/>
      <c r="I827" s="18"/>
    </row>
    <row r="828" customFormat="false" ht="15.75" hidden="false" customHeight="true" outlineLevel="0" collapsed="false">
      <c r="A828" s="18"/>
      <c r="B828" s="18"/>
      <c r="C828" s="19"/>
      <c r="D828" s="20"/>
      <c r="E828" s="20"/>
      <c r="F828" s="20"/>
      <c r="G828" s="20" t="str">
        <f aca="false">IF(COUNTBLANK(D828:F828)=3,"",IF(OR(D828="Fail",E828="Fail",F828="Fail"),"Fail",IF(AND(D828="Pass",E828="Pass",F828="Pass"),"Pass","Incomplete")))</f>
        <v/>
      </c>
      <c r="H828" s="18"/>
      <c r="I828" s="18"/>
    </row>
    <row r="829" customFormat="false" ht="15.75" hidden="false" customHeight="true" outlineLevel="0" collapsed="false">
      <c r="A829" s="18"/>
      <c r="B829" s="18"/>
      <c r="C829" s="19"/>
      <c r="D829" s="20"/>
      <c r="E829" s="20"/>
      <c r="F829" s="20"/>
      <c r="G829" s="20" t="str">
        <f aca="false">IF(COUNTBLANK(D829:F829)=3,"",IF(OR(D829="Fail",E829="Fail",F829="Fail"),"Fail",IF(AND(D829="Pass",E829="Pass",F829="Pass"),"Pass","Incomplete")))</f>
        <v/>
      </c>
      <c r="H829" s="18"/>
      <c r="I829" s="18"/>
    </row>
    <row r="830" customFormat="false" ht="15.75" hidden="false" customHeight="true" outlineLevel="0" collapsed="false">
      <c r="A830" s="18"/>
      <c r="B830" s="18"/>
      <c r="C830" s="19"/>
      <c r="D830" s="20"/>
      <c r="E830" s="20"/>
      <c r="F830" s="20"/>
      <c r="G830" s="20" t="str">
        <f aca="false">IF(COUNTBLANK(D830:F830)=3,"",IF(OR(D830="Fail",E830="Fail",F830="Fail"),"Fail",IF(AND(D830="Pass",E830="Pass",F830="Pass"),"Pass","Incomplete")))</f>
        <v/>
      </c>
      <c r="H830" s="18"/>
      <c r="I830" s="18"/>
    </row>
    <row r="831" customFormat="false" ht="15.75" hidden="false" customHeight="true" outlineLevel="0" collapsed="false">
      <c r="A831" s="18"/>
      <c r="B831" s="18"/>
      <c r="C831" s="19"/>
      <c r="D831" s="20"/>
      <c r="E831" s="20"/>
      <c r="F831" s="20"/>
      <c r="G831" s="20" t="str">
        <f aca="false">IF(COUNTBLANK(D831:F831)=3,"",IF(OR(D831="Fail",E831="Fail",F831="Fail"),"Fail",IF(AND(D831="Pass",E831="Pass",F831="Pass"),"Pass","Incomplete")))</f>
        <v/>
      </c>
      <c r="H831" s="18"/>
      <c r="I831" s="18"/>
    </row>
    <row r="832" customFormat="false" ht="15.75" hidden="false" customHeight="true" outlineLevel="0" collapsed="false">
      <c r="A832" s="18"/>
      <c r="B832" s="18"/>
      <c r="C832" s="19"/>
      <c r="D832" s="20"/>
      <c r="E832" s="20"/>
      <c r="F832" s="20"/>
      <c r="G832" s="20" t="str">
        <f aca="false">IF(COUNTBLANK(D832:F832)=3,"",IF(OR(D832="Fail",E832="Fail",F832="Fail"),"Fail",IF(AND(D832="Pass",E832="Pass",F832="Pass"),"Pass","Incomplete")))</f>
        <v/>
      </c>
      <c r="H832" s="18"/>
      <c r="I832" s="18"/>
    </row>
    <row r="833" customFormat="false" ht="15.75" hidden="false" customHeight="true" outlineLevel="0" collapsed="false">
      <c r="A833" s="18"/>
      <c r="B833" s="18"/>
      <c r="C833" s="19"/>
      <c r="D833" s="20"/>
      <c r="E833" s="20"/>
      <c r="F833" s="20"/>
      <c r="G833" s="20" t="str">
        <f aca="false">IF(COUNTBLANK(D833:F833)=3,"",IF(OR(D833="Fail",E833="Fail",F833="Fail"),"Fail",IF(AND(D833="Pass",E833="Pass",F833="Pass"),"Pass","Incomplete")))</f>
        <v/>
      </c>
      <c r="H833" s="18"/>
      <c r="I833" s="18"/>
    </row>
    <row r="834" customFormat="false" ht="15.75" hidden="false" customHeight="true" outlineLevel="0" collapsed="false">
      <c r="A834" s="18"/>
      <c r="B834" s="18"/>
      <c r="C834" s="19"/>
      <c r="D834" s="20"/>
      <c r="E834" s="20"/>
      <c r="F834" s="20"/>
      <c r="G834" s="20" t="str">
        <f aca="false">IF(COUNTBLANK(D834:F834)=3,"",IF(OR(D834="Fail",E834="Fail",F834="Fail"),"Fail",IF(AND(D834="Pass",E834="Pass",F834="Pass"),"Pass","Incomplete")))</f>
        <v/>
      </c>
      <c r="H834" s="18"/>
      <c r="I834" s="18"/>
    </row>
    <row r="835" customFormat="false" ht="15.75" hidden="false" customHeight="true" outlineLevel="0" collapsed="false">
      <c r="A835" s="18"/>
      <c r="B835" s="18"/>
      <c r="C835" s="19"/>
      <c r="D835" s="20"/>
      <c r="E835" s="20"/>
      <c r="F835" s="20"/>
      <c r="G835" s="20" t="str">
        <f aca="false">IF(COUNTBLANK(D835:F835)=3,"",IF(OR(D835="Fail",E835="Fail",F835="Fail"),"Fail",IF(AND(D835="Pass",E835="Pass",F835="Pass"),"Pass","Incomplete")))</f>
        <v/>
      </c>
      <c r="H835" s="18"/>
      <c r="I835" s="18"/>
    </row>
    <row r="836" customFormat="false" ht="15.75" hidden="false" customHeight="true" outlineLevel="0" collapsed="false">
      <c r="A836" s="18"/>
      <c r="B836" s="18"/>
      <c r="C836" s="19"/>
      <c r="D836" s="20"/>
      <c r="E836" s="20"/>
      <c r="F836" s="20"/>
      <c r="G836" s="20" t="str">
        <f aca="false">IF(COUNTBLANK(D836:F836)=3,"",IF(OR(D836="Fail",E836="Fail",F836="Fail"),"Fail",IF(AND(D836="Pass",E836="Pass",F836="Pass"),"Pass","Incomplete")))</f>
        <v/>
      </c>
      <c r="H836" s="18"/>
      <c r="I836" s="18"/>
    </row>
    <row r="837" customFormat="false" ht="15.75" hidden="false" customHeight="true" outlineLevel="0" collapsed="false">
      <c r="A837" s="18"/>
      <c r="B837" s="18"/>
      <c r="C837" s="19"/>
      <c r="D837" s="20"/>
      <c r="E837" s="20"/>
      <c r="F837" s="20"/>
      <c r="G837" s="20" t="str">
        <f aca="false">IF(COUNTBLANK(D837:F837)=3,"",IF(OR(D837="Fail",E837="Fail",F837="Fail"),"Fail",IF(AND(D837="Pass",E837="Pass",F837="Pass"),"Pass","Incomplete")))</f>
        <v/>
      </c>
      <c r="H837" s="18"/>
      <c r="I837" s="18"/>
    </row>
    <row r="838" customFormat="false" ht="15.75" hidden="false" customHeight="true" outlineLevel="0" collapsed="false">
      <c r="A838" s="18"/>
      <c r="B838" s="18"/>
      <c r="C838" s="19"/>
      <c r="D838" s="20"/>
      <c r="E838" s="20"/>
      <c r="F838" s="20"/>
      <c r="G838" s="20" t="str">
        <f aca="false">IF(COUNTBLANK(D838:F838)=3,"",IF(OR(D838="Fail",E838="Fail",F838="Fail"),"Fail",IF(AND(D838="Pass",E838="Pass",F838="Pass"),"Pass","Incomplete")))</f>
        <v/>
      </c>
      <c r="H838" s="18"/>
      <c r="I838" s="18"/>
    </row>
    <row r="839" customFormat="false" ht="15.75" hidden="false" customHeight="true" outlineLevel="0" collapsed="false">
      <c r="A839" s="18"/>
      <c r="B839" s="18"/>
      <c r="C839" s="19"/>
      <c r="D839" s="20"/>
      <c r="E839" s="20"/>
      <c r="F839" s="20"/>
      <c r="G839" s="20" t="str">
        <f aca="false">IF(COUNTBLANK(D839:F839)=3,"",IF(OR(D839="Fail",E839="Fail",F839="Fail"),"Fail",IF(AND(D839="Pass",E839="Pass",F839="Pass"),"Pass","Incomplete")))</f>
        <v/>
      </c>
      <c r="H839" s="18"/>
      <c r="I839" s="18"/>
    </row>
    <row r="840" customFormat="false" ht="15.75" hidden="false" customHeight="true" outlineLevel="0" collapsed="false">
      <c r="A840" s="18"/>
      <c r="B840" s="18"/>
      <c r="C840" s="19"/>
      <c r="D840" s="20"/>
      <c r="E840" s="20"/>
      <c r="F840" s="20"/>
      <c r="G840" s="20" t="str">
        <f aca="false">IF(COUNTBLANK(D840:F840)=3,"",IF(OR(D840="Fail",E840="Fail",F840="Fail"),"Fail",IF(AND(D840="Pass",E840="Pass",F840="Pass"),"Pass","Incomplete")))</f>
        <v/>
      </c>
      <c r="H840" s="18"/>
      <c r="I840" s="18"/>
    </row>
    <row r="841" customFormat="false" ht="15.75" hidden="false" customHeight="true" outlineLevel="0" collapsed="false">
      <c r="A841" s="18"/>
      <c r="B841" s="18"/>
      <c r="C841" s="19"/>
      <c r="D841" s="20"/>
      <c r="E841" s="20"/>
      <c r="F841" s="20"/>
      <c r="G841" s="20" t="str">
        <f aca="false">IF(COUNTBLANK(D841:F841)=3,"",IF(OR(D841="Fail",E841="Fail",F841="Fail"),"Fail",IF(AND(D841="Pass",E841="Pass",F841="Pass"),"Pass","Incomplete")))</f>
        <v/>
      </c>
      <c r="H841" s="18"/>
      <c r="I841" s="18"/>
    </row>
    <row r="842" customFormat="false" ht="15.75" hidden="false" customHeight="true" outlineLevel="0" collapsed="false">
      <c r="A842" s="18"/>
      <c r="B842" s="18"/>
      <c r="C842" s="19"/>
      <c r="D842" s="20"/>
      <c r="E842" s="20"/>
      <c r="F842" s="20"/>
      <c r="G842" s="20" t="str">
        <f aca="false">IF(COUNTBLANK(D842:F842)=3,"",IF(OR(D842="Fail",E842="Fail",F842="Fail"),"Fail",IF(AND(D842="Pass",E842="Pass",F842="Pass"),"Pass","Incomplete")))</f>
        <v/>
      </c>
      <c r="H842" s="18"/>
      <c r="I842" s="18"/>
    </row>
    <row r="843" customFormat="false" ht="15.75" hidden="false" customHeight="true" outlineLevel="0" collapsed="false">
      <c r="A843" s="18"/>
      <c r="B843" s="18"/>
      <c r="C843" s="19"/>
      <c r="D843" s="20"/>
      <c r="E843" s="20"/>
      <c r="F843" s="20"/>
      <c r="G843" s="20" t="str">
        <f aca="false">IF(COUNTBLANK(D843:F843)=3,"",IF(OR(D843="Fail",E843="Fail",F843="Fail"),"Fail",IF(AND(D843="Pass",E843="Pass",F843="Pass"),"Pass","Incomplete")))</f>
        <v/>
      </c>
      <c r="H843" s="18"/>
      <c r="I843" s="18"/>
    </row>
    <row r="844" customFormat="false" ht="15.75" hidden="false" customHeight="true" outlineLevel="0" collapsed="false">
      <c r="A844" s="18"/>
      <c r="B844" s="18"/>
      <c r="C844" s="19"/>
      <c r="D844" s="20"/>
      <c r="E844" s="20"/>
      <c r="F844" s="20"/>
      <c r="G844" s="20" t="str">
        <f aca="false">IF(COUNTBLANK(D844:F844)=3,"",IF(OR(D844="Fail",E844="Fail",F844="Fail"),"Fail",IF(AND(D844="Pass",E844="Pass",F844="Pass"),"Pass","Incomplete")))</f>
        <v/>
      </c>
      <c r="H844" s="18"/>
      <c r="I844" s="18"/>
    </row>
    <row r="845" customFormat="false" ht="15.75" hidden="false" customHeight="true" outlineLevel="0" collapsed="false">
      <c r="A845" s="18"/>
      <c r="B845" s="18"/>
      <c r="C845" s="19"/>
      <c r="D845" s="20"/>
      <c r="E845" s="20"/>
      <c r="F845" s="20"/>
      <c r="G845" s="20" t="str">
        <f aca="false">IF(COUNTBLANK(D845:F845)=3,"",IF(OR(D845="Fail",E845="Fail",F845="Fail"),"Fail",IF(AND(D845="Pass",E845="Pass",F845="Pass"),"Pass","Incomplete")))</f>
        <v/>
      </c>
      <c r="H845" s="18"/>
      <c r="I845" s="18"/>
    </row>
    <row r="846" customFormat="false" ht="15.75" hidden="false" customHeight="true" outlineLevel="0" collapsed="false">
      <c r="A846" s="18"/>
      <c r="B846" s="18"/>
      <c r="C846" s="19"/>
      <c r="D846" s="20"/>
      <c r="E846" s="20"/>
      <c r="F846" s="20"/>
      <c r="G846" s="20" t="str">
        <f aca="false">IF(COUNTBLANK(D846:F846)=3,"",IF(OR(D846="Fail",E846="Fail",F846="Fail"),"Fail",IF(AND(D846="Pass",E846="Pass",F846="Pass"),"Pass","Incomplete")))</f>
        <v/>
      </c>
      <c r="H846" s="18"/>
      <c r="I846" s="18"/>
    </row>
    <row r="847" customFormat="false" ht="15.75" hidden="false" customHeight="true" outlineLevel="0" collapsed="false">
      <c r="A847" s="18"/>
      <c r="B847" s="18"/>
      <c r="C847" s="19"/>
      <c r="D847" s="20"/>
      <c r="E847" s="20"/>
      <c r="F847" s="20"/>
      <c r="G847" s="20" t="str">
        <f aca="false">IF(COUNTBLANK(D847:F847)=3,"",IF(OR(D847="Fail",E847="Fail",F847="Fail"),"Fail",IF(AND(D847="Pass",E847="Pass",F847="Pass"),"Pass","Incomplete")))</f>
        <v/>
      </c>
      <c r="H847" s="18"/>
      <c r="I847" s="18"/>
    </row>
    <row r="848" customFormat="false" ht="15.75" hidden="false" customHeight="true" outlineLevel="0" collapsed="false">
      <c r="A848" s="18"/>
      <c r="B848" s="18"/>
      <c r="C848" s="19"/>
      <c r="D848" s="20"/>
      <c r="E848" s="20"/>
      <c r="F848" s="20"/>
      <c r="G848" s="20" t="str">
        <f aca="false">IF(COUNTBLANK(D848:F848)=3,"",IF(OR(D848="Fail",E848="Fail",F848="Fail"),"Fail",IF(AND(D848="Pass",E848="Pass",F848="Pass"),"Pass","Incomplete")))</f>
        <v/>
      </c>
      <c r="H848" s="18"/>
      <c r="I848" s="18"/>
    </row>
    <row r="849" customFormat="false" ht="15.75" hidden="false" customHeight="true" outlineLevel="0" collapsed="false">
      <c r="A849" s="18"/>
      <c r="B849" s="18"/>
      <c r="C849" s="19"/>
      <c r="D849" s="20"/>
      <c r="E849" s="20"/>
      <c r="F849" s="20"/>
      <c r="G849" s="20" t="str">
        <f aca="false">IF(COUNTBLANK(D849:F849)=3,"",IF(OR(D849="Fail",E849="Fail",F849="Fail"),"Fail",IF(AND(D849="Pass",E849="Pass",F849="Pass"),"Pass","Incomplete")))</f>
        <v/>
      </c>
      <c r="H849" s="18"/>
      <c r="I849" s="18"/>
    </row>
    <row r="850" customFormat="false" ht="15.75" hidden="false" customHeight="true" outlineLevel="0" collapsed="false">
      <c r="A850" s="18"/>
      <c r="B850" s="18"/>
      <c r="C850" s="19"/>
      <c r="D850" s="20"/>
      <c r="E850" s="20"/>
      <c r="F850" s="20"/>
      <c r="G850" s="20" t="str">
        <f aca="false">IF(COUNTBLANK(D850:F850)=3,"",IF(OR(D850="Fail",E850="Fail",F850="Fail"),"Fail",IF(AND(D850="Pass",E850="Pass",F850="Pass"),"Pass","Incomplete")))</f>
        <v/>
      </c>
      <c r="H850" s="18"/>
      <c r="I850" s="18"/>
    </row>
    <row r="851" customFormat="false" ht="15.75" hidden="false" customHeight="true" outlineLevel="0" collapsed="false">
      <c r="A851" s="18"/>
      <c r="B851" s="18"/>
      <c r="C851" s="19"/>
      <c r="D851" s="20"/>
      <c r="E851" s="20"/>
      <c r="F851" s="20"/>
      <c r="G851" s="20" t="str">
        <f aca="false">IF(COUNTBLANK(D851:F851)=3,"",IF(OR(D851="Fail",E851="Fail",F851="Fail"),"Fail",IF(AND(D851="Pass",E851="Pass",F851="Pass"),"Pass","Incomplete")))</f>
        <v/>
      </c>
      <c r="H851" s="18"/>
      <c r="I851" s="18"/>
    </row>
    <row r="852" customFormat="false" ht="15.75" hidden="false" customHeight="true" outlineLevel="0" collapsed="false">
      <c r="A852" s="18"/>
      <c r="B852" s="18"/>
      <c r="C852" s="19"/>
      <c r="D852" s="20"/>
      <c r="E852" s="20"/>
      <c r="F852" s="20"/>
      <c r="G852" s="20" t="str">
        <f aca="false">IF(COUNTBLANK(D852:F852)=3,"",IF(OR(D852="Fail",E852="Fail",F852="Fail"),"Fail",IF(AND(D852="Pass",E852="Pass",F852="Pass"),"Pass","Incomplete")))</f>
        <v/>
      </c>
      <c r="H852" s="18"/>
      <c r="I852" s="18"/>
    </row>
    <row r="853" customFormat="false" ht="15.75" hidden="false" customHeight="true" outlineLevel="0" collapsed="false">
      <c r="A853" s="18"/>
      <c r="B853" s="18"/>
      <c r="C853" s="19"/>
      <c r="D853" s="20"/>
      <c r="E853" s="20"/>
      <c r="F853" s="20"/>
      <c r="G853" s="20" t="str">
        <f aca="false">IF(COUNTBLANK(D853:F853)=3,"",IF(OR(D853="Fail",E853="Fail",F853="Fail"),"Fail",IF(AND(D853="Pass",E853="Pass",F853="Pass"),"Pass","Incomplete")))</f>
        <v/>
      </c>
      <c r="H853" s="18"/>
      <c r="I853" s="18"/>
    </row>
    <row r="854" customFormat="false" ht="15.75" hidden="false" customHeight="true" outlineLevel="0" collapsed="false">
      <c r="A854" s="18"/>
      <c r="B854" s="18"/>
      <c r="C854" s="19"/>
      <c r="D854" s="20"/>
      <c r="E854" s="20"/>
      <c r="F854" s="20"/>
      <c r="G854" s="20" t="str">
        <f aca="false">IF(COUNTBLANK(D854:F854)=3,"",IF(OR(D854="Fail",E854="Fail",F854="Fail"),"Fail",IF(AND(D854="Pass",E854="Pass",F854="Pass"),"Pass","Incomplete")))</f>
        <v/>
      </c>
      <c r="H854" s="18"/>
      <c r="I854" s="18"/>
    </row>
    <row r="855" customFormat="false" ht="15.75" hidden="false" customHeight="true" outlineLevel="0" collapsed="false">
      <c r="A855" s="18"/>
      <c r="B855" s="18"/>
      <c r="C855" s="19"/>
      <c r="D855" s="20"/>
      <c r="E855" s="20"/>
      <c r="F855" s="20"/>
      <c r="G855" s="20" t="str">
        <f aca="false">IF(COUNTBLANK(D855:F855)=3,"",IF(OR(D855="Fail",E855="Fail",F855="Fail"),"Fail",IF(AND(D855="Pass",E855="Pass",F855="Pass"),"Pass","Incomplete")))</f>
        <v/>
      </c>
      <c r="H855" s="18"/>
      <c r="I855" s="18"/>
    </row>
    <row r="856" customFormat="false" ht="15.75" hidden="false" customHeight="true" outlineLevel="0" collapsed="false">
      <c r="A856" s="18"/>
      <c r="B856" s="18"/>
      <c r="C856" s="19"/>
      <c r="D856" s="20"/>
      <c r="E856" s="20"/>
      <c r="F856" s="20"/>
      <c r="G856" s="20" t="str">
        <f aca="false">IF(COUNTBLANK(D856:F856)=3,"",IF(OR(D856="Fail",E856="Fail",F856="Fail"),"Fail",IF(AND(D856="Pass",E856="Pass",F856="Pass"),"Pass","Incomplete")))</f>
        <v/>
      </c>
      <c r="H856" s="18"/>
      <c r="I856" s="18"/>
    </row>
    <row r="857" customFormat="false" ht="15.75" hidden="false" customHeight="true" outlineLevel="0" collapsed="false">
      <c r="A857" s="18"/>
      <c r="B857" s="18"/>
      <c r="C857" s="19"/>
      <c r="D857" s="20"/>
      <c r="E857" s="20"/>
      <c r="F857" s="20"/>
      <c r="G857" s="20" t="str">
        <f aca="false">IF(COUNTBLANK(D857:F857)=3,"",IF(OR(D857="Fail",E857="Fail",F857="Fail"),"Fail",IF(AND(D857="Pass",E857="Pass",F857="Pass"),"Pass","Incomplete")))</f>
        <v/>
      </c>
      <c r="H857" s="18"/>
      <c r="I857" s="18"/>
    </row>
    <row r="858" customFormat="false" ht="15.75" hidden="false" customHeight="true" outlineLevel="0" collapsed="false">
      <c r="A858" s="18"/>
      <c r="B858" s="18"/>
      <c r="C858" s="19"/>
      <c r="D858" s="20"/>
      <c r="E858" s="20"/>
      <c r="F858" s="20"/>
      <c r="G858" s="20" t="str">
        <f aca="false">IF(COUNTBLANK(D858:F858)=3,"",IF(OR(D858="Fail",E858="Fail",F858="Fail"),"Fail",IF(AND(D858="Pass",E858="Pass",F858="Pass"),"Pass","Incomplete")))</f>
        <v/>
      </c>
      <c r="H858" s="18"/>
      <c r="I858" s="18"/>
    </row>
    <row r="859" customFormat="false" ht="15.75" hidden="false" customHeight="true" outlineLevel="0" collapsed="false">
      <c r="A859" s="18"/>
      <c r="B859" s="18"/>
      <c r="C859" s="19"/>
      <c r="D859" s="20"/>
      <c r="E859" s="20"/>
      <c r="F859" s="20"/>
      <c r="G859" s="20" t="str">
        <f aca="false">IF(COUNTBLANK(D859:F859)=3,"",IF(OR(D859="Fail",E859="Fail",F859="Fail"),"Fail",IF(AND(D859="Pass",E859="Pass",F859="Pass"),"Pass","Incomplete")))</f>
        <v/>
      </c>
      <c r="H859" s="18"/>
      <c r="I859" s="18"/>
    </row>
    <row r="860" customFormat="false" ht="15.75" hidden="false" customHeight="true" outlineLevel="0" collapsed="false">
      <c r="A860" s="18"/>
      <c r="B860" s="18"/>
      <c r="C860" s="19"/>
      <c r="D860" s="20"/>
      <c r="E860" s="20"/>
      <c r="F860" s="20"/>
      <c r="G860" s="20" t="str">
        <f aca="false">IF(COUNTBLANK(D860:F860)=3,"",IF(OR(D860="Fail",E860="Fail",F860="Fail"),"Fail",IF(AND(D860="Pass",E860="Pass",F860="Pass"),"Pass","Incomplete")))</f>
        <v/>
      </c>
      <c r="H860" s="18"/>
      <c r="I860" s="18"/>
    </row>
    <row r="861" customFormat="false" ht="15.75" hidden="false" customHeight="true" outlineLevel="0" collapsed="false">
      <c r="A861" s="18"/>
      <c r="B861" s="18"/>
      <c r="C861" s="19"/>
      <c r="D861" s="20"/>
      <c r="E861" s="20"/>
      <c r="F861" s="20"/>
      <c r="G861" s="20" t="str">
        <f aca="false">IF(COUNTBLANK(D861:F861)=3,"",IF(OR(D861="Fail",E861="Fail",F861="Fail"),"Fail",IF(AND(D861="Pass",E861="Pass",F861="Pass"),"Pass","Incomplete")))</f>
        <v/>
      </c>
      <c r="H861" s="18"/>
      <c r="I861" s="18"/>
    </row>
    <row r="862" customFormat="false" ht="15.75" hidden="false" customHeight="true" outlineLevel="0" collapsed="false">
      <c r="A862" s="18"/>
      <c r="B862" s="18"/>
      <c r="C862" s="19"/>
      <c r="D862" s="20"/>
      <c r="E862" s="20"/>
      <c r="F862" s="20"/>
      <c r="G862" s="20" t="str">
        <f aca="false">IF(COUNTBLANK(D862:F862)=3,"",IF(OR(D862="Fail",E862="Fail",F862="Fail"),"Fail",IF(AND(D862="Pass",E862="Pass",F862="Pass"),"Pass","Incomplete")))</f>
        <v/>
      </c>
      <c r="H862" s="18"/>
      <c r="I862" s="18"/>
    </row>
    <row r="863" customFormat="false" ht="15.75" hidden="false" customHeight="true" outlineLevel="0" collapsed="false">
      <c r="A863" s="18"/>
      <c r="B863" s="18"/>
      <c r="C863" s="19"/>
      <c r="D863" s="20"/>
      <c r="E863" s="20"/>
      <c r="F863" s="20"/>
      <c r="G863" s="20" t="str">
        <f aca="false">IF(COUNTBLANK(D863:F863)=3,"",IF(OR(D863="Fail",E863="Fail",F863="Fail"),"Fail",IF(AND(D863="Pass",E863="Pass",F863="Pass"),"Pass","Incomplete")))</f>
        <v/>
      </c>
      <c r="H863" s="18"/>
      <c r="I863" s="18"/>
    </row>
    <row r="864" customFormat="false" ht="15.75" hidden="false" customHeight="true" outlineLevel="0" collapsed="false">
      <c r="A864" s="18"/>
      <c r="B864" s="18"/>
      <c r="C864" s="19"/>
      <c r="D864" s="20"/>
      <c r="E864" s="20"/>
      <c r="F864" s="20"/>
      <c r="G864" s="20" t="str">
        <f aca="false">IF(COUNTBLANK(D864:F864)=3,"",IF(OR(D864="Fail",E864="Fail",F864="Fail"),"Fail",IF(AND(D864="Pass",E864="Pass",F864="Pass"),"Pass","Incomplete")))</f>
        <v/>
      </c>
      <c r="H864" s="18"/>
      <c r="I864" s="18"/>
    </row>
    <row r="865" customFormat="false" ht="15.75" hidden="false" customHeight="true" outlineLevel="0" collapsed="false">
      <c r="A865" s="18"/>
      <c r="B865" s="18"/>
      <c r="C865" s="19"/>
      <c r="D865" s="20"/>
      <c r="E865" s="20"/>
      <c r="F865" s="20"/>
      <c r="G865" s="20" t="str">
        <f aca="false">IF(COUNTBLANK(D865:F865)=3,"",IF(OR(D865="Fail",E865="Fail",F865="Fail"),"Fail",IF(AND(D865="Pass",E865="Pass",F865="Pass"),"Pass","Incomplete")))</f>
        <v/>
      </c>
      <c r="H865" s="18"/>
      <c r="I865" s="18"/>
    </row>
    <row r="866" customFormat="false" ht="15.75" hidden="false" customHeight="true" outlineLevel="0" collapsed="false">
      <c r="A866" s="18"/>
      <c r="B866" s="18"/>
      <c r="C866" s="19"/>
      <c r="D866" s="20"/>
      <c r="E866" s="20"/>
      <c r="F866" s="20"/>
      <c r="G866" s="20" t="str">
        <f aca="false">IF(COUNTBLANK(D866:F866)=3,"",IF(OR(D866="Fail",E866="Fail",F866="Fail"),"Fail",IF(AND(D866="Pass",E866="Pass",F866="Pass"),"Pass","Incomplete")))</f>
        <v/>
      </c>
      <c r="H866" s="18"/>
      <c r="I866" s="18"/>
    </row>
    <row r="867" customFormat="false" ht="15.75" hidden="false" customHeight="true" outlineLevel="0" collapsed="false">
      <c r="A867" s="18"/>
      <c r="B867" s="18"/>
      <c r="C867" s="19"/>
      <c r="D867" s="20"/>
      <c r="E867" s="20"/>
      <c r="F867" s="20"/>
      <c r="G867" s="20" t="str">
        <f aca="false">IF(COUNTBLANK(D867:F867)=3,"",IF(OR(D867="Fail",E867="Fail",F867="Fail"),"Fail",IF(AND(D867="Pass",E867="Pass",F867="Pass"),"Pass","Incomplete")))</f>
        <v/>
      </c>
      <c r="H867" s="18"/>
      <c r="I867" s="18"/>
    </row>
    <row r="868" customFormat="false" ht="15.75" hidden="false" customHeight="true" outlineLevel="0" collapsed="false">
      <c r="A868" s="18"/>
      <c r="B868" s="18"/>
      <c r="C868" s="19"/>
      <c r="D868" s="20"/>
      <c r="E868" s="20"/>
      <c r="F868" s="20"/>
      <c r="G868" s="20" t="str">
        <f aca="false">IF(COUNTBLANK(D868:F868)=3,"",IF(OR(D868="Fail",E868="Fail",F868="Fail"),"Fail",IF(AND(D868="Pass",E868="Pass",F868="Pass"),"Pass","Incomplete")))</f>
        <v/>
      </c>
      <c r="H868" s="18"/>
      <c r="I868" s="18"/>
    </row>
    <row r="869" customFormat="false" ht="15.75" hidden="false" customHeight="true" outlineLevel="0" collapsed="false">
      <c r="A869" s="18"/>
      <c r="B869" s="18"/>
      <c r="C869" s="19"/>
      <c r="D869" s="20"/>
      <c r="E869" s="20"/>
      <c r="F869" s="20"/>
      <c r="G869" s="20" t="str">
        <f aca="false">IF(COUNTBLANK(D869:F869)=3,"",IF(OR(D869="Fail",E869="Fail",F869="Fail"),"Fail",IF(AND(D869="Pass",E869="Pass",F869="Pass"),"Pass","Incomplete")))</f>
        <v/>
      </c>
      <c r="H869" s="18"/>
      <c r="I869" s="18"/>
    </row>
    <row r="870" customFormat="false" ht="15.75" hidden="false" customHeight="true" outlineLevel="0" collapsed="false">
      <c r="A870" s="18"/>
      <c r="B870" s="18"/>
      <c r="C870" s="19"/>
      <c r="D870" s="20"/>
      <c r="E870" s="20"/>
      <c r="F870" s="20"/>
      <c r="G870" s="20" t="str">
        <f aca="false">IF(COUNTBLANK(D870:F870)=3,"",IF(OR(D870="Fail",E870="Fail",F870="Fail"),"Fail",IF(AND(D870="Pass",E870="Pass",F870="Pass"),"Pass","Incomplete")))</f>
        <v/>
      </c>
      <c r="H870" s="18"/>
      <c r="I870" s="18"/>
    </row>
    <row r="871" customFormat="false" ht="15.75" hidden="false" customHeight="true" outlineLevel="0" collapsed="false">
      <c r="A871" s="18"/>
      <c r="B871" s="18"/>
      <c r="C871" s="19"/>
      <c r="D871" s="20"/>
      <c r="E871" s="20"/>
      <c r="F871" s="20"/>
      <c r="G871" s="20" t="str">
        <f aca="false">IF(COUNTBLANK(D871:F871)=3,"",IF(OR(D871="Fail",E871="Fail",F871="Fail"),"Fail",IF(AND(D871="Pass",E871="Pass",F871="Pass"),"Pass","Incomplete")))</f>
        <v/>
      </c>
      <c r="H871" s="18"/>
      <c r="I871" s="18"/>
    </row>
    <row r="872" customFormat="false" ht="15.75" hidden="false" customHeight="true" outlineLevel="0" collapsed="false">
      <c r="A872" s="18"/>
      <c r="B872" s="18"/>
      <c r="C872" s="19"/>
      <c r="D872" s="20"/>
      <c r="E872" s="20"/>
      <c r="F872" s="20"/>
      <c r="G872" s="20" t="str">
        <f aca="false">IF(COUNTBLANK(D872:F872)=3,"",IF(OR(D872="Fail",E872="Fail",F872="Fail"),"Fail",IF(AND(D872="Pass",E872="Pass",F872="Pass"),"Pass","Incomplete")))</f>
        <v/>
      </c>
      <c r="H872" s="18"/>
      <c r="I872" s="18"/>
    </row>
    <row r="873" customFormat="false" ht="15.75" hidden="false" customHeight="true" outlineLevel="0" collapsed="false">
      <c r="A873" s="18"/>
      <c r="B873" s="18"/>
      <c r="C873" s="19"/>
      <c r="D873" s="20"/>
      <c r="E873" s="20"/>
      <c r="F873" s="20"/>
      <c r="G873" s="20" t="str">
        <f aca="false">IF(COUNTBLANK(D873:F873)=3,"",IF(OR(D873="Fail",E873="Fail",F873="Fail"),"Fail",IF(AND(D873="Pass",E873="Pass",F873="Pass"),"Pass","Incomplete")))</f>
        <v/>
      </c>
      <c r="H873" s="18"/>
      <c r="I873" s="18"/>
    </row>
    <row r="874" customFormat="false" ht="15.75" hidden="false" customHeight="true" outlineLevel="0" collapsed="false">
      <c r="A874" s="18"/>
      <c r="B874" s="18"/>
      <c r="C874" s="19"/>
      <c r="D874" s="20"/>
      <c r="E874" s="20"/>
      <c r="F874" s="20"/>
      <c r="G874" s="20" t="str">
        <f aca="false">IF(COUNTBLANK(D874:F874)=3,"",IF(OR(D874="Fail",E874="Fail",F874="Fail"),"Fail",IF(AND(D874="Pass",E874="Pass",F874="Pass"),"Pass","Incomplete")))</f>
        <v/>
      </c>
      <c r="H874" s="18"/>
      <c r="I874" s="18"/>
    </row>
    <row r="875" customFormat="false" ht="15.75" hidden="false" customHeight="true" outlineLevel="0" collapsed="false">
      <c r="A875" s="18"/>
      <c r="B875" s="18"/>
      <c r="C875" s="19"/>
      <c r="D875" s="20"/>
      <c r="E875" s="20"/>
      <c r="F875" s="20"/>
      <c r="G875" s="20" t="str">
        <f aca="false">IF(COUNTBLANK(D875:F875)=3,"",IF(OR(D875="Fail",E875="Fail",F875="Fail"),"Fail",IF(AND(D875="Pass",E875="Pass",F875="Pass"),"Pass","Incomplete")))</f>
        <v/>
      </c>
      <c r="H875" s="18"/>
      <c r="I875" s="18"/>
    </row>
    <row r="876" customFormat="false" ht="15.75" hidden="false" customHeight="true" outlineLevel="0" collapsed="false">
      <c r="A876" s="18"/>
      <c r="B876" s="18"/>
      <c r="C876" s="19"/>
      <c r="D876" s="20"/>
      <c r="E876" s="20"/>
      <c r="F876" s="20"/>
      <c r="G876" s="20" t="str">
        <f aca="false">IF(COUNTBLANK(D876:F876)=3,"",IF(OR(D876="Fail",E876="Fail",F876="Fail"),"Fail",IF(AND(D876="Pass",E876="Pass",F876="Pass"),"Pass","Incomplete")))</f>
        <v/>
      </c>
      <c r="H876" s="18"/>
      <c r="I876" s="18"/>
    </row>
    <row r="877" customFormat="false" ht="15.75" hidden="false" customHeight="true" outlineLevel="0" collapsed="false">
      <c r="A877" s="18"/>
      <c r="B877" s="18"/>
      <c r="C877" s="19"/>
      <c r="D877" s="20"/>
      <c r="E877" s="20"/>
      <c r="F877" s="20"/>
      <c r="G877" s="20" t="str">
        <f aca="false">IF(COUNTBLANK(D877:F877)=3,"",IF(OR(D877="Fail",E877="Fail",F877="Fail"),"Fail",IF(AND(D877="Pass",E877="Pass",F877="Pass"),"Pass","Incomplete")))</f>
        <v/>
      </c>
      <c r="H877" s="18"/>
      <c r="I877" s="18"/>
    </row>
    <row r="878" customFormat="false" ht="15.75" hidden="false" customHeight="true" outlineLevel="0" collapsed="false">
      <c r="A878" s="18"/>
      <c r="B878" s="18"/>
      <c r="C878" s="19"/>
      <c r="D878" s="20"/>
      <c r="E878" s="20"/>
      <c r="F878" s="20"/>
      <c r="G878" s="20" t="str">
        <f aca="false">IF(COUNTBLANK(D878:F878)=3,"",IF(OR(D878="Fail",E878="Fail",F878="Fail"),"Fail",IF(AND(D878="Pass",E878="Pass",F878="Pass"),"Pass","Incomplete")))</f>
        <v/>
      </c>
      <c r="H878" s="18"/>
      <c r="I878" s="18"/>
    </row>
    <row r="879" customFormat="false" ht="15.75" hidden="false" customHeight="true" outlineLevel="0" collapsed="false">
      <c r="A879" s="18"/>
      <c r="B879" s="18"/>
      <c r="C879" s="19"/>
      <c r="D879" s="20"/>
      <c r="E879" s="20"/>
      <c r="F879" s="20"/>
      <c r="G879" s="20" t="str">
        <f aca="false">IF(COUNTBLANK(D879:F879)=3,"",IF(OR(D879="Fail",E879="Fail",F879="Fail"),"Fail",IF(AND(D879="Pass",E879="Pass",F879="Pass"),"Pass","Incomplete")))</f>
        <v/>
      </c>
      <c r="H879" s="18"/>
      <c r="I879" s="18"/>
    </row>
    <row r="880" customFormat="false" ht="15.75" hidden="false" customHeight="true" outlineLevel="0" collapsed="false">
      <c r="A880" s="18"/>
      <c r="B880" s="18"/>
      <c r="C880" s="19"/>
      <c r="D880" s="20"/>
      <c r="E880" s="20"/>
      <c r="F880" s="20"/>
      <c r="G880" s="20" t="str">
        <f aca="false">IF(COUNTBLANK(D880:F880)=3,"",IF(OR(D880="Fail",E880="Fail",F880="Fail"),"Fail",IF(AND(D880="Pass",E880="Pass",F880="Pass"),"Pass","Incomplete")))</f>
        <v/>
      </c>
      <c r="H880" s="18"/>
      <c r="I880" s="18"/>
    </row>
    <row r="881" customFormat="false" ht="15.75" hidden="false" customHeight="true" outlineLevel="0" collapsed="false">
      <c r="A881" s="18"/>
      <c r="B881" s="18"/>
      <c r="C881" s="19"/>
      <c r="D881" s="20"/>
      <c r="E881" s="20"/>
      <c r="F881" s="20"/>
      <c r="G881" s="20" t="str">
        <f aca="false">IF(COUNTBLANK(D881:F881)=3,"",IF(OR(D881="Fail",E881="Fail",F881="Fail"),"Fail",IF(AND(D881="Pass",E881="Pass",F881="Pass"),"Pass","Incomplete")))</f>
        <v/>
      </c>
      <c r="H881" s="18"/>
      <c r="I881" s="18"/>
    </row>
    <row r="882" customFormat="false" ht="15.75" hidden="false" customHeight="true" outlineLevel="0" collapsed="false">
      <c r="A882" s="18"/>
      <c r="B882" s="18"/>
      <c r="C882" s="19"/>
      <c r="D882" s="20"/>
      <c r="E882" s="20"/>
      <c r="F882" s="20"/>
      <c r="G882" s="20" t="str">
        <f aca="false">IF(COUNTBLANK(D882:F882)=3,"",IF(OR(D882="Fail",E882="Fail",F882="Fail"),"Fail",IF(AND(D882="Pass",E882="Pass",F882="Pass"),"Pass","Incomplete")))</f>
        <v/>
      </c>
      <c r="H882" s="18"/>
      <c r="I882" s="18"/>
    </row>
    <row r="883" customFormat="false" ht="15.75" hidden="false" customHeight="true" outlineLevel="0" collapsed="false">
      <c r="A883" s="18"/>
      <c r="B883" s="18"/>
      <c r="C883" s="19"/>
      <c r="D883" s="20"/>
      <c r="E883" s="20"/>
      <c r="F883" s="20"/>
      <c r="G883" s="20" t="str">
        <f aca="false">IF(COUNTBLANK(D883:F883)=3,"",IF(OR(D883="Fail",E883="Fail",F883="Fail"),"Fail",IF(AND(D883="Pass",E883="Pass",F883="Pass"),"Pass","Incomplete")))</f>
        <v/>
      </c>
      <c r="H883" s="18"/>
      <c r="I883" s="18"/>
    </row>
    <row r="884" customFormat="false" ht="15.75" hidden="false" customHeight="true" outlineLevel="0" collapsed="false">
      <c r="A884" s="18"/>
      <c r="B884" s="18"/>
      <c r="C884" s="19"/>
      <c r="D884" s="20"/>
      <c r="E884" s="20"/>
      <c r="F884" s="20"/>
      <c r="G884" s="20" t="str">
        <f aca="false">IF(COUNTBLANK(D884:F884)=3,"",IF(OR(D884="Fail",E884="Fail",F884="Fail"),"Fail",IF(AND(D884="Pass",E884="Pass",F884="Pass"),"Pass","Incomplete")))</f>
        <v/>
      </c>
      <c r="H884" s="18"/>
      <c r="I884" s="18"/>
    </row>
    <row r="885" customFormat="false" ht="15.75" hidden="false" customHeight="true" outlineLevel="0" collapsed="false">
      <c r="A885" s="18"/>
      <c r="B885" s="18"/>
      <c r="C885" s="19"/>
      <c r="D885" s="20"/>
      <c r="E885" s="20"/>
      <c r="F885" s="20"/>
      <c r="G885" s="20" t="str">
        <f aca="false">IF(COUNTBLANK(D885:F885)=3,"",IF(OR(D885="Fail",E885="Fail",F885="Fail"),"Fail",IF(AND(D885="Pass",E885="Pass",F885="Pass"),"Pass","Incomplete")))</f>
        <v/>
      </c>
      <c r="H885" s="18"/>
      <c r="I885" s="18"/>
    </row>
    <row r="886" customFormat="false" ht="15.75" hidden="false" customHeight="true" outlineLevel="0" collapsed="false">
      <c r="A886" s="18"/>
      <c r="B886" s="18"/>
      <c r="C886" s="19"/>
      <c r="D886" s="20"/>
      <c r="E886" s="20"/>
      <c r="F886" s="20"/>
      <c r="G886" s="20" t="str">
        <f aca="false">IF(COUNTBLANK(D886:F886)=3,"",IF(OR(D886="Fail",E886="Fail",F886="Fail"),"Fail",IF(AND(D886="Pass",E886="Pass",F886="Pass"),"Pass","Incomplete")))</f>
        <v/>
      </c>
      <c r="H886" s="18"/>
      <c r="I886" s="18"/>
    </row>
    <row r="887" customFormat="false" ht="15.75" hidden="false" customHeight="true" outlineLevel="0" collapsed="false">
      <c r="A887" s="18"/>
      <c r="B887" s="18"/>
      <c r="C887" s="19"/>
      <c r="D887" s="20"/>
      <c r="E887" s="20"/>
      <c r="F887" s="20"/>
      <c r="G887" s="20" t="str">
        <f aca="false">IF(COUNTBLANK(D887:F887)=3,"",IF(OR(D887="Fail",E887="Fail",F887="Fail"),"Fail",IF(AND(D887="Pass",E887="Pass",F887="Pass"),"Pass","Incomplete")))</f>
        <v/>
      </c>
      <c r="H887" s="18"/>
      <c r="I887" s="18"/>
    </row>
    <row r="888" customFormat="false" ht="15.75" hidden="false" customHeight="true" outlineLevel="0" collapsed="false">
      <c r="A888" s="18"/>
      <c r="B888" s="18"/>
      <c r="C888" s="19"/>
      <c r="D888" s="20"/>
      <c r="E888" s="20"/>
      <c r="F888" s="20"/>
      <c r="G888" s="20" t="str">
        <f aca="false">IF(COUNTBLANK(D888:F888)=3,"",IF(OR(D888="Fail",E888="Fail",F888="Fail"),"Fail",IF(AND(D888="Pass",E888="Pass",F888="Pass"),"Pass","Incomplete")))</f>
        <v/>
      </c>
      <c r="H888" s="18"/>
      <c r="I888" s="18"/>
    </row>
    <row r="889" customFormat="false" ht="15.75" hidden="false" customHeight="true" outlineLevel="0" collapsed="false">
      <c r="A889" s="18"/>
      <c r="B889" s="18"/>
      <c r="C889" s="19"/>
      <c r="D889" s="20"/>
      <c r="E889" s="20"/>
      <c r="F889" s="20"/>
      <c r="G889" s="20" t="str">
        <f aca="false">IF(COUNTBLANK(D889:F889)=3,"",IF(OR(D889="Fail",E889="Fail",F889="Fail"),"Fail",IF(AND(D889="Pass",E889="Pass",F889="Pass"),"Pass","Incomplete")))</f>
        <v/>
      </c>
      <c r="H889" s="18"/>
      <c r="I889" s="18"/>
    </row>
    <row r="890" customFormat="false" ht="15.75" hidden="false" customHeight="true" outlineLevel="0" collapsed="false">
      <c r="A890" s="18"/>
      <c r="B890" s="18"/>
      <c r="C890" s="19"/>
      <c r="D890" s="20"/>
      <c r="E890" s="20"/>
      <c r="F890" s="20"/>
      <c r="G890" s="20" t="str">
        <f aca="false">IF(COUNTBLANK(D890:F890)=3,"",IF(OR(D890="Fail",E890="Fail",F890="Fail"),"Fail",IF(AND(D890="Pass",E890="Pass",F890="Pass"),"Pass","Incomplete")))</f>
        <v/>
      </c>
      <c r="H890" s="18"/>
      <c r="I890" s="18"/>
    </row>
    <row r="891" customFormat="false" ht="15.75" hidden="false" customHeight="true" outlineLevel="0" collapsed="false">
      <c r="A891" s="18"/>
      <c r="B891" s="18"/>
      <c r="C891" s="19"/>
      <c r="D891" s="20"/>
      <c r="E891" s="20"/>
      <c r="F891" s="20"/>
      <c r="G891" s="20" t="str">
        <f aca="false">IF(COUNTBLANK(D891:F891)=3,"",IF(OR(D891="Fail",E891="Fail",F891="Fail"),"Fail",IF(AND(D891="Pass",E891="Pass",F891="Pass"),"Pass","Incomplete")))</f>
        <v/>
      </c>
      <c r="H891" s="18"/>
      <c r="I891" s="18"/>
    </row>
    <row r="892" customFormat="false" ht="15.75" hidden="false" customHeight="true" outlineLevel="0" collapsed="false">
      <c r="A892" s="18"/>
      <c r="B892" s="18"/>
      <c r="C892" s="19"/>
      <c r="D892" s="20"/>
      <c r="E892" s="20"/>
      <c r="F892" s="20"/>
      <c r="G892" s="20" t="str">
        <f aca="false">IF(COUNTBLANK(D892:F892)=3,"",IF(OR(D892="Fail",E892="Fail",F892="Fail"),"Fail",IF(AND(D892="Pass",E892="Pass",F892="Pass"),"Pass","Incomplete")))</f>
        <v/>
      </c>
      <c r="H892" s="18"/>
      <c r="I892" s="18"/>
    </row>
    <row r="893" customFormat="false" ht="15.75" hidden="false" customHeight="true" outlineLevel="0" collapsed="false">
      <c r="A893" s="18"/>
      <c r="B893" s="18"/>
      <c r="C893" s="19"/>
      <c r="D893" s="20"/>
      <c r="E893" s="20"/>
      <c r="F893" s="20"/>
      <c r="G893" s="20" t="str">
        <f aca="false">IF(COUNTBLANK(D893:F893)=3,"",IF(OR(D893="Fail",E893="Fail",F893="Fail"),"Fail",IF(AND(D893="Pass",E893="Pass",F893="Pass"),"Pass","Incomplete")))</f>
        <v/>
      </c>
      <c r="H893" s="18"/>
      <c r="I893" s="18"/>
    </row>
    <row r="894" customFormat="false" ht="15.75" hidden="false" customHeight="true" outlineLevel="0" collapsed="false">
      <c r="A894" s="18"/>
      <c r="B894" s="18"/>
      <c r="C894" s="19"/>
      <c r="D894" s="20"/>
      <c r="E894" s="20"/>
      <c r="F894" s="20"/>
      <c r="G894" s="20" t="str">
        <f aca="false">IF(COUNTBLANK(D894:F894)=3,"",IF(OR(D894="Fail",E894="Fail",F894="Fail"),"Fail",IF(AND(D894="Pass",E894="Pass",F894="Pass"),"Pass","Incomplete")))</f>
        <v/>
      </c>
      <c r="H894" s="18"/>
      <c r="I894" s="18"/>
    </row>
    <row r="895" customFormat="false" ht="15.75" hidden="false" customHeight="true" outlineLevel="0" collapsed="false">
      <c r="A895" s="18"/>
      <c r="B895" s="18"/>
      <c r="C895" s="19"/>
      <c r="D895" s="20"/>
      <c r="E895" s="20"/>
      <c r="F895" s="20"/>
      <c r="G895" s="20" t="str">
        <f aca="false">IF(COUNTBLANK(D895:F895)=3,"",IF(OR(D895="Fail",E895="Fail",F895="Fail"),"Fail",IF(AND(D895="Pass",E895="Pass",F895="Pass"),"Pass","Incomplete")))</f>
        <v/>
      </c>
      <c r="H895" s="18"/>
      <c r="I895" s="18"/>
    </row>
    <row r="896" customFormat="false" ht="15.75" hidden="false" customHeight="true" outlineLevel="0" collapsed="false">
      <c r="A896" s="18"/>
      <c r="B896" s="18"/>
      <c r="C896" s="19"/>
      <c r="D896" s="20"/>
      <c r="E896" s="20"/>
      <c r="F896" s="20"/>
      <c r="G896" s="20" t="str">
        <f aca="false">IF(COUNTBLANK(D896:F896)=3,"",IF(OR(D896="Fail",E896="Fail",F896="Fail"),"Fail",IF(AND(D896="Pass",E896="Pass",F896="Pass"),"Pass","Incomplete")))</f>
        <v/>
      </c>
      <c r="H896" s="18"/>
      <c r="I896" s="18"/>
    </row>
    <row r="897" customFormat="false" ht="15.75" hidden="false" customHeight="true" outlineLevel="0" collapsed="false">
      <c r="A897" s="18"/>
      <c r="B897" s="18"/>
      <c r="C897" s="19"/>
      <c r="D897" s="20"/>
      <c r="E897" s="20"/>
      <c r="F897" s="20"/>
      <c r="G897" s="20" t="str">
        <f aca="false">IF(COUNTBLANK(D897:F897)=3,"",IF(OR(D897="Fail",E897="Fail",F897="Fail"),"Fail",IF(AND(D897="Pass",E897="Pass",F897="Pass"),"Pass","Incomplete")))</f>
        <v/>
      </c>
      <c r="H897" s="18"/>
      <c r="I897" s="18"/>
    </row>
    <row r="898" customFormat="false" ht="15.75" hidden="false" customHeight="true" outlineLevel="0" collapsed="false">
      <c r="A898" s="18"/>
      <c r="B898" s="18"/>
      <c r="C898" s="19"/>
      <c r="D898" s="20"/>
      <c r="E898" s="20"/>
      <c r="F898" s="20"/>
      <c r="G898" s="20" t="str">
        <f aca="false">IF(COUNTBLANK(D898:F898)=3,"",IF(OR(D898="Fail",E898="Fail",F898="Fail"),"Fail",IF(AND(D898="Pass",E898="Pass",F898="Pass"),"Pass","Incomplete")))</f>
        <v/>
      </c>
      <c r="H898" s="18"/>
      <c r="I898" s="18"/>
    </row>
    <row r="899" customFormat="false" ht="15.75" hidden="false" customHeight="true" outlineLevel="0" collapsed="false">
      <c r="A899" s="18"/>
      <c r="B899" s="18"/>
      <c r="C899" s="19"/>
      <c r="D899" s="20"/>
      <c r="E899" s="20"/>
      <c r="F899" s="20"/>
      <c r="G899" s="20" t="str">
        <f aca="false">IF(COUNTBLANK(D899:F899)=3,"",IF(OR(D899="Fail",E899="Fail",F899="Fail"),"Fail",IF(AND(D899="Pass",E899="Pass",F899="Pass"),"Pass","Incomplete")))</f>
        <v/>
      </c>
      <c r="H899" s="18"/>
      <c r="I899" s="18"/>
    </row>
    <row r="900" customFormat="false" ht="15.75" hidden="false" customHeight="true" outlineLevel="0" collapsed="false">
      <c r="A900" s="18"/>
      <c r="B900" s="18"/>
      <c r="C900" s="19"/>
      <c r="D900" s="20"/>
      <c r="E900" s="20"/>
      <c r="F900" s="20"/>
      <c r="G900" s="20" t="str">
        <f aca="false">IF(COUNTBLANK(D900:F900)=3,"",IF(OR(D900="Fail",E900="Fail",F900="Fail"),"Fail",IF(AND(D900="Pass",E900="Pass",F900="Pass"),"Pass","Incomplete")))</f>
        <v/>
      </c>
      <c r="H900" s="18"/>
      <c r="I900" s="18"/>
    </row>
    <row r="901" customFormat="false" ht="15.75" hidden="false" customHeight="true" outlineLevel="0" collapsed="false">
      <c r="A901" s="18"/>
      <c r="B901" s="18"/>
      <c r="C901" s="19"/>
      <c r="D901" s="20"/>
      <c r="E901" s="20"/>
      <c r="F901" s="20"/>
      <c r="G901" s="20" t="str">
        <f aca="false">IF(COUNTBLANK(D901:F901)=3,"",IF(OR(D901="Fail",E901="Fail",F901="Fail"),"Fail",IF(AND(D901="Pass",E901="Pass",F901="Pass"),"Pass","Incomplete")))</f>
        <v/>
      </c>
      <c r="H901" s="18"/>
      <c r="I901" s="18"/>
    </row>
    <row r="902" customFormat="false" ht="15.75" hidden="false" customHeight="true" outlineLevel="0" collapsed="false">
      <c r="A902" s="18"/>
      <c r="B902" s="18"/>
      <c r="C902" s="19"/>
      <c r="D902" s="20"/>
      <c r="E902" s="20"/>
      <c r="F902" s="20"/>
      <c r="G902" s="20" t="str">
        <f aca="false">IF(COUNTBLANK(D902:F902)=3,"",IF(OR(D902="Fail",E902="Fail",F902="Fail"),"Fail",IF(AND(D902="Pass",E902="Pass",F902="Pass"),"Pass","Incomplete")))</f>
        <v/>
      </c>
      <c r="H902" s="18"/>
      <c r="I902" s="18"/>
    </row>
    <row r="903" customFormat="false" ht="15.75" hidden="false" customHeight="true" outlineLevel="0" collapsed="false">
      <c r="A903" s="18"/>
      <c r="B903" s="18"/>
      <c r="C903" s="19"/>
      <c r="D903" s="20"/>
      <c r="E903" s="20"/>
      <c r="F903" s="20"/>
      <c r="G903" s="20" t="str">
        <f aca="false">IF(COUNTBLANK(D903:F903)=3,"",IF(OR(D903="Fail",E903="Fail",F903="Fail"),"Fail",IF(AND(D903="Pass",E903="Pass",F903="Pass"),"Pass","Incomplete")))</f>
        <v/>
      </c>
      <c r="H903" s="18"/>
      <c r="I903" s="18"/>
    </row>
    <row r="904" customFormat="false" ht="15.75" hidden="false" customHeight="true" outlineLevel="0" collapsed="false">
      <c r="A904" s="18"/>
      <c r="B904" s="18"/>
      <c r="C904" s="19"/>
      <c r="D904" s="20"/>
      <c r="E904" s="20"/>
      <c r="F904" s="20"/>
      <c r="G904" s="20" t="str">
        <f aca="false">IF(COUNTBLANK(D904:F904)=3,"",IF(OR(D904="Fail",E904="Fail",F904="Fail"),"Fail",IF(AND(D904="Pass",E904="Pass",F904="Pass"),"Pass","Incomplete")))</f>
        <v/>
      </c>
      <c r="H904" s="18"/>
      <c r="I904" s="18"/>
    </row>
    <row r="905" customFormat="false" ht="15.75" hidden="false" customHeight="true" outlineLevel="0" collapsed="false">
      <c r="A905" s="18"/>
      <c r="B905" s="18"/>
      <c r="C905" s="19"/>
      <c r="D905" s="20"/>
      <c r="E905" s="20"/>
      <c r="F905" s="20"/>
      <c r="G905" s="20" t="str">
        <f aca="false">IF(COUNTBLANK(D905:F905)=3,"",IF(OR(D905="Fail",E905="Fail",F905="Fail"),"Fail",IF(AND(D905="Pass",E905="Pass",F905="Pass"),"Pass","Incomplete")))</f>
        <v/>
      </c>
      <c r="H905" s="18"/>
      <c r="I905" s="18"/>
    </row>
    <row r="906" customFormat="false" ht="15.75" hidden="false" customHeight="true" outlineLevel="0" collapsed="false">
      <c r="A906" s="18"/>
      <c r="B906" s="18"/>
      <c r="C906" s="19"/>
      <c r="D906" s="20"/>
      <c r="E906" s="20"/>
      <c r="F906" s="20"/>
      <c r="G906" s="20" t="str">
        <f aca="false">IF(COUNTBLANK(D906:F906)=3,"",IF(OR(D906="Fail",E906="Fail",F906="Fail"),"Fail",IF(AND(D906="Pass",E906="Pass",F906="Pass"),"Pass","Incomplete")))</f>
        <v/>
      </c>
      <c r="H906" s="18"/>
      <c r="I906" s="18"/>
    </row>
    <row r="907" customFormat="false" ht="15.75" hidden="false" customHeight="true" outlineLevel="0" collapsed="false">
      <c r="A907" s="18"/>
      <c r="B907" s="18"/>
      <c r="C907" s="19"/>
      <c r="D907" s="20"/>
      <c r="E907" s="20"/>
      <c r="F907" s="20"/>
      <c r="G907" s="20" t="str">
        <f aca="false">IF(COUNTBLANK(D907:F907)=3,"",IF(OR(D907="Fail",E907="Fail",F907="Fail"),"Fail",IF(AND(D907="Pass",E907="Pass",F907="Pass"),"Pass","Incomplete")))</f>
        <v/>
      </c>
      <c r="H907" s="18"/>
      <c r="I907" s="18"/>
    </row>
    <row r="908" customFormat="false" ht="15.75" hidden="false" customHeight="true" outlineLevel="0" collapsed="false">
      <c r="A908" s="18"/>
      <c r="B908" s="18"/>
      <c r="C908" s="19"/>
      <c r="D908" s="20"/>
      <c r="E908" s="20"/>
      <c r="F908" s="20"/>
      <c r="G908" s="20" t="str">
        <f aca="false">IF(COUNTBLANK(D908:F908)=3,"",IF(OR(D908="Fail",E908="Fail",F908="Fail"),"Fail",IF(AND(D908="Pass",E908="Pass",F908="Pass"),"Pass","Incomplete")))</f>
        <v/>
      </c>
      <c r="H908" s="18"/>
      <c r="I908" s="18"/>
    </row>
    <row r="909" customFormat="false" ht="15.75" hidden="false" customHeight="true" outlineLevel="0" collapsed="false">
      <c r="A909" s="18"/>
      <c r="B909" s="18"/>
      <c r="C909" s="19"/>
      <c r="D909" s="20"/>
      <c r="E909" s="20"/>
      <c r="F909" s="20"/>
      <c r="G909" s="20" t="str">
        <f aca="false">IF(COUNTBLANK(D909:F909)=3,"",IF(OR(D909="Fail",E909="Fail",F909="Fail"),"Fail",IF(AND(D909="Pass",E909="Pass",F909="Pass"),"Pass","Incomplete")))</f>
        <v/>
      </c>
      <c r="H909" s="18"/>
      <c r="I909" s="18"/>
    </row>
    <row r="910" customFormat="false" ht="15.75" hidden="false" customHeight="true" outlineLevel="0" collapsed="false">
      <c r="A910" s="18"/>
      <c r="B910" s="18"/>
      <c r="C910" s="19"/>
      <c r="D910" s="20"/>
      <c r="E910" s="20"/>
      <c r="F910" s="20"/>
      <c r="G910" s="20" t="str">
        <f aca="false">IF(COUNTBLANK(D910:F910)=3,"",IF(OR(D910="Fail",E910="Fail",F910="Fail"),"Fail",IF(AND(D910="Pass",E910="Pass",F910="Pass"),"Pass","Incomplete")))</f>
        <v/>
      </c>
      <c r="H910" s="18"/>
      <c r="I910" s="18"/>
    </row>
    <row r="911" customFormat="false" ht="15.75" hidden="false" customHeight="true" outlineLevel="0" collapsed="false">
      <c r="A911" s="18"/>
      <c r="B911" s="18"/>
      <c r="C911" s="19"/>
      <c r="D911" s="20"/>
      <c r="E911" s="20"/>
      <c r="F911" s="20"/>
      <c r="G911" s="20" t="str">
        <f aca="false">IF(COUNTBLANK(D911:F911)=3,"",IF(OR(D911="Fail",E911="Fail",F911="Fail"),"Fail",IF(AND(D911="Pass",E911="Pass",F911="Pass"),"Pass","Incomplete")))</f>
        <v/>
      </c>
      <c r="H911" s="18"/>
      <c r="I911" s="18"/>
    </row>
    <row r="912" customFormat="false" ht="15.75" hidden="false" customHeight="true" outlineLevel="0" collapsed="false">
      <c r="A912" s="18"/>
      <c r="B912" s="18"/>
      <c r="C912" s="19"/>
      <c r="D912" s="20"/>
      <c r="E912" s="20"/>
      <c r="F912" s="20"/>
      <c r="G912" s="20" t="str">
        <f aca="false">IF(COUNTBLANK(D912:F912)=3,"",IF(OR(D912="Fail",E912="Fail",F912="Fail"),"Fail",IF(AND(D912="Pass",E912="Pass",F912="Pass"),"Pass","Incomplete")))</f>
        <v/>
      </c>
      <c r="H912" s="18"/>
      <c r="I912" s="18"/>
    </row>
    <row r="913" customFormat="false" ht="15.75" hidden="false" customHeight="true" outlineLevel="0" collapsed="false">
      <c r="A913" s="18"/>
      <c r="B913" s="18"/>
      <c r="C913" s="19"/>
      <c r="D913" s="20"/>
      <c r="E913" s="20"/>
      <c r="F913" s="20"/>
      <c r="G913" s="20" t="str">
        <f aca="false">IF(COUNTBLANK(D913:F913)=3,"",IF(OR(D913="Fail",E913="Fail",F913="Fail"),"Fail",IF(AND(D913="Pass",E913="Pass",F913="Pass"),"Pass","Incomplete")))</f>
        <v/>
      </c>
      <c r="H913" s="18"/>
      <c r="I913" s="18"/>
    </row>
    <row r="914" customFormat="false" ht="15.75" hidden="false" customHeight="true" outlineLevel="0" collapsed="false">
      <c r="A914" s="18"/>
      <c r="B914" s="18"/>
      <c r="C914" s="19"/>
      <c r="D914" s="20"/>
      <c r="E914" s="20"/>
      <c r="F914" s="20"/>
      <c r="G914" s="20" t="str">
        <f aca="false">IF(COUNTBLANK(D914:F914)=3,"",IF(OR(D914="Fail",E914="Fail",F914="Fail"),"Fail",IF(AND(D914="Pass",E914="Pass",F914="Pass"),"Pass","Incomplete")))</f>
        <v/>
      </c>
      <c r="H914" s="18"/>
      <c r="I914" s="18"/>
    </row>
    <row r="915" customFormat="false" ht="15.75" hidden="false" customHeight="true" outlineLevel="0" collapsed="false">
      <c r="A915" s="18"/>
      <c r="B915" s="18"/>
      <c r="C915" s="19"/>
      <c r="D915" s="20"/>
      <c r="E915" s="20"/>
      <c r="F915" s="20"/>
      <c r="G915" s="20" t="str">
        <f aca="false">IF(COUNTBLANK(D915:F915)=3,"",IF(OR(D915="Fail",E915="Fail",F915="Fail"),"Fail",IF(AND(D915="Pass",E915="Pass",F915="Pass"),"Pass","Incomplete")))</f>
        <v/>
      </c>
      <c r="H915" s="18"/>
      <c r="I915" s="18"/>
    </row>
    <row r="916" customFormat="false" ht="15.75" hidden="false" customHeight="true" outlineLevel="0" collapsed="false">
      <c r="A916" s="18"/>
      <c r="B916" s="18"/>
      <c r="C916" s="19"/>
      <c r="D916" s="20"/>
      <c r="E916" s="20"/>
      <c r="F916" s="20"/>
      <c r="G916" s="20" t="str">
        <f aca="false">IF(COUNTBLANK(D916:F916)=3,"",IF(OR(D916="Fail",E916="Fail",F916="Fail"),"Fail",IF(AND(D916="Pass",E916="Pass",F916="Pass"),"Pass","Incomplete")))</f>
        <v/>
      </c>
      <c r="H916" s="18"/>
      <c r="I916" s="18"/>
    </row>
    <row r="917" customFormat="false" ht="15.75" hidden="false" customHeight="true" outlineLevel="0" collapsed="false">
      <c r="A917" s="18"/>
      <c r="B917" s="18"/>
      <c r="C917" s="19"/>
      <c r="D917" s="20"/>
      <c r="E917" s="20"/>
      <c r="F917" s="20"/>
      <c r="G917" s="20" t="str">
        <f aca="false">IF(COUNTBLANK(D917:F917)=3,"",IF(OR(D917="Fail",E917="Fail",F917="Fail"),"Fail",IF(AND(D917="Pass",E917="Pass",F917="Pass"),"Pass","Incomplete")))</f>
        <v/>
      </c>
      <c r="H917" s="18"/>
      <c r="I917" s="18"/>
    </row>
    <row r="918" customFormat="false" ht="15.75" hidden="false" customHeight="true" outlineLevel="0" collapsed="false">
      <c r="A918" s="18"/>
      <c r="B918" s="18"/>
      <c r="C918" s="19"/>
      <c r="D918" s="20"/>
      <c r="E918" s="20"/>
      <c r="F918" s="20"/>
      <c r="G918" s="20" t="str">
        <f aca="false">IF(COUNTBLANK(D918:F918)=3,"",IF(OR(D918="Fail",E918="Fail",F918="Fail"),"Fail",IF(AND(D918="Pass",E918="Pass",F918="Pass"),"Pass","Incomplete")))</f>
        <v/>
      </c>
      <c r="H918" s="18"/>
      <c r="I918" s="18"/>
    </row>
    <row r="919" customFormat="false" ht="15.75" hidden="false" customHeight="true" outlineLevel="0" collapsed="false">
      <c r="A919" s="18"/>
      <c r="B919" s="18"/>
      <c r="C919" s="19"/>
      <c r="D919" s="20"/>
      <c r="E919" s="20"/>
      <c r="F919" s="20"/>
      <c r="G919" s="20" t="str">
        <f aca="false">IF(COUNTBLANK(D919:F919)=3,"",IF(OR(D919="Fail",E919="Fail",F919="Fail"),"Fail",IF(AND(D919="Pass",E919="Pass",F919="Pass"),"Pass","Incomplete")))</f>
        <v/>
      </c>
      <c r="H919" s="18"/>
      <c r="I919" s="18"/>
    </row>
    <row r="920" customFormat="false" ht="15.75" hidden="false" customHeight="true" outlineLevel="0" collapsed="false">
      <c r="A920" s="18"/>
      <c r="B920" s="18"/>
      <c r="C920" s="19"/>
      <c r="D920" s="20"/>
      <c r="E920" s="20"/>
      <c r="F920" s="20"/>
      <c r="G920" s="20" t="str">
        <f aca="false">IF(COUNTBLANK(D920:F920)=3,"",IF(OR(D920="Fail",E920="Fail",F920="Fail"),"Fail",IF(AND(D920="Pass",E920="Pass",F920="Pass"),"Pass","Incomplete")))</f>
        <v/>
      </c>
      <c r="H920" s="18"/>
      <c r="I920" s="18"/>
    </row>
    <row r="921" customFormat="false" ht="15.75" hidden="false" customHeight="true" outlineLevel="0" collapsed="false">
      <c r="A921" s="18"/>
      <c r="B921" s="18"/>
      <c r="C921" s="19"/>
      <c r="D921" s="20"/>
      <c r="E921" s="20"/>
      <c r="F921" s="20"/>
      <c r="G921" s="20" t="str">
        <f aca="false">IF(COUNTBLANK(D921:F921)=3,"",IF(OR(D921="Fail",E921="Fail",F921="Fail"),"Fail",IF(AND(D921="Pass",E921="Pass",F921="Pass"),"Pass","Incomplete")))</f>
        <v/>
      </c>
      <c r="H921" s="18"/>
      <c r="I921" s="18"/>
    </row>
    <row r="922" customFormat="false" ht="15.75" hidden="false" customHeight="true" outlineLevel="0" collapsed="false">
      <c r="A922" s="18"/>
      <c r="B922" s="18"/>
      <c r="C922" s="19"/>
      <c r="D922" s="20"/>
      <c r="E922" s="20"/>
      <c r="F922" s="20"/>
      <c r="G922" s="20" t="str">
        <f aca="false">IF(COUNTBLANK(D922:F922)=3,"",IF(OR(D922="Fail",E922="Fail",F922="Fail"),"Fail",IF(AND(D922="Pass",E922="Pass",F922="Pass"),"Pass","Incomplete")))</f>
        <v/>
      </c>
      <c r="H922" s="18"/>
      <c r="I922" s="18"/>
    </row>
    <row r="923" customFormat="false" ht="15.75" hidden="false" customHeight="true" outlineLevel="0" collapsed="false">
      <c r="A923" s="18"/>
      <c r="B923" s="18"/>
      <c r="C923" s="19"/>
      <c r="D923" s="20"/>
      <c r="E923" s="20"/>
      <c r="F923" s="20"/>
      <c r="G923" s="20" t="str">
        <f aca="false">IF(COUNTBLANK(D923:F923)=3,"",IF(OR(D923="Fail",E923="Fail",F923="Fail"),"Fail",IF(AND(D923="Pass",E923="Pass",F923="Pass"),"Pass","Incomplete")))</f>
        <v/>
      </c>
      <c r="H923" s="18"/>
      <c r="I923" s="18"/>
    </row>
    <row r="924" customFormat="false" ht="15.75" hidden="false" customHeight="true" outlineLevel="0" collapsed="false">
      <c r="A924" s="18"/>
      <c r="B924" s="18"/>
      <c r="C924" s="19"/>
      <c r="D924" s="20"/>
      <c r="E924" s="20"/>
      <c r="F924" s="20"/>
      <c r="G924" s="20" t="str">
        <f aca="false">IF(COUNTBLANK(D924:F924)=3,"",IF(OR(D924="Fail",E924="Fail",F924="Fail"),"Fail",IF(AND(D924="Pass",E924="Pass",F924="Pass"),"Pass","Incomplete")))</f>
        <v/>
      </c>
      <c r="H924" s="18"/>
      <c r="I924" s="18"/>
    </row>
    <row r="925" customFormat="false" ht="15.75" hidden="false" customHeight="true" outlineLevel="0" collapsed="false">
      <c r="A925" s="18"/>
      <c r="B925" s="18"/>
      <c r="C925" s="19"/>
      <c r="D925" s="20"/>
      <c r="E925" s="20"/>
      <c r="F925" s="20"/>
      <c r="G925" s="20" t="str">
        <f aca="false">IF(COUNTBLANK(D925:F925)=3,"",IF(OR(D925="Fail",E925="Fail",F925="Fail"),"Fail",IF(AND(D925="Pass",E925="Pass",F925="Pass"),"Pass","Incomplete")))</f>
        <v/>
      </c>
      <c r="H925" s="18"/>
      <c r="I925" s="18"/>
    </row>
    <row r="926" customFormat="false" ht="15.75" hidden="false" customHeight="true" outlineLevel="0" collapsed="false">
      <c r="A926" s="18"/>
      <c r="B926" s="18"/>
      <c r="C926" s="19"/>
      <c r="D926" s="20"/>
      <c r="E926" s="20"/>
      <c r="F926" s="20"/>
      <c r="G926" s="20" t="str">
        <f aca="false">IF(COUNTBLANK(D926:F926)=3,"",IF(OR(D926="Fail",E926="Fail",F926="Fail"),"Fail",IF(AND(D926="Pass",E926="Pass",F926="Pass"),"Pass","Incomplete")))</f>
        <v/>
      </c>
      <c r="H926" s="18"/>
      <c r="I926" s="18"/>
    </row>
    <row r="927" customFormat="false" ht="15.75" hidden="false" customHeight="true" outlineLevel="0" collapsed="false">
      <c r="A927" s="18"/>
      <c r="B927" s="18"/>
      <c r="C927" s="19"/>
      <c r="D927" s="20"/>
      <c r="E927" s="20"/>
      <c r="F927" s="20"/>
      <c r="G927" s="20" t="str">
        <f aca="false">IF(COUNTBLANK(D927:F927)=3,"",IF(OR(D927="Fail",E927="Fail",F927="Fail"),"Fail",IF(AND(D927="Pass",E927="Pass",F927="Pass"),"Pass","Incomplete")))</f>
        <v/>
      </c>
      <c r="H927" s="18"/>
      <c r="I927" s="18"/>
    </row>
    <row r="928" customFormat="false" ht="15.75" hidden="false" customHeight="true" outlineLevel="0" collapsed="false">
      <c r="A928" s="18"/>
      <c r="B928" s="18"/>
      <c r="C928" s="19"/>
      <c r="D928" s="20"/>
      <c r="E928" s="20"/>
      <c r="F928" s="20"/>
      <c r="G928" s="20" t="str">
        <f aca="false">IF(COUNTBLANK(D928:F928)=3,"",IF(OR(D928="Fail",E928="Fail",F928="Fail"),"Fail",IF(AND(D928="Pass",E928="Pass",F928="Pass"),"Pass","Incomplete")))</f>
        <v/>
      </c>
      <c r="H928" s="18"/>
      <c r="I928" s="18"/>
    </row>
    <row r="929" customFormat="false" ht="15.75" hidden="false" customHeight="true" outlineLevel="0" collapsed="false">
      <c r="A929" s="18"/>
      <c r="B929" s="18"/>
      <c r="C929" s="19"/>
      <c r="D929" s="20"/>
      <c r="E929" s="20"/>
      <c r="F929" s="20"/>
      <c r="G929" s="20" t="str">
        <f aca="false">IF(COUNTBLANK(D929:F929)=3,"",IF(OR(D929="Fail",E929="Fail",F929="Fail"),"Fail",IF(AND(D929="Pass",E929="Pass",F929="Pass"),"Pass","Incomplete")))</f>
        <v/>
      </c>
      <c r="H929" s="18"/>
      <c r="I929" s="18"/>
    </row>
    <row r="930" customFormat="false" ht="15.75" hidden="false" customHeight="true" outlineLevel="0" collapsed="false">
      <c r="A930" s="18"/>
      <c r="B930" s="18"/>
      <c r="C930" s="19"/>
      <c r="D930" s="20"/>
      <c r="E930" s="20"/>
      <c r="F930" s="20"/>
      <c r="G930" s="20" t="str">
        <f aca="false">IF(COUNTBLANK(D930:F930)=3,"",IF(OR(D930="Fail",E930="Fail",F930="Fail"),"Fail",IF(AND(D930="Pass",E930="Pass",F930="Pass"),"Pass","Incomplete")))</f>
        <v/>
      </c>
      <c r="H930" s="18"/>
      <c r="I930" s="18"/>
    </row>
    <row r="931" customFormat="false" ht="15.75" hidden="false" customHeight="true" outlineLevel="0" collapsed="false">
      <c r="A931" s="18"/>
      <c r="B931" s="18"/>
      <c r="C931" s="19"/>
      <c r="D931" s="20"/>
      <c r="E931" s="20"/>
      <c r="F931" s="20"/>
      <c r="G931" s="20" t="str">
        <f aca="false">IF(COUNTBLANK(D931:F931)=3,"",IF(OR(D931="Fail",E931="Fail",F931="Fail"),"Fail",IF(AND(D931="Pass",E931="Pass",F931="Pass"),"Pass","Incomplete")))</f>
        <v/>
      </c>
      <c r="H931" s="18"/>
      <c r="I931" s="18"/>
    </row>
    <row r="932" customFormat="false" ht="15.75" hidden="false" customHeight="true" outlineLevel="0" collapsed="false">
      <c r="A932" s="18"/>
      <c r="B932" s="18"/>
      <c r="C932" s="19"/>
      <c r="D932" s="20"/>
      <c r="E932" s="20"/>
      <c r="F932" s="20"/>
      <c r="G932" s="20" t="str">
        <f aca="false">IF(COUNTBLANK(D932:F932)=3,"",IF(OR(D932="Fail",E932="Fail",F932="Fail"),"Fail",IF(AND(D932="Pass",E932="Pass",F932="Pass"),"Pass","Incomplete")))</f>
        <v/>
      </c>
      <c r="H932" s="18"/>
      <c r="I932" s="18"/>
    </row>
    <row r="933" customFormat="false" ht="15.75" hidden="false" customHeight="true" outlineLevel="0" collapsed="false">
      <c r="A933" s="18"/>
      <c r="B933" s="18"/>
      <c r="C933" s="19"/>
      <c r="D933" s="20"/>
      <c r="E933" s="20"/>
      <c r="F933" s="20"/>
      <c r="G933" s="20" t="str">
        <f aca="false">IF(COUNTBLANK(D933:F933)=3,"",IF(OR(D933="Fail",E933="Fail",F933="Fail"),"Fail",IF(AND(D933="Pass",E933="Pass",F933="Pass"),"Pass","Incomplete")))</f>
        <v/>
      </c>
      <c r="H933" s="18"/>
      <c r="I933" s="18"/>
    </row>
    <row r="934" customFormat="false" ht="15.75" hidden="false" customHeight="true" outlineLevel="0" collapsed="false">
      <c r="A934" s="18"/>
      <c r="B934" s="18"/>
      <c r="C934" s="19"/>
      <c r="D934" s="20"/>
      <c r="E934" s="20"/>
      <c r="F934" s="20"/>
      <c r="G934" s="20" t="str">
        <f aca="false">IF(COUNTBLANK(D934:F934)=3,"",IF(OR(D934="Fail",E934="Fail",F934="Fail"),"Fail",IF(AND(D934="Pass",E934="Pass",F934="Pass"),"Pass","Incomplete")))</f>
        <v/>
      </c>
      <c r="H934" s="18"/>
      <c r="I934" s="18"/>
    </row>
    <row r="935" customFormat="false" ht="15.75" hidden="false" customHeight="true" outlineLevel="0" collapsed="false">
      <c r="A935" s="18"/>
      <c r="B935" s="18"/>
      <c r="C935" s="19"/>
      <c r="D935" s="20"/>
      <c r="E935" s="20"/>
      <c r="F935" s="20"/>
      <c r="G935" s="20" t="str">
        <f aca="false">IF(COUNTBLANK(D935:F935)=3,"",IF(OR(D935="Fail",E935="Fail",F935="Fail"),"Fail",IF(AND(D935="Pass",E935="Pass",F935="Pass"),"Pass","Incomplete")))</f>
        <v/>
      </c>
      <c r="H935" s="18"/>
      <c r="I935" s="18"/>
    </row>
    <row r="936" customFormat="false" ht="15.75" hidden="false" customHeight="true" outlineLevel="0" collapsed="false">
      <c r="A936" s="18"/>
      <c r="B936" s="18"/>
      <c r="C936" s="19"/>
      <c r="D936" s="20"/>
      <c r="E936" s="20"/>
      <c r="F936" s="20"/>
      <c r="G936" s="20" t="str">
        <f aca="false">IF(COUNTBLANK(D936:F936)=3,"",IF(OR(D936="Fail",E936="Fail",F936="Fail"),"Fail",IF(AND(D936="Pass",E936="Pass",F936="Pass"),"Pass","Incomplete")))</f>
        <v/>
      </c>
      <c r="H936" s="18"/>
      <c r="I936" s="18"/>
    </row>
    <row r="937" customFormat="false" ht="15.75" hidden="false" customHeight="true" outlineLevel="0" collapsed="false">
      <c r="A937" s="18"/>
      <c r="B937" s="18"/>
      <c r="C937" s="19"/>
      <c r="D937" s="20"/>
      <c r="E937" s="20"/>
      <c r="F937" s="20"/>
      <c r="G937" s="20" t="str">
        <f aca="false">IF(COUNTBLANK(D937:F937)=3,"",IF(OR(D937="Fail",E937="Fail",F937="Fail"),"Fail",IF(AND(D937="Pass",E937="Pass",F937="Pass"),"Pass","Incomplete")))</f>
        <v/>
      </c>
      <c r="H937" s="18"/>
      <c r="I937" s="18"/>
    </row>
    <row r="938" customFormat="false" ht="15.75" hidden="false" customHeight="true" outlineLevel="0" collapsed="false">
      <c r="A938" s="18"/>
      <c r="B938" s="18"/>
      <c r="C938" s="19"/>
      <c r="D938" s="20"/>
      <c r="E938" s="20"/>
      <c r="F938" s="20"/>
      <c r="G938" s="20" t="str">
        <f aca="false">IF(COUNTBLANK(D938:F938)=3,"",IF(OR(D938="Fail",E938="Fail",F938="Fail"),"Fail",IF(AND(D938="Pass",E938="Pass",F938="Pass"),"Pass","Incomplete")))</f>
        <v/>
      </c>
      <c r="H938" s="18"/>
      <c r="I938" s="18"/>
    </row>
    <row r="939" customFormat="false" ht="15.75" hidden="false" customHeight="true" outlineLevel="0" collapsed="false">
      <c r="A939" s="18"/>
      <c r="B939" s="18"/>
      <c r="C939" s="19"/>
      <c r="D939" s="20"/>
      <c r="E939" s="20"/>
      <c r="F939" s="20"/>
      <c r="G939" s="20" t="str">
        <f aca="false">IF(COUNTBLANK(D939:F939)=3,"",IF(OR(D939="Fail",E939="Fail",F939="Fail"),"Fail",IF(AND(D939="Pass",E939="Pass",F939="Pass"),"Pass","Incomplete")))</f>
        <v/>
      </c>
      <c r="H939" s="18"/>
      <c r="I939" s="18"/>
    </row>
    <row r="940" customFormat="false" ht="15.75" hidden="false" customHeight="true" outlineLevel="0" collapsed="false">
      <c r="A940" s="18"/>
      <c r="B940" s="18"/>
      <c r="C940" s="19"/>
      <c r="D940" s="20"/>
      <c r="E940" s="20"/>
      <c r="F940" s="20"/>
      <c r="G940" s="20" t="str">
        <f aca="false">IF(COUNTBLANK(D940:F940)=3,"",IF(OR(D940="Fail",E940="Fail",F940="Fail"),"Fail",IF(AND(D940="Pass",E940="Pass",F940="Pass"),"Pass","Incomplete")))</f>
        <v/>
      </c>
      <c r="H940" s="18"/>
      <c r="I940" s="18"/>
    </row>
    <row r="941" customFormat="false" ht="15.75" hidden="false" customHeight="true" outlineLevel="0" collapsed="false">
      <c r="A941" s="18"/>
      <c r="B941" s="18"/>
      <c r="C941" s="19"/>
      <c r="D941" s="20"/>
      <c r="E941" s="20"/>
      <c r="F941" s="20"/>
      <c r="G941" s="20" t="str">
        <f aca="false">IF(COUNTBLANK(D941:F941)=3,"",IF(OR(D941="Fail",E941="Fail",F941="Fail"),"Fail",IF(AND(D941="Pass",E941="Pass",F941="Pass"),"Pass","Incomplete")))</f>
        <v/>
      </c>
      <c r="H941" s="18"/>
      <c r="I941" s="18"/>
    </row>
    <row r="942" customFormat="false" ht="15.75" hidden="false" customHeight="true" outlineLevel="0" collapsed="false">
      <c r="A942" s="18"/>
      <c r="B942" s="18"/>
      <c r="C942" s="19"/>
      <c r="D942" s="20"/>
      <c r="E942" s="20"/>
      <c r="F942" s="20"/>
      <c r="G942" s="20" t="str">
        <f aca="false">IF(COUNTBLANK(D942:F942)=3,"",IF(OR(D942="Fail",E942="Fail",F942="Fail"),"Fail",IF(AND(D942="Pass",E942="Pass",F942="Pass"),"Pass","Incomplete")))</f>
        <v/>
      </c>
      <c r="H942" s="18"/>
      <c r="I942" s="18"/>
    </row>
    <row r="943" customFormat="false" ht="15.75" hidden="false" customHeight="true" outlineLevel="0" collapsed="false">
      <c r="A943" s="18"/>
      <c r="B943" s="18"/>
      <c r="C943" s="19"/>
      <c r="D943" s="20"/>
      <c r="E943" s="20"/>
      <c r="F943" s="20"/>
      <c r="G943" s="20" t="str">
        <f aca="false">IF(COUNTBLANK(D943:F943)=3,"",IF(OR(D943="Fail",E943="Fail",F943="Fail"),"Fail",IF(AND(D943="Pass",E943="Pass",F943="Pass"),"Pass","Incomplete")))</f>
        <v/>
      </c>
      <c r="H943" s="18"/>
      <c r="I943" s="18"/>
    </row>
    <row r="944" customFormat="false" ht="15.75" hidden="false" customHeight="true" outlineLevel="0" collapsed="false">
      <c r="A944" s="18"/>
      <c r="B944" s="18"/>
      <c r="C944" s="19"/>
      <c r="D944" s="20"/>
      <c r="E944" s="20"/>
      <c r="F944" s="20"/>
      <c r="G944" s="20" t="str">
        <f aca="false">IF(COUNTBLANK(D944:F944)=3,"",IF(OR(D944="Fail",E944="Fail",F944="Fail"),"Fail",IF(AND(D944="Pass",E944="Pass",F944="Pass"),"Pass","Incomplete")))</f>
        <v/>
      </c>
      <c r="H944" s="18"/>
      <c r="I944" s="18"/>
    </row>
    <row r="945" customFormat="false" ht="15.75" hidden="false" customHeight="true" outlineLevel="0" collapsed="false">
      <c r="A945" s="18"/>
      <c r="B945" s="18"/>
      <c r="C945" s="19"/>
      <c r="D945" s="20"/>
      <c r="E945" s="20"/>
      <c r="F945" s="20"/>
      <c r="G945" s="20" t="str">
        <f aca="false">IF(COUNTBLANK(D945:F945)=3,"",IF(OR(D945="Fail",E945="Fail",F945="Fail"),"Fail",IF(AND(D945="Pass",E945="Pass",F945="Pass"),"Pass","Incomplete")))</f>
        <v/>
      </c>
      <c r="H945" s="18"/>
      <c r="I945" s="18"/>
    </row>
    <row r="946" customFormat="false" ht="15.75" hidden="false" customHeight="true" outlineLevel="0" collapsed="false">
      <c r="A946" s="18"/>
      <c r="B946" s="18"/>
      <c r="C946" s="19"/>
      <c r="D946" s="20"/>
      <c r="E946" s="20"/>
      <c r="F946" s="20"/>
      <c r="G946" s="20" t="str">
        <f aca="false">IF(COUNTBLANK(D946:F946)=3,"",IF(OR(D946="Fail",E946="Fail",F946="Fail"),"Fail",IF(AND(D946="Pass",E946="Pass",F946="Pass"),"Pass","Incomplete")))</f>
        <v/>
      </c>
      <c r="H946" s="18"/>
      <c r="I946" s="18"/>
    </row>
    <row r="947" customFormat="false" ht="15.75" hidden="false" customHeight="true" outlineLevel="0" collapsed="false">
      <c r="A947" s="18"/>
      <c r="B947" s="18"/>
      <c r="C947" s="19"/>
      <c r="D947" s="20"/>
      <c r="E947" s="20"/>
      <c r="F947" s="20"/>
      <c r="G947" s="20" t="str">
        <f aca="false">IF(COUNTBLANK(D947:F947)=3,"",IF(OR(D947="Fail",E947="Fail",F947="Fail"),"Fail",IF(AND(D947="Pass",E947="Pass",F947="Pass"),"Pass","Incomplete")))</f>
        <v/>
      </c>
      <c r="H947" s="18"/>
      <c r="I947" s="18"/>
    </row>
    <row r="948" customFormat="false" ht="15.75" hidden="false" customHeight="true" outlineLevel="0" collapsed="false">
      <c r="A948" s="18"/>
      <c r="B948" s="18"/>
      <c r="C948" s="19"/>
      <c r="D948" s="20"/>
      <c r="E948" s="20"/>
      <c r="F948" s="20"/>
      <c r="G948" s="20" t="str">
        <f aca="false">IF(COUNTBLANK(D948:F948)=3,"",IF(OR(D948="Fail",E948="Fail",F948="Fail"),"Fail",IF(AND(D948="Pass",E948="Pass",F948="Pass"),"Pass","Incomplete")))</f>
        <v/>
      </c>
      <c r="H948" s="18"/>
      <c r="I948" s="18"/>
    </row>
    <row r="949" customFormat="false" ht="15.75" hidden="false" customHeight="true" outlineLevel="0" collapsed="false">
      <c r="A949" s="18"/>
      <c r="B949" s="18"/>
      <c r="C949" s="19"/>
      <c r="D949" s="20"/>
      <c r="E949" s="20"/>
      <c r="F949" s="20"/>
      <c r="G949" s="20" t="str">
        <f aca="false">IF(COUNTBLANK(D949:F949)=3,"",IF(OR(D949="Fail",E949="Fail",F949="Fail"),"Fail",IF(AND(D949="Pass",E949="Pass",F949="Pass"),"Pass","Incomplete")))</f>
        <v/>
      </c>
      <c r="H949" s="18"/>
      <c r="I949" s="18"/>
    </row>
    <row r="950" customFormat="false" ht="15.75" hidden="false" customHeight="true" outlineLevel="0" collapsed="false">
      <c r="A950" s="18"/>
      <c r="B950" s="18"/>
      <c r="C950" s="19"/>
      <c r="D950" s="20"/>
      <c r="E950" s="20"/>
      <c r="F950" s="20"/>
      <c r="G950" s="20" t="str">
        <f aca="false">IF(COUNTBLANK(D950:F950)=3,"",IF(OR(D950="Fail",E950="Fail",F950="Fail"),"Fail",IF(AND(D950="Pass",E950="Pass",F950="Pass"),"Pass","Incomplete")))</f>
        <v/>
      </c>
      <c r="H950" s="18"/>
      <c r="I950" s="18"/>
    </row>
    <row r="951" customFormat="false" ht="15.75" hidden="false" customHeight="true" outlineLevel="0" collapsed="false">
      <c r="A951" s="18"/>
      <c r="B951" s="18"/>
      <c r="C951" s="19"/>
      <c r="D951" s="20"/>
      <c r="E951" s="20"/>
      <c r="F951" s="20"/>
      <c r="G951" s="20" t="str">
        <f aca="false">IF(COUNTBLANK(D951:F951)=3,"",IF(OR(D951="Fail",E951="Fail",F951="Fail"),"Fail",IF(AND(D951="Pass",E951="Pass",F951="Pass"),"Pass","Incomplete")))</f>
        <v/>
      </c>
      <c r="H951" s="18"/>
      <c r="I951" s="18"/>
    </row>
    <row r="952" customFormat="false" ht="15.75" hidden="false" customHeight="true" outlineLevel="0" collapsed="false">
      <c r="A952" s="18"/>
      <c r="B952" s="18"/>
      <c r="C952" s="19"/>
      <c r="D952" s="20"/>
      <c r="E952" s="20"/>
      <c r="F952" s="20"/>
      <c r="G952" s="20" t="str">
        <f aca="false">IF(COUNTBLANK(D952:F952)=3,"",IF(OR(D952="Fail",E952="Fail",F952="Fail"),"Fail",IF(AND(D952="Pass",E952="Pass",F952="Pass"),"Pass","Incomplete")))</f>
        <v/>
      </c>
      <c r="H952" s="18"/>
      <c r="I952" s="18"/>
    </row>
    <row r="953" customFormat="false" ht="15.75" hidden="false" customHeight="true" outlineLevel="0" collapsed="false">
      <c r="A953" s="18"/>
      <c r="B953" s="18"/>
      <c r="C953" s="19"/>
      <c r="D953" s="20"/>
      <c r="E953" s="20"/>
      <c r="F953" s="20"/>
      <c r="G953" s="20" t="str">
        <f aca="false">IF(COUNTBLANK(D953:F953)=3,"",IF(OR(D953="Fail",E953="Fail",F953="Fail"),"Fail",IF(AND(D953="Pass",E953="Pass",F953="Pass"),"Pass","Incomplete")))</f>
        <v/>
      </c>
      <c r="H953" s="18"/>
      <c r="I953" s="18"/>
    </row>
    <row r="954" customFormat="false" ht="15.75" hidden="false" customHeight="true" outlineLevel="0" collapsed="false">
      <c r="A954" s="18"/>
      <c r="B954" s="18"/>
      <c r="C954" s="19"/>
      <c r="D954" s="20"/>
      <c r="E954" s="20"/>
      <c r="F954" s="20"/>
      <c r="G954" s="20" t="str">
        <f aca="false">IF(COUNTBLANK(D954:F954)=3,"",IF(OR(D954="Fail",E954="Fail",F954="Fail"),"Fail",IF(AND(D954="Pass",E954="Pass",F954="Pass"),"Pass","Incomplete")))</f>
        <v/>
      </c>
      <c r="H954" s="18"/>
      <c r="I954" s="18"/>
    </row>
    <row r="955" customFormat="false" ht="15.75" hidden="false" customHeight="true" outlineLevel="0" collapsed="false">
      <c r="A955" s="18"/>
      <c r="B955" s="18"/>
      <c r="C955" s="19"/>
      <c r="D955" s="20"/>
      <c r="E955" s="20"/>
      <c r="F955" s="20"/>
      <c r="G955" s="20" t="str">
        <f aca="false">IF(COUNTBLANK(D955:F955)=3,"",IF(OR(D955="Fail",E955="Fail",F955="Fail"),"Fail",IF(AND(D955="Pass",E955="Pass",F955="Pass"),"Pass","Incomplete")))</f>
        <v/>
      </c>
      <c r="H955" s="18"/>
      <c r="I955" s="18"/>
    </row>
    <row r="956" customFormat="false" ht="15.75" hidden="false" customHeight="true" outlineLevel="0" collapsed="false">
      <c r="A956" s="18"/>
      <c r="B956" s="18"/>
      <c r="C956" s="19"/>
      <c r="D956" s="20"/>
      <c r="E956" s="20"/>
      <c r="F956" s="20"/>
      <c r="G956" s="20" t="str">
        <f aca="false">IF(COUNTBLANK(D956:F956)=3,"",IF(OR(D956="Fail",E956="Fail",F956="Fail"),"Fail",IF(AND(D956="Pass",E956="Pass",F956="Pass"),"Pass","Incomplete")))</f>
        <v/>
      </c>
      <c r="H956" s="18"/>
      <c r="I956" s="18"/>
    </row>
    <row r="957" customFormat="false" ht="15.75" hidden="false" customHeight="true" outlineLevel="0" collapsed="false">
      <c r="A957" s="18"/>
      <c r="B957" s="18"/>
      <c r="C957" s="19"/>
      <c r="D957" s="20"/>
      <c r="E957" s="20"/>
      <c r="F957" s="20"/>
      <c r="G957" s="20" t="str">
        <f aca="false">IF(COUNTBLANK(D957:F957)=3,"",IF(OR(D957="Fail",E957="Fail",F957="Fail"),"Fail",IF(AND(D957="Pass",E957="Pass",F957="Pass"),"Pass","Incomplete")))</f>
        <v/>
      </c>
      <c r="H957" s="18"/>
      <c r="I957" s="18"/>
    </row>
    <row r="958" customFormat="false" ht="15.75" hidden="false" customHeight="true" outlineLevel="0" collapsed="false">
      <c r="A958" s="18"/>
      <c r="B958" s="18"/>
      <c r="C958" s="19"/>
      <c r="D958" s="20"/>
      <c r="E958" s="20"/>
      <c r="F958" s="20"/>
      <c r="G958" s="20" t="str">
        <f aca="false">IF(COUNTBLANK(D958:F958)=3,"",IF(OR(D958="Fail",E958="Fail",F958="Fail"),"Fail",IF(AND(D958="Pass",E958="Pass",F958="Pass"),"Pass","Incomplete")))</f>
        <v/>
      </c>
      <c r="H958" s="18"/>
      <c r="I958" s="18"/>
    </row>
    <row r="959" customFormat="false" ht="15.75" hidden="false" customHeight="true" outlineLevel="0" collapsed="false">
      <c r="A959" s="18"/>
      <c r="B959" s="18"/>
      <c r="C959" s="19"/>
      <c r="D959" s="20"/>
      <c r="E959" s="20"/>
      <c r="F959" s="20"/>
      <c r="G959" s="20" t="str">
        <f aca="false">IF(COUNTBLANK(D959:F959)=3,"",IF(OR(D959="Fail",E959="Fail",F959="Fail"),"Fail",IF(AND(D959="Pass",E959="Pass",F959="Pass"),"Pass","Incomplete")))</f>
        <v/>
      </c>
      <c r="H959" s="18"/>
      <c r="I959" s="18"/>
    </row>
    <row r="960" customFormat="false" ht="15.75" hidden="false" customHeight="true" outlineLevel="0" collapsed="false">
      <c r="A960" s="18"/>
      <c r="B960" s="18"/>
      <c r="C960" s="19"/>
      <c r="D960" s="20"/>
      <c r="E960" s="20"/>
      <c r="F960" s="20"/>
      <c r="G960" s="20" t="str">
        <f aca="false">IF(COUNTBLANK(D960:F960)=3,"",IF(OR(D960="Fail",E960="Fail",F960="Fail"),"Fail",IF(AND(D960="Pass",E960="Pass",F960="Pass"),"Pass","Incomplete")))</f>
        <v/>
      </c>
      <c r="H960" s="18"/>
      <c r="I960" s="18"/>
    </row>
    <row r="961" customFormat="false" ht="15.75" hidden="false" customHeight="true" outlineLevel="0" collapsed="false">
      <c r="A961" s="18"/>
      <c r="B961" s="18"/>
      <c r="C961" s="19"/>
      <c r="D961" s="20"/>
      <c r="E961" s="20"/>
      <c r="F961" s="20"/>
      <c r="G961" s="20" t="str">
        <f aca="false">IF(COUNTBLANK(D961:F961)=3,"",IF(OR(D961="Fail",E961="Fail",F961="Fail"),"Fail",IF(AND(D961="Pass",E961="Pass",F961="Pass"),"Pass","Incomplete")))</f>
        <v/>
      </c>
      <c r="H961" s="18"/>
      <c r="I961" s="18"/>
    </row>
    <row r="962" customFormat="false" ht="15.75" hidden="false" customHeight="true" outlineLevel="0" collapsed="false">
      <c r="A962" s="18"/>
      <c r="B962" s="18"/>
      <c r="C962" s="19"/>
      <c r="D962" s="20"/>
      <c r="E962" s="20"/>
      <c r="F962" s="20"/>
      <c r="G962" s="20" t="str">
        <f aca="false">IF(COUNTBLANK(D962:F962)=3,"",IF(OR(D962="Fail",E962="Fail",F962="Fail"),"Fail",IF(AND(D962="Pass",E962="Pass",F962="Pass"),"Pass","Incomplete")))</f>
        <v/>
      </c>
      <c r="H962" s="18"/>
      <c r="I962" s="18"/>
    </row>
    <row r="963" customFormat="false" ht="15.75" hidden="false" customHeight="true" outlineLevel="0" collapsed="false">
      <c r="A963" s="18"/>
      <c r="B963" s="18"/>
      <c r="C963" s="19"/>
      <c r="D963" s="20"/>
      <c r="E963" s="20"/>
      <c r="F963" s="20"/>
      <c r="G963" s="20" t="str">
        <f aca="false">IF(COUNTBLANK(D963:F963)=3,"",IF(OR(D963="Fail",E963="Fail",F963="Fail"),"Fail",IF(AND(D963="Pass",E963="Pass",F963="Pass"),"Pass","Incomplete")))</f>
        <v/>
      </c>
      <c r="H963" s="18"/>
      <c r="I963" s="18"/>
    </row>
    <row r="964" customFormat="false" ht="15.75" hidden="false" customHeight="true" outlineLevel="0" collapsed="false">
      <c r="A964" s="18"/>
      <c r="B964" s="18"/>
      <c r="C964" s="19"/>
      <c r="D964" s="20"/>
      <c r="E964" s="20"/>
      <c r="F964" s="20"/>
      <c r="G964" s="20" t="str">
        <f aca="false">IF(COUNTBLANK(D964:F964)=3,"",IF(OR(D964="Fail",E964="Fail",F964="Fail"),"Fail",IF(AND(D964="Pass",E964="Pass",F964="Pass"),"Pass","Incomplete")))</f>
        <v/>
      </c>
      <c r="H964" s="18"/>
      <c r="I964" s="18"/>
    </row>
    <row r="965" customFormat="false" ht="15.75" hidden="false" customHeight="true" outlineLevel="0" collapsed="false">
      <c r="A965" s="18"/>
      <c r="B965" s="18"/>
      <c r="C965" s="19"/>
      <c r="D965" s="20"/>
      <c r="E965" s="20"/>
      <c r="F965" s="20"/>
      <c r="G965" s="20" t="str">
        <f aca="false">IF(COUNTBLANK(D965:F965)=3,"",IF(OR(D965="Fail",E965="Fail",F965="Fail"),"Fail",IF(AND(D965="Pass",E965="Pass",F965="Pass"),"Pass","Incomplete")))</f>
        <v/>
      </c>
      <c r="H965" s="18"/>
      <c r="I965" s="18"/>
    </row>
    <row r="966" customFormat="false" ht="15.75" hidden="false" customHeight="true" outlineLevel="0" collapsed="false">
      <c r="A966" s="18"/>
      <c r="B966" s="18"/>
      <c r="C966" s="19"/>
      <c r="D966" s="20"/>
      <c r="E966" s="20"/>
      <c r="F966" s="20"/>
      <c r="G966" s="20" t="str">
        <f aca="false">IF(COUNTBLANK(D966:F966)=3,"",IF(OR(D966="Fail",E966="Fail",F966="Fail"),"Fail",IF(AND(D966="Pass",E966="Pass",F966="Pass"),"Pass","Incomplete")))</f>
        <v/>
      </c>
      <c r="H966" s="18"/>
      <c r="I966" s="18"/>
    </row>
    <row r="967" customFormat="false" ht="15.75" hidden="false" customHeight="true" outlineLevel="0" collapsed="false">
      <c r="A967" s="18"/>
      <c r="B967" s="18"/>
      <c r="C967" s="19"/>
      <c r="D967" s="20"/>
      <c r="E967" s="20"/>
      <c r="F967" s="20"/>
      <c r="G967" s="20" t="str">
        <f aca="false">IF(COUNTBLANK(D967:F967)=3,"",IF(OR(D967="Fail",E967="Fail",F967="Fail"),"Fail",IF(AND(D967="Pass",E967="Pass",F967="Pass"),"Pass","Incomplete")))</f>
        <v/>
      </c>
      <c r="H967" s="18"/>
      <c r="I967" s="18"/>
    </row>
    <row r="968" customFormat="false" ht="15.75" hidden="false" customHeight="true" outlineLevel="0" collapsed="false">
      <c r="A968" s="18"/>
      <c r="B968" s="18"/>
      <c r="C968" s="19"/>
      <c r="D968" s="20"/>
      <c r="E968" s="20"/>
      <c r="F968" s="20"/>
      <c r="G968" s="20" t="str">
        <f aca="false">IF(COUNTBLANK(D968:F968)=3,"",IF(OR(D968="Fail",E968="Fail",F968="Fail"),"Fail",IF(AND(D968="Pass",E968="Pass",F968="Pass"),"Pass","Incomplete")))</f>
        <v/>
      </c>
      <c r="H968" s="18"/>
      <c r="I968" s="18"/>
    </row>
    <row r="969" customFormat="false" ht="15.75" hidden="false" customHeight="true" outlineLevel="0" collapsed="false">
      <c r="A969" s="18"/>
      <c r="B969" s="18"/>
      <c r="C969" s="19"/>
      <c r="D969" s="20"/>
      <c r="E969" s="20"/>
      <c r="F969" s="20"/>
      <c r="G969" s="20" t="str">
        <f aca="false">IF(COUNTBLANK(D969:F969)=3,"",IF(OR(D969="Fail",E969="Fail",F969="Fail"),"Fail",IF(AND(D969="Pass",E969="Pass",F969="Pass"),"Pass","Incomplete")))</f>
        <v/>
      </c>
      <c r="H969" s="18"/>
      <c r="I969" s="18"/>
    </row>
    <row r="970" customFormat="false" ht="15.75" hidden="false" customHeight="true" outlineLevel="0" collapsed="false">
      <c r="A970" s="18"/>
      <c r="B970" s="18"/>
      <c r="C970" s="19"/>
      <c r="D970" s="20"/>
      <c r="E970" s="20"/>
      <c r="F970" s="20"/>
      <c r="G970" s="20" t="str">
        <f aca="false">IF(COUNTBLANK(D970:F970)=3,"",IF(OR(D970="Fail",E970="Fail",F970="Fail"),"Fail",IF(AND(D970="Pass",E970="Pass",F970="Pass"),"Pass","Incomplete")))</f>
        <v/>
      </c>
      <c r="H970" s="18"/>
      <c r="I970" s="18"/>
    </row>
    <row r="971" customFormat="false" ht="15.75" hidden="false" customHeight="true" outlineLevel="0" collapsed="false">
      <c r="A971" s="18"/>
      <c r="B971" s="18"/>
      <c r="C971" s="19"/>
      <c r="D971" s="20"/>
      <c r="E971" s="20"/>
      <c r="F971" s="20"/>
      <c r="G971" s="20" t="str">
        <f aca="false">IF(COUNTBLANK(D971:F971)=3,"",IF(OR(D971="Fail",E971="Fail",F971="Fail"),"Fail",IF(AND(D971="Pass",E971="Pass",F971="Pass"),"Pass","Incomplete")))</f>
        <v/>
      </c>
      <c r="H971" s="18"/>
      <c r="I971" s="18"/>
    </row>
    <row r="972" customFormat="false" ht="15.75" hidden="false" customHeight="true" outlineLevel="0" collapsed="false">
      <c r="A972" s="18"/>
      <c r="B972" s="18"/>
      <c r="C972" s="19"/>
      <c r="D972" s="20"/>
      <c r="E972" s="20"/>
      <c r="F972" s="20"/>
      <c r="G972" s="20" t="str">
        <f aca="false">IF(COUNTBLANK(D972:F972)=3,"",IF(OR(D972="Fail",E972="Fail",F972="Fail"),"Fail",IF(AND(D972="Pass",E972="Pass",F972="Pass"),"Pass","Incomplete")))</f>
        <v/>
      </c>
      <c r="H972" s="18"/>
      <c r="I972" s="18"/>
    </row>
    <row r="973" customFormat="false" ht="15.75" hidden="false" customHeight="true" outlineLevel="0" collapsed="false">
      <c r="A973" s="18"/>
      <c r="B973" s="18"/>
      <c r="C973" s="19"/>
      <c r="D973" s="20"/>
      <c r="E973" s="20"/>
      <c r="F973" s="20"/>
      <c r="G973" s="20" t="str">
        <f aca="false">IF(COUNTBLANK(D973:F973)=3,"",IF(OR(D973="Fail",E973="Fail",F973="Fail"),"Fail",IF(AND(D973="Pass",E973="Pass",F973="Pass"),"Pass","Incomplete")))</f>
        <v/>
      </c>
      <c r="H973" s="18"/>
      <c r="I973" s="18"/>
    </row>
    <row r="974" customFormat="false" ht="15.75" hidden="false" customHeight="true" outlineLevel="0" collapsed="false">
      <c r="A974" s="18"/>
      <c r="B974" s="18"/>
      <c r="C974" s="19"/>
      <c r="D974" s="20"/>
      <c r="E974" s="20"/>
      <c r="F974" s="20"/>
      <c r="G974" s="20" t="str">
        <f aca="false">IF(COUNTBLANK(D974:F974)=3,"",IF(OR(D974="Fail",E974="Fail",F974="Fail"),"Fail",IF(AND(D974="Pass",E974="Pass",F974="Pass"),"Pass","Incomplete")))</f>
        <v/>
      </c>
      <c r="H974" s="18"/>
      <c r="I974" s="18"/>
    </row>
    <row r="975" customFormat="false" ht="15.75" hidden="false" customHeight="true" outlineLevel="0" collapsed="false">
      <c r="A975" s="18"/>
      <c r="B975" s="18"/>
      <c r="C975" s="19"/>
      <c r="D975" s="20"/>
      <c r="E975" s="20"/>
      <c r="F975" s="20"/>
      <c r="G975" s="20" t="str">
        <f aca="false">IF(COUNTBLANK(D975:F975)=3,"",IF(OR(D975="Fail",E975="Fail",F975="Fail"),"Fail",IF(AND(D975="Pass",E975="Pass",F975="Pass"),"Pass","Incomplete")))</f>
        <v/>
      </c>
      <c r="H975" s="18"/>
      <c r="I975" s="18"/>
    </row>
    <row r="976" customFormat="false" ht="15.75" hidden="false" customHeight="true" outlineLevel="0" collapsed="false">
      <c r="A976" s="18"/>
      <c r="B976" s="18"/>
      <c r="C976" s="19"/>
      <c r="D976" s="20"/>
      <c r="E976" s="20"/>
      <c r="F976" s="20"/>
      <c r="G976" s="20" t="str">
        <f aca="false">IF(COUNTBLANK(D976:F976)=3,"",IF(OR(D976="Fail",E976="Fail",F976="Fail"),"Fail",IF(AND(D976="Pass",E976="Pass",F976="Pass"),"Pass","Incomplete")))</f>
        <v/>
      </c>
      <c r="H976" s="18"/>
      <c r="I976" s="18"/>
    </row>
    <row r="977" customFormat="false" ht="15.75" hidden="false" customHeight="true" outlineLevel="0" collapsed="false">
      <c r="A977" s="18"/>
      <c r="B977" s="18"/>
      <c r="C977" s="19"/>
      <c r="D977" s="20"/>
      <c r="E977" s="20"/>
      <c r="F977" s="20"/>
      <c r="G977" s="20" t="str">
        <f aca="false">IF(COUNTBLANK(D977:F977)=3,"",IF(OR(D977="Fail",E977="Fail",F977="Fail"),"Fail",IF(AND(D977="Pass",E977="Pass",F977="Pass"),"Pass","Incomplete")))</f>
        <v/>
      </c>
      <c r="H977" s="18"/>
      <c r="I977" s="18"/>
    </row>
    <row r="978" customFormat="false" ht="15.75" hidden="false" customHeight="true" outlineLevel="0" collapsed="false">
      <c r="A978" s="18"/>
      <c r="B978" s="18"/>
      <c r="C978" s="19"/>
      <c r="D978" s="20"/>
      <c r="E978" s="20"/>
      <c r="F978" s="20"/>
      <c r="G978" s="20" t="str">
        <f aca="false">IF(COUNTBLANK(D978:F978)=3,"",IF(OR(D978="Fail",E978="Fail",F978="Fail"),"Fail",IF(AND(D978="Pass",E978="Pass",F978="Pass"),"Pass","Incomplete")))</f>
        <v/>
      </c>
      <c r="H978" s="18"/>
      <c r="I978" s="18"/>
    </row>
    <row r="979" customFormat="false" ht="15.75" hidden="false" customHeight="true" outlineLevel="0" collapsed="false">
      <c r="A979" s="18"/>
      <c r="B979" s="18"/>
      <c r="C979" s="19"/>
      <c r="D979" s="20"/>
      <c r="E979" s="20"/>
      <c r="F979" s="20"/>
      <c r="G979" s="20" t="str">
        <f aca="false">IF(COUNTBLANK(D979:F979)=3,"",IF(OR(D979="Fail",E979="Fail",F979="Fail"),"Fail",IF(AND(D979="Pass",E979="Pass",F979="Pass"),"Pass","Incomplete")))</f>
        <v/>
      </c>
      <c r="H979" s="18"/>
      <c r="I979" s="18"/>
    </row>
    <row r="980" customFormat="false" ht="15.75" hidden="false" customHeight="true" outlineLevel="0" collapsed="false">
      <c r="A980" s="18"/>
      <c r="B980" s="18"/>
      <c r="C980" s="19"/>
      <c r="D980" s="20"/>
      <c r="E980" s="20"/>
      <c r="F980" s="20"/>
      <c r="G980" s="20" t="str">
        <f aca="false">IF(COUNTBLANK(D980:F980)=3,"",IF(OR(D980="Fail",E980="Fail",F980="Fail"),"Fail",IF(AND(D980="Pass",E980="Pass",F980="Pass"),"Pass","Incomplete")))</f>
        <v/>
      </c>
      <c r="H980" s="18"/>
      <c r="I980" s="18"/>
    </row>
    <row r="981" customFormat="false" ht="15.75" hidden="false" customHeight="true" outlineLevel="0" collapsed="false">
      <c r="A981" s="18"/>
      <c r="B981" s="18"/>
      <c r="C981" s="19"/>
      <c r="D981" s="20"/>
      <c r="E981" s="20"/>
      <c r="F981" s="20"/>
      <c r="G981" s="20" t="str">
        <f aca="false">IF(COUNTBLANK(D981:F981)=3,"",IF(OR(D981="Fail",E981="Fail",F981="Fail"),"Fail",IF(AND(D981="Pass",E981="Pass",F981="Pass"),"Pass","Incomplete")))</f>
        <v/>
      </c>
      <c r="H981" s="18"/>
      <c r="I981" s="18"/>
    </row>
    <row r="982" customFormat="false" ht="15.75" hidden="false" customHeight="true" outlineLevel="0" collapsed="false">
      <c r="A982" s="18"/>
      <c r="B982" s="18"/>
      <c r="C982" s="19"/>
      <c r="D982" s="20"/>
      <c r="E982" s="20"/>
      <c r="F982" s="20"/>
      <c r="G982" s="20" t="str">
        <f aca="false">IF(COUNTBLANK(D982:F982)=3,"",IF(OR(D982="Fail",E982="Fail",F982="Fail"),"Fail",IF(AND(D982="Pass",E982="Pass",F982="Pass"),"Pass","Incomplete")))</f>
        <v/>
      </c>
      <c r="H982" s="18"/>
      <c r="I982" s="18"/>
    </row>
    <row r="983" customFormat="false" ht="15.75" hidden="false" customHeight="true" outlineLevel="0" collapsed="false">
      <c r="A983" s="18"/>
      <c r="B983" s="18"/>
      <c r="C983" s="19"/>
      <c r="D983" s="20"/>
      <c r="E983" s="20"/>
      <c r="F983" s="20"/>
      <c r="G983" s="20" t="str">
        <f aca="false">IF(COUNTBLANK(D983:F983)=3,"",IF(OR(D983="Fail",E983="Fail",F983="Fail"),"Fail",IF(AND(D983="Pass",E983="Pass",F983="Pass"),"Pass","Incomplete")))</f>
        <v/>
      </c>
      <c r="H983" s="18"/>
      <c r="I983" s="18"/>
    </row>
    <row r="984" customFormat="false" ht="15.75" hidden="false" customHeight="true" outlineLevel="0" collapsed="false">
      <c r="A984" s="18"/>
      <c r="B984" s="18"/>
      <c r="C984" s="19"/>
      <c r="D984" s="20"/>
      <c r="E984" s="20"/>
      <c r="F984" s="20"/>
      <c r="G984" s="20" t="str">
        <f aca="false">IF(COUNTBLANK(D984:F984)=3,"",IF(OR(D984="Fail",E984="Fail",F984="Fail"),"Fail",IF(AND(D984="Pass",E984="Pass",F984="Pass"),"Pass","Incomplete")))</f>
        <v/>
      </c>
      <c r="H984" s="18"/>
      <c r="I984" s="18"/>
    </row>
    <row r="985" customFormat="false" ht="15.75" hidden="false" customHeight="true" outlineLevel="0" collapsed="false">
      <c r="A985" s="18"/>
      <c r="B985" s="18"/>
      <c r="C985" s="19"/>
      <c r="D985" s="20"/>
      <c r="E985" s="20"/>
      <c r="F985" s="20"/>
      <c r="G985" s="20" t="str">
        <f aca="false">IF(COUNTBLANK(D985:F985)=3,"",IF(OR(D985="Fail",E985="Fail",F985="Fail"),"Fail",IF(AND(D985="Pass",E985="Pass",F985="Pass"),"Pass","Incomplete")))</f>
        <v/>
      </c>
      <c r="H985" s="18"/>
      <c r="I985" s="18"/>
    </row>
    <row r="986" customFormat="false" ht="15.75" hidden="false" customHeight="true" outlineLevel="0" collapsed="false">
      <c r="A986" s="18"/>
      <c r="B986" s="18"/>
      <c r="C986" s="19"/>
      <c r="D986" s="20"/>
      <c r="E986" s="20"/>
      <c r="F986" s="20"/>
      <c r="G986" s="20" t="str">
        <f aca="false">IF(COUNTBLANK(D986:F986)=3,"",IF(OR(D986="Fail",E986="Fail",F986="Fail"),"Fail",IF(AND(D986="Pass",E986="Pass",F986="Pass"),"Pass","Incomplete")))</f>
        <v/>
      </c>
      <c r="H986" s="18"/>
      <c r="I986" s="18"/>
    </row>
    <row r="987" customFormat="false" ht="15.75" hidden="false" customHeight="true" outlineLevel="0" collapsed="false">
      <c r="A987" s="18"/>
      <c r="B987" s="18"/>
      <c r="C987" s="19"/>
      <c r="D987" s="20"/>
      <c r="E987" s="20"/>
      <c r="F987" s="20"/>
      <c r="G987" s="20" t="str">
        <f aca="false">IF(COUNTBLANK(D987:F987)=3,"",IF(OR(D987="Fail",E987="Fail",F987="Fail"),"Fail",IF(AND(D987="Pass",E987="Pass",F987="Pass"),"Pass","Incomplete")))</f>
        <v/>
      </c>
      <c r="H987" s="18"/>
      <c r="I987" s="18"/>
    </row>
    <row r="988" customFormat="false" ht="15.75" hidden="false" customHeight="true" outlineLevel="0" collapsed="false">
      <c r="A988" s="18"/>
      <c r="B988" s="18"/>
      <c r="C988" s="19"/>
      <c r="D988" s="20"/>
      <c r="E988" s="20"/>
      <c r="F988" s="20"/>
      <c r="G988" s="20" t="str">
        <f aca="false">IF(COUNTBLANK(D988:F988)=3,"",IF(OR(D988="Fail",E988="Fail",F988="Fail"),"Fail",IF(AND(D988="Pass",E988="Pass",F988="Pass"),"Pass","Incomplete")))</f>
        <v/>
      </c>
      <c r="H988" s="18"/>
      <c r="I988" s="18"/>
    </row>
    <row r="989" customFormat="false" ht="15.75" hidden="false" customHeight="true" outlineLevel="0" collapsed="false">
      <c r="A989" s="18"/>
      <c r="B989" s="18"/>
      <c r="C989" s="19"/>
      <c r="D989" s="20"/>
      <c r="E989" s="20"/>
      <c r="F989" s="20"/>
      <c r="G989" s="20" t="str">
        <f aca="false">IF(COUNTBLANK(D989:F989)=3,"",IF(OR(D989="Fail",E989="Fail",F989="Fail"),"Fail",IF(AND(D989="Pass",E989="Pass",F989="Pass"),"Pass","Incomplete")))</f>
        <v/>
      </c>
      <c r="H989" s="18"/>
      <c r="I989" s="18"/>
    </row>
    <row r="990" customFormat="false" ht="15.75" hidden="false" customHeight="true" outlineLevel="0" collapsed="false">
      <c r="A990" s="18"/>
      <c r="B990" s="18"/>
      <c r="C990" s="19"/>
      <c r="D990" s="20"/>
      <c r="E990" s="20"/>
      <c r="F990" s="20"/>
      <c r="G990" s="20" t="str">
        <f aca="false">IF(COUNTBLANK(D990:F990)=3,"",IF(OR(D990="Fail",E990="Fail",F990="Fail"),"Fail",IF(AND(D990="Pass",E990="Pass",F990="Pass"),"Pass","Incomplete")))</f>
        <v/>
      </c>
      <c r="H990" s="18"/>
      <c r="I990" s="18"/>
    </row>
    <row r="991" customFormat="false" ht="15.75" hidden="false" customHeight="true" outlineLevel="0" collapsed="false">
      <c r="A991" s="18"/>
      <c r="B991" s="18"/>
      <c r="C991" s="19"/>
      <c r="D991" s="20"/>
      <c r="E991" s="20"/>
      <c r="F991" s="20"/>
      <c r="G991" s="20" t="str">
        <f aca="false">IF(COUNTBLANK(D991:F991)=3,"",IF(OR(D991="Fail",E991="Fail",F991="Fail"),"Fail",IF(AND(D991="Pass",E991="Pass",F991="Pass"),"Pass","Incomplete")))</f>
        <v/>
      </c>
      <c r="H991" s="18"/>
      <c r="I991" s="18"/>
    </row>
    <row r="992" customFormat="false" ht="15.75" hidden="false" customHeight="true" outlineLevel="0" collapsed="false">
      <c r="A992" s="18"/>
      <c r="B992" s="18"/>
      <c r="C992" s="19"/>
      <c r="D992" s="20"/>
      <c r="E992" s="20"/>
      <c r="F992" s="20"/>
      <c r="G992" s="20" t="str">
        <f aca="false">IF(COUNTBLANK(D992:F992)=3,"",IF(OR(D992="Fail",E992="Fail",F992="Fail"),"Fail",IF(AND(D992="Pass",E992="Pass",F992="Pass"),"Pass","Incomplete")))</f>
        <v/>
      </c>
      <c r="H992" s="18"/>
      <c r="I992" s="18"/>
    </row>
    <row r="993" customFormat="false" ht="15.75" hidden="false" customHeight="true" outlineLevel="0" collapsed="false">
      <c r="A993" s="18"/>
      <c r="B993" s="18"/>
      <c r="C993" s="19"/>
      <c r="D993" s="20"/>
      <c r="E993" s="20"/>
      <c r="F993" s="20"/>
      <c r="G993" s="20" t="str">
        <f aca="false">IF(COUNTBLANK(D993:F993)=3,"",IF(OR(D993="Fail",E993="Fail",F993="Fail"),"Fail",IF(AND(D993="Pass",E993="Pass",F993="Pass"),"Pass","Incomplete")))</f>
        <v/>
      </c>
      <c r="H993" s="18"/>
      <c r="I993" s="18"/>
    </row>
    <row r="994" customFormat="false" ht="15.75" hidden="false" customHeight="true" outlineLevel="0" collapsed="false">
      <c r="A994" s="18"/>
      <c r="B994" s="18"/>
      <c r="C994" s="19"/>
      <c r="D994" s="20"/>
      <c r="E994" s="20"/>
      <c r="F994" s="20"/>
      <c r="G994" s="20" t="str">
        <f aca="false">IF(COUNTBLANK(D994:F994)=3,"",IF(OR(D994="Fail",E994="Fail",F994="Fail"),"Fail",IF(AND(D994="Pass",E994="Pass",F994="Pass"),"Pass","Incomplete")))</f>
        <v/>
      </c>
      <c r="H994" s="18"/>
      <c r="I994" s="18"/>
    </row>
    <row r="995" customFormat="false" ht="15.75" hidden="false" customHeight="true" outlineLevel="0" collapsed="false">
      <c r="A995" s="18"/>
      <c r="B995" s="18"/>
      <c r="C995" s="19"/>
      <c r="D995" s="20"/>
      <c r="E995" s="20"/>
      <c r="F995" s="20"/>
      <c r="G995" s="20" t="str">
        <f aca="false">IF(COUNTBLANK(D995:F995)=3,"",IF(OR(D995="Fail",E995="Fail",F995="Fail"),"Fail",IF(AND(D995="Pass",E995="Pass",F995="Pass"),"Pass","Incomplete")))</f>
        <v/>
      </c>
      <c r="H995" s="18"/>
      <c r="I995" s="18"/>
    </row>
    <row r="996" customFormat="false" ht="15.75" hidden="false" customHeight="true" outlineLevel="0" collapsed="false">
      <c r="A996" s="18"/>
      <c r="B996" s="18"/>
      <c r="C996" s="19"/>
      <c r="D996" s="20"/>
      <c r="E996" s="20"/>
      <c r="F996" s="20"/>
      <c r="G996" s="20" t="str">
        <f aca="false">IF(COUNTBLANK(D996:F996)=3,"",IF(OR(D996="Fail",E996="Fail",F996="Fail"),"Fail",IF(AND(D996="Pass",E996="Pass",F996="Pass"),"Pass","Incomplete")))</f>
        <v/>
      </c>
      <c r="H996" s="18"/>
      <c r="I996" s="18"/>
    </row>
    <row r="997" customFormat="false" ht="15.75" hidden="false" customHeight="true" outlineLevel="0" collapsed="false">
      <c r="A997" s="18"/>
      <c r="B997" s="18"/>
      <c r="C997" s="19"/>
      <c r="D997" s="20"/>
      <c r="E997" s="20"/>
      <c r="F997" s="20"/>
      <c r="G997" s="20" t="str">
        <f aca="false">IF(COUNTBLANK(D997:F997)=3,"",IF(OR(D997="Fail",E997="Fail",F997="Fail"),"Fail",IF(AND(D997="Pass",E997="Pass",F997="Pass"),"Pass","Incomplete")))</f>
        <v/>
      </c>
      <c r="H997" s="18"/>
      <c r="I997" s="18"/>
    </row>
    <row r="998" customFormat="false" ht="15.75" hidden="false" customHeight="true" outlineLevel="0" collapsed="false">
      <c r="A998" s="18"/>
      <c r="B998" s="18"/>
      <c r="C998" s="19"/>
      <c r="D998" s="20"/>
      <c r="E998" s="20"/>
      <c r="F998" s="20"/>
      <c r="G998" s="20" t="str">
        <f aca="false">IF(COUNTBLANK(D998:F998)=3,"",IF(OR(D998="Fail",E998="Fail",F998="Fail"),"Fail",IF(AND(D998="Pass",E998="Pass",F998="Pass"),"Pass","Incomplete")))</f>
        <v/>
      </c>
      <c r="H998" s="18"/>
      <c r="I998" s="18"/>
    </row>
    <row r="999" customFormat="false" ht="15.75" hidden="false" customHeight="true" outlineLevel="0" collapsed="false">
      <c r="A999" s="18"/>
      <c r="B999" s="18"/>
      <c r="C999" s="19"/>
      <c r="D999" s="20"/>
      <c r="E999" s="20"/>
      <c r="F999" s="20"/>
      <c r="G999" s="20" t="str">
        <f aca="false">IF(COUNTBLANK(D999:F999)=3,"",IF(OR(D999="Fail",E999="Fail",F999="Fail"),"Fail",IF(AND(D999="Pass",E999="Pass",F999="Pass"),"Pass","Incomplete")))</f>
        <v/>
      </c>
      <c r="H999" s="18"/>
      <c r="I999" s="18"/>
    </row>
    <row r="1000" customFormat="false" ht="15.75" hidden="false" customHeight="true" outlineLevel="0" collapsed="false">
      <c r="A1000" s="18"/>
      <c r="B1000" s="18"/>
      <c r="C1000" s="19"/>
      <c r="D1000" s="20"/>
      <c r="E1000" s="20"/>
      <c r="F1000" s="20"/>
      <c r="G1000" s="20" t="str">
        <f aca="false">IF(COUNTBLANK(D1000:F1000)=3,"",IF(OR(D1000="Fail",E1000="Fail",F1000="Fail"),"Fail",IF(AND(D1000="Pass",E1000="Pass",F1000="Pass"),"Pass","Incomplete")))</f>
        <v/>
      </c>
      <c r="H1000" s="18"/>
      <c r="I1000" s="18"/>
    </row>
    <row r="1001" customFormat="false" ht="15.75" hidden="false" customHeight="true" outlineLevel="0" collapsed="false">
      <c r="A1001" s="18"/>
      <c r="B1001" s="18"/>
      <c r="C1001" s="19"/>
      <c r="D1001" s="20"/>
      <c r="E1001" s="20"/>
      <c r="F1001" s="20"/>
      <c r="G1001" s="20" t="str">
        <f aca="false">IF(COUNTBLANK(D1001:F1001)=3,"",IF(OR(D1001="Fail",E1001="Fail",F1001="Fail"),"Fail",IF(AND(D1001="Pass",E1001="Pass",F1001="Pass"),"Pass","Incomplete")))</f>
        <v/>
      </c>
      <c r="H1001" s="18"/>
      <c r="I1001" s="18"/>
    </row>
    <row r="1002" customFormat="false" ht="15.75" hidden="false" customHeight="true" outlineLevel="0" collapsed="false">
      <c r="A1002" s="18"/>
      <c r="B1002" s="18"/>
      <c r="C1002" s="19"/>
      <c r="D1002" s="20"/>
      <c r="E1002" s="20"/>
      <c r="F1002" s="20"/>
      <c r="G1002" s="20" t="str">
        <f aca="false">IF(COUNTBLANK(D1002:F1002)=3,"",IF(OR(D1002="Fail",E1002="Fail",F1002="Fail"),"Fail",IF(AND(D1002="Pass",E1002="Pass",F1002="Pass"),"Pass","Incomplete")))</f>
        <v/>
      </c>
      <c r="H1002" s="18"/>
      <c r="I1002" s="18"/>
    </row>
    <row r="1003" customFormat="false" ht="15.75" hidden="false" customHeight="true" outlineLevel="0" collapsed="false">
      <c r="A1003" s="18"/>
      <c r="B1003" s="18"/>
      <c r="C1003" s="19"/>
      <c r="D1003" s="20"/>
      <c r="E1003" s="20"/>
      <c r="F1003" s="20"/>
      <c r="G1003" s="20" t="str">
        <f aca="false">IF(COUNTBLANK(D1003:F1003)=3,"",IF(OR(D1003="Fail",E1003="Fail",F1003="Fail"),"Fail",IF(AND(D1003="Pass",E1003="Pass",F1003="Pass"),"Pass","Incomplete")))</f>
        <v/>
      </c>
      <c r="H1003" s="18"/>
      <c r="I1003" s="18"/>
    </row>
    <row r="1004" customFormat="false" ht="15.75" hidden="false" customHeight="true" outlineLevel="0" collapsed="false">
      <c r="A1004" s="18"/>
      <c r="B1004" s="18"/>
      <c r="C1004" s="19"/>
      <c r="D1004" s="20"/>
      <c r="E1004" s="20"/>
      <c r="F1004" s="20"/>
      <c r="G1004" s="20" t="str">
        <f aca="false">IF(COUNTBLANK(D1004:F1004)=3,"",IF(OR(D1004="Fail",E1004="Fail",F1004="Fail"),"Fail",IF(AND(D1004="Pass",E1004="Pass",F1004="Pass"),"Pass","Incomplete")))</f>
        <v/>
      </c>
      <c r="H1004" s="18"/>
      <c r="I1004" s="18"/>
    </row>
    <row r="1005" customFormat="false" ht="15.75" hidden="false" customHeight="true" outlineLevel="0" collapsed="false">
      <c r="A1005" s="18"/>
      <c r="B1005" s="18"/>
      <c r="C1005" s="19"/>
      <c r="D1005" s="20"/>
      <c r="E1005" s="20"/>
      <c r="F1005" s="20"/>
      <c r="G1005" s="20" t="str">
        <f aca="false">IF(COUNTBLANK(D1005:F1005)=3,"",IF(OR(D1005="Fail",E1005="Fail",F1005="Fail"),"Fail",IF(AND(D1005="Pass",E1005="Pass",F1005="Pass"),"Pass","Incomplete")))</f>
        <v/>
      </c>
      <c r="H1005" s="18"/>
      <c r="I1005" s="18"/>
    </row>
    <row r="1006" customFormat="false" ht="15.75" hidden="false" customHeight="true" outlineLevel="0" collapsed="false">
      <c r="A1006" s="18"/>
      <c r="B1006" s="18"/>
      <c r="C1006" s="19"/>
      <c r="D1006" s="20"/>
      <c r="E1006" s="20"/>
      <c r="F1006" s="20"/>
      <c r="G1006" s="20" t="str">
        <f aca="false">IF(COUNTBLANK(D1006:F1006)=3,"",IF(OR(D1006="Fail",E1006="Fail",F1006="Fail"),"Fail",IF(AND(D1006="Pass",E1006="Pass",F1006="Pass"),"Pass","Incomplete")))</f>
        <v/>
      </c>
      <c r="H1006" s="18"/>
      <c r="I1006" s="18"/>
    </row>
    <row r="1007" customFormat="false" ht="15.75" hidden="false" customHeight="true" outlineLevel="0" collapsed="false">
      <c r="A1007" s="18"/>
      <c r="B1007" s="18"/>
      <c r="C1007" s="19"/>
      <c r="D1007" s="20"/>
      <c r="E1007" s="20"/>
      <c r="F1007" s="20"/>
      <c r="G1007" s="20" t="str">
        <f aca="false">IF(COUNTBLANK(D1007:F1007)=3,"",IF(OR(D1007="Fail",E1007="Fail",F1007="Fail"),"Fail",IF(AND(D1007="Pass",E1007="Pass",F1007="Pass"),"Pass","Incomplete")))</f>
        <v/>
      </c>
      <c r="H1007" s="18"/>
      <c r="I1007" s="18"/>
    </row>
    <row r="1008" customFormat="false" ht="15.75" hidden="false" customHeight="true" outlineLevel="0" collapsed="false">
      <c r="A1008" s="18"/>
      <c r="B1008" s="18"/>
      <c r="C1008" s="19"/>
      <c r="D1008" s="20"/>
      <c r="E1008" s="20"/>
      <c r="F1008" s="20"/>
      <c r="G1008" s="20" t="str">
        <f aca="false">IF(COUNTBLANK(D1008:F1008)=3,"",IF(OR(D1008="Fail",E1008="Fail",F1008="Fail"),"Fail",IF(AND(D1008="Pass",E1008="Pass",F1008="Pass"),"Pass","Incomplete")))</f>
        <v/>
      </c>
      <c r="H1008" s="18"/>
      <c r="I1008" s="18"/>
    </row>
    <row r="1009" customFormat="false" ht="15.75" hidden="false" customHeight="true" outlineLevel="0" collapsed="false">
      <c r="A1009" s="18"/>
      <c r="B1009" s="18"/>
      <c r="C1009" s="19"/>
      <c r="D1009" s="20"/>
      <c r="E1009" s="20"/>
      <c r="F1009" s="20"/>
      <c r="G1009" s="20" t="str">
        <f aca="false">IF(COUNTBLANK(D1009:F1009)=3,"",IF(OR(D1009="Fail",E1009="Fail",F1009="Fail"),"Fail",IF(AND(D1009="Pass",E1009="Pass",F1009="Pass"),"Pass","Incomplete")))</f>
        <v/>
      </c>
      <c r="H1009" s="18"/>
      <c r="I1009" s="18"/>
    </row>
    <row r="1010" customFormat="false" ht="15.75" hidden="false" customHeight="true" outlineLevel="0" collapsed="false">
      <c r="A1010" s="18"/>
      <c r="B1010" s="18"/>
      <c r="C1010" s="19"/>
      <c r="D1010" s="20"/>
      <c r="E1010" s="20"/>
      <c r="F1010" s="20"/>
      <c r="G1010" s="20" t="str">
        <f aca="false">IF(COUNTBLANK(D1010:F1010)=3,"",IF(OR(D1010="Fail",E1010="Fail",F1010="Fail"),"Fail",IF(AND(D1010="Pass",E1010="Pass",F1010="Pass"),"Pass","Incomplete")))</f>
        <v/>
      </c>
      <c r="H1010" s="18"/>
      <c r="I1010" s="18"/>
    </row>
    <row r="1011" customFormat="false" ht="15.75" hidden="false" customHeight="true" outlineLevel="0" collapsed="false">
      <c r="A1011" s="18"/>
      <c r="B1011" s="18"/>
      <c r="C1011" s="19"/>
      <c r="D1011" s="20"/>
      <c r="E1011" s="20"/>
      <c r="F1011" s="20"/>
      <c r="G1011" s="20" t="str">
        <f aca="false">IF(COUNTBLANK(D1011:F1011)=3,"",IF(OR(D1011="Fail",E1011="Fail",F1011="Fail"),"Fail",IF(AND(D1011="Pass",E1011="Pass",F1011="Pass"),"Pass","Incomplete")))</f>
        <v/>
      </c>
      <c r="H1011" s="18"/>
      <c r="I1011" s="18"/>
    </row>
    <row r="1012" customFormat="false" ht="15.75" hidden="false" customHeight="true" outlineLevel="0" collapsed="false">
      <c r="A1012" s="18"/>
      <c r="B1012" s="18"/>
      <c r="C1012" s="19"/>
      <c r="D1012" s="20"/>
      <c r="E1012" s="20"/>
      <c r="F1012" s="20"/>
      <c r="G1012" s="20" t="str">
        <f aca="false">IF(COUNTBLANK(D1012:F1012)=3,"",IF(OR(D1012="Fail",E1012="Fail",F1012="Fail"),"Fail",IF(AND(D1012="Pass",E1012="Pass",F1012="Pass"),"Pass","Incomplete")))</f>
        <v/>
      </c>
      <c r="H1012" s="18"/>
      <c r="I1012" s="18"/>
    </row>
    <row r="1013" customFormat="false" ht="15.75" hidden="false" customHeight="true" outlineLevel="0" collapsed="false">
      <c r="A1013" s="18"/>
      <c r="B1013" s="18"/>
      <c r="C1013" s="19"/>
      <c r="D1013" s="20"/>
      <c r="E1013" s="20"/>
      <c r="F1013" s="20"/>
      <c r="G1013" s="20" t="str">
        <f aca="false">IF(COUNTBLANK(D1013:F1013)=3,"",IF(OR(D1013="Fail",E1013="Fail",F1013="Fail"),"Fail",IF(AND(D1013="Pass",E1013="Pass",F1013="Pass"),"Pass","Incomplete")))</f>
        <v/>
      </c>
      <c r="H1013" s="18"/>
      <c r="I1013" s="18"/>
    </row>
    <row r="1014" customFormat="false" ht="15.75" hidden="false" customHeight="true" outlineLevel="0" collapsed="false">
      <c r="A1014" s="18"/>
      <c r="B1014" s="18"/>
      <c r="C1014" s="19"/>
      <c r="D1014" s="20"/>
      <c r="E1014" s="20"/>
      <c r="F1014" s="20"/>
      <c r="G1014" s="20" t="str">
        <f aca="false">IF(COUNTBLANK(D1014:F1014)=3,"",IF(OR(D1014="Fail",E1014="Fail",F1014="Fail"),"Fail",IF(AND(D1014="Pass",E1014="Pass",F1014="Pass"),"Pass","Incomplete")))</f>
        <v/>
      </c>
      <c r="H1014" s="18"/>
      <c r="I1014" s="18"/>
    </row>
    <row r="1015" customFormat="false" ht="15.75" hidden="false" customHeight="true" outlineLevel="0" collapsed="false">
      <c r="A1015" s="18"/>
      <c r="B1015" s="18"/>
      <c r="C1015" s="19"/>
      <c r="D1015" s="20"/>
      <c r="E1015" s="20"/>
      <c r="F1015" s="20"/>
      <c r="G1015" s="20" t="str">
        <f aca="false">IF(COUNTBLANK(D1015:F1015)=3,"",IF(OR(D1015="Fail",E1015="Fail",F1015="Fail"),"Fail",IF(AND(D1015="Pass",E1015="Pass",F1015="Pass"),"Pass","Incomplete")))</f>
        <v/>
      </c>
      <c r="H1015" s="18"/>
      <c r="I1015" s="18"/>
    </row>
    <row r="1016" customFormat="false" ht="15.75" hidden="false" customHeight="true" outlineLevel="0" collapsed="false">
      <c r="A1016" s="18"/>
      <c r="B1016" s="18"/>
      <c r="C1016" s="19"/>
      <c r="D1016" s="20"/>
      <c r="E1016" s="20"/>
      <c r="F1016" s="20"/>
      <c r="G1016" s="20" t="str">
        <f aca="false">IF(COUNTBLANK(D1016:F1016)=3,"",IF(OR(D1016="Fail",E1016="Fail",F1016="Fail"),"Fail",IF(AND(D1016="Pass",E1016="Pass",F1016="Pass"),"Pass","Incomplete")))</f>
        <v/>
      </c>
      <c r="H1016" s="18"/>
      <c r="I1016" s="18"/>
    </row>
    <row r="1017" customFormat="false" ht="15.75" hidden="false" customHeight="true" outlineLevel="0" collapsed="false">
      <c r="A1017" s="18"/>
      <c r="B1017" s="18"/>
      <c r="C1017" s="19"/>
      <c r="D1017" s="20"/>
      <c r="E1017" s="20"/>
      <c r="F1017" s="20"/>
      <c r="G1017" s="20" t="str">
        <f aca="false">IF(COUNTBLANK(D1017:F1017)=3,"",IF(OR(D1017="Fail",E1017="Fail",F1017="Fail"),"Fail",IF(AND(D1017="Pass",E1017="Pass",F1017="Pass"),"Pass","Incomplete")))</f>
        <v/>
      </c>
      <c r="H1017" s="18"/>
      <c r="I1017" s="18"/>
    </row>
    <row r="1018" customFormat="false" ht="15.75" hidden="false" customHeight="true" outlineLevel="0" collapsed="false">
      <c r="A1018" s="18"/>
      <c r="B1018" s="18"/>
      <c r="C1018" s="19"/>
      <c r="D1018" s="20"/>
      <c r="E1018" s="20"/>
      <c r="F1018" s="20"/>
      <c r="G1018" s="20" t="str">
        <f aca="false">IF(COUNTBLANK(D1018:F1018)=3,"",IF(OR(D1018="Fail",E1018="Fail",F1018="Fail"),"Fail",IF(AND(D1018="Pass",E1018="Pass",F1018="Pass"),"Pass","Incomplete")))</f>
        <v/>
      </c>
      <c r="H1018" s="18"/>
      <c r="I1018" s="18"/>
    </row>
    <row r="1019" customFormat="false" ht="15.75" hidden="false" customHeight="true" outlineLevel="0" collapsed="false">
      <c r="A1019" s="18"/>
      <c r="B1019" s="18"/>
      <c r="C1019" s="19"/>
      <c r="D1019" s="20"/>
      <c r="E1019" s="20"/>
      <c r="F1019" s="20"/>
      <c r="G1019" s="20" t="str">
        <f aca="false">IF(COUNTBLANK(D1019:F1019)=3,"",IF(OR(D1019="Fail",E1019="Fail",F1019="Fail"),"Fail",IF(AND(D1019="Pass",E1019="Pass",F1019="Pass"),"Pass","Incomplete")))</f>
        <v/>
      </c>
      <c r="H1019" s="18"/>
      <c r="I1019" s="18"/>
    </row>
    <row r="1020" customFormat="false" ht="15.75" hidden="false" customHeight="true" outlineLevel="0" collapsed="false">
      <c r="A1020" s="18"/>
      <c r="B1020" s="18"/>
      <c r="C1020" s="19"/>
      <c r="D1020" s="20"/>
      <c r="E1020" s="20"/>
      <c r="F1020" s="20"/>
      <c r="G1020" s="20" t="str">
        <f aca="false">IF(COUNTBLANK(D1020:F1020)=3,"",IF(OR(D1020="Fail",E1020="Fail",F1020="Fail"),"Fail",IF(AND(D1020="Pass",E1020="Pass",F1020="Pass"),"Pass","Incomplete")))</f>
        <v/>
      </c>
      <c r="H1020" s="18"/>
      <c r="I1020" s="18"/>
    </row>
    <row r="1021" customFormat="false" ht="15.75" hidden="false" customHeight="true" outlineLevel="0" collapsed="false">
      <c r="A1021" s="18"/>
      <c r="B1021" s="18"/>
      <c r="C1021" s="19"/>
      <c r="D1021" s="20"/>
      <c r="E1021" s="20"/>
      <c r="F1021" s="20"/>
      <c r="G1021" s="20" t="str">
        <f aca="false">IF(COUNTBLANK(D1021:F1021)=3,"",IF(OR(D1021="Fail",E1021="Fail",F1021="Fail"),"Fail",IF(AND(D1021="Pass",E1021="Pass",F1021="Pass"),"Pass","Incomplete")))</f>
        <v/>
      </c>
      <c r="H1021" s="18"/>
      <c r="I1021" s="18"/>
    </row>
    <row r="1022" customFormat="false" ht="15.75" hidden="false" customHeight="true" outlineLevel="0" collapsed="false">
      <c r="A1022" s="18"/>
      <c r="B1022" s="18"/>
      <c r="C1022" s="19"/>
      <c r="D1022" s="20"/>
      <c r="E1022" s="20"/>
      <c r="F1022" s="20"/>
      <c r="G1022" s="20" t="str">
        <f aca="false">IF(COUNTBLANK(D1022:F1022)=3,"",IF(OR(D1022="Fail",E1022="Fail",F1022="Fail"),"Fail",IF(AND(D1022="Pass",E1022="Pass",F1022="Pass"),"Pass","Incomplete")))</f>
        <v/>
      </c>
      <c r="H1022" s="18"/>
      <c r="I1022" s="18"/>
    </row>
    <row r="1023" customFormat="false" ht="15.75" hidden="false" customHeight="true" outlineLevel="0" collapsed="false">
      <c r="A1023" s="18"/>
      <c r="B1023" s="18"/>
      <c r="C1023" s="19"/>
      <c r="D1023" s="20"/>
      <c r="E1023" s="20"/>
      <c r="F1023" s="20"/>
      <c r="G1023" s="20" t="str">
        <f aca="false">IF(COUNTBLANK(D1023:F1023)=3,"",IF(OR(D1023="Fail",E1023="Fail",F1023="Fail"),"Fail",IF(AND(D1023="Pass",E1023="Pass",F1023="Pass"),"Pass","Incomplete")))</f>
        <v/>
      </c>
      <c r="H1023" s="18"/>
      <c r="I1023" s="18"/>
    </row>
    <row r="1024" customFormat="false" ht="15.75" hidden="false" customHeight="true" outlineLevel="0" collapsed="false">
      <c r="A1024" s="18"/>
      <c r="B1024" s="18"/>
      <c r="C1024" s="19"/>
      <c r="D1024" s="20"/>
      <c r="E1024" s="20"/>
      <c r="F1024" s="20"/>
      <c r="G1024" s="20" t="str">
        <f aca="false">IF(COUNTBLANK(D1024:F1024)=3,"",IF(OR(D1024="Fail",E1024="Fail",F1024="Fail"),"Fail",IF(AND(D1024="Pass",E1024="Pass",F1024="Pass"),"Pass","Incomplete")))</f>
        <v/>
      </c>
      <c r="H1024" s="18"/>
      <c r="I1024" s="18"/>
    </row>
    <row r="1025" customFormat="false" ht="15.75" hidden="false" customHeight="true" outlineLevel="0" collapsed="false">
      <c r="A1025" s="18"/>
      <c r="B1025" s="18"/>
      <c r="C1025" s="19"/>
      <c r="D1025" s="20"/>
      <c r="E1025" s="20"/>
      <c r="F1025" s="20"/>
      <c r="G1025" s="20" t="str">
        <f aca="false">IF(COUNTBLANK(D1025:F1025)=3,"",IF(OR(D1025="Fail",E1025="Fail",F1025="Fail"),"Fail",IF(AND(D1025="Pass",E1025="Pass",F1025="Pass"),"Pass","Incomplete")))</f>
        <v/>
      </c>
      <c r="H1025" s="18"/>
      <c r="I1025" s="18"/>
    </row>
    <row r="1026" customFormat="false" ht="15.75" hidden="false" customHeight="true" outlineLevel="0" collapsed="false">
      <c r="A1026" s="18"/>
      <c r="B1026" s="18"/>
      <c r="C1026" s="19"/>
      <c r="D1026" s="20"/>
      <c r="E1026" s="20"/>
      <c r="F1026" s="20"/>
      <c r="G1026" s="20" t="str">
        <f aca="false">IF(COUNTBLANK(D1026:F1026)=3,"",IF(OR(D1026="Fail",E1026="Fail",F1026="Fail"),"Fail",IF(AND(D1026="Pass",E1026="Pass",F1026="Pass"),"Pass","Incomplete")))</f>
        <v/>
      </c>
      <c r="H1026" s="18"/>
      <c r="I1026" s="18"/>
    </row>
    <row r="1027" customFormat="false" ht="15.75" hidden="false" customHeight="true" outlineLevel="0" collapsed="false">
      <c r="A1027" s="18"/>
      <c r="B1027" s="18"/>
      <c r="C1027" s="19"/>
      <c r="D1027" s="20"/>
      <c r="E1027" s="20"/>
      <c r="F1027" s="20"/>
      <c r="G1027" s="20" t="str">
        <f aca="false">IF(COUNTBLANK(D1027:F1027)=3,"",IF(OR(D1027="Fail",E1027="Fail",F1027="Fail"),"Fail",IF(AND(D1027="Pass",E1027="Pass",F1027="Pass"),"Pass","Incomplete")))</f>
        <v/>
      </c>
      <c r="H1027" s="18"/>
      <c r="I1027" s="18"/>
    </row>
    <row r="1028" customFormat="false" ht="15.75" hidden="false" customHeight="true" outlineLevel="0" collapsed="false">
      <c r="A1028" s="18"/>
      <c r="B1028" s="18"/>
      <c r="C1028" s="19"/>
      <c r="D1028" s="20"/>
      <c r="E1028" s="20"/>
      <c r="F1028" s="20"/>
      <c r="G1028" s="20" t="str">
        <f aca="false">IF(COUNTBLANK(D1028:F1028)=3,"",IF(OR(D1028="Fail",E1028="Fail",F1028="Fail"),"Fail",IF(AND(D1028="Pass",E1028="Pass",F1028="Pass"),"Pass","Incomplete")))</f>
        <v/>
      </c>
      <c r="H1028" s="18"/>
      <c r="I1028" s="18"/>
    </row>
    <row r="1029" customFormat="false" ht="15.75" hidden="false" customHeight="true" outlineLevel="0" collapsed="false">
      <c r="A1029" s="18"/>
      <c r="B1029" s="18"/>
      <c r="C1029" s="19"/>
      <c r="D1029" s="20"/>
      <c r="E1029" s="20"/>
      <c r="F1029" s="20"/>
      <c r="G1029" s="20" t="str">
        <f aca="false">IF(COUNTBLANK(D1029:F1029)=3,"",IF(OR(D1029="Fail",E1029="Fail",F1029="Fail"),"Fail",IF(AND(D1029="Pass",E1029="Pass",F1029="Pass"),"Pass","Incomplete")))</f>
        <v/>
      </c>
      <c r="H1029" s="18"/>
      <c r="I1029" s="18"/>
    </row>
    <row r="1030" customFormat="false" ht="15.75" hidden="false" customHeight="true" outlineLevel="0" collapsed="false">
      <c r="A1030" s="18"/>
      <c r="B1030" s="18"/>
      <c r="C1030" s="19"/>
      <c r="D1030" s="20"/>
      <c r="E1030" s="20"/>
      <c r="F1030" s="20"/>
      <c r="G1030" s="20" t="str">
        <f aca="false">IF(COUNTBLANK(D1030:F1030)=3,"",IF(OR(D1030="Fail",E1030="Fail",F1030="Fail"),"Fail",IF(AND(D1030="Pass",E1030="Pass",F1030="Pass"),"Pass","Incomplete")))</f>
        <v/>
      </c>
      <c r="H1030" s="18"/>
      <c r="I1030" s="18"/>
    </row>
    <row r="1031" customFormat="false" ht="15.75" hidden="false" customHeight="true" outlineLevel="0" collapsed="false">
      <c r="A1031" s="18"/>
      <c r="B1031" s="18"/>
      <c r="C1031" s="19"/>
      <c r="D1031" s="20"/>
      <c r="E1031" s="20"/>
      <c r="F1031" s="20"/>
      <c r="G1031" s="20" t="str">
        <f aca="false">IF(COUNTBLANK(D1031:F1031)=3,"",IF(OR(D1031="Fail",E1031="Fail",F1031="Fail"),"Fail",IF(AND(D1031="Pass",E1031="Pass",F1031="Pass"),"Pass","Incomplete")))</f>
        <v/>
      </c>
      <c r="H1031" s="18"/>
      <c r="I1031" s="18"/>
    </row>
    <row r="1032" customFormat="false" ht="15.75" hidden="false" customHeight="true" outlineLevel="0" collapsed="false">
      <c r="A1032" s="18"/>
      <c r="B1032" s="18"/>
      <c r="C1032" s="19"/>
      <c r="D1032" s="20"/>
      <c r="E1032" s="20"/>
      <c r="F1032" s="20"/>
      <c r="G1032" s="20" t="str">
        <f aca="false">IF(COUNTBLANK(D1032:F1032)=3,"",IF(OR(D1032="Fail",E1032="Fail",F1032="Fail"),"Fail",IF(AND(D1032="Pass",E1032="Pass",F1032="Pass"),"Pass","Incomplete")))</f>
        <v/>
      </c>
      <c r="H1032" s="18"/>
      <c r="I1032" s="18"/>
    </row>
    <row r="1033" customFormat="false" ht="15.75" hidden="false" customHeight="true" outlineLevel="0" collapsed="false">
      <c r="A1033" s="18"/>
      <c r="B1033" s="18"/>
      <c r="C1033" s="19"/>
      <c r="D1033" s="20"/>
      <c r="E1033" s="20"/>
      <c r="F1033" s="20"/>
      <c r="G1033" s="20" t="str">
        <f aca="false">IF(COUNTBLANK(D1033:F1033)=3,"",IF(OR(D1033="Fail",E1033="Fail",F1033="Fail"),"Fail",IF(AND(D1033="Pass",E1033="Pass",F1033="Pass"),"Pass","Incomplete")))</f>
        <v/>
      </c>
      <c r="H1033" s="18"/>
      <c r="I1033" s="18"/>
    </row>
    <row r="1034" customFormat="false" ht="15.75" hidden="false" customHeight="true" outlineLevel="0" collapsed="false">
      <c r="A1034" s="18"/>
      <c r="B1034" s="18"/>
      <c r="C1034" s="19"/>
      <c r="D1034" s="20"/>
      <c r="E1034" s="20"/>
      <c r="F1034" s="20"/>
      <c r="G1034" s="20" t="str">
        <f aca="false">IF(COUNTBLANK(D1034:F1034)=3,"",IF(OR(D1034="Fail",E1034="Fail",F1034="Fail"),"Fail",IF(AND(D1034="Pass",E1034="Pass",F1034="Pass"),"Pass","Incomplete")))</f>
        <v/>
      </c>
      <c r="H1034" s="18"/>
      <c r="I1034" s="18"/>
    </row>
    <row r="1035" customFormat="false" ht="15.75" hidden="false" customHeight="true" outlineLevel="0" collapsed="false">
      <c r="A1035" s="18"/>
      <c r="B1035" s="18"/>
      <c r="C1035" s="19"/>
      <c r="D1035" s="20"/>
      <c r="E1035" s="20"/>
      <c r="F1035" s="20"/>
      <c r="G1035" s="20" t="str">
        <f aca="false">IF(COUNTBLANK(D1035:F1035)=3,"",IF(OR(D1035="Fail",E1035="Fail",F1035="Fail"),"Fail",IF(AND(D1035="Pass",E1035="Pass",F1035="Pass"),"Pass","Incomplete")))</f>
        <v/>
      </c>
      <c r="H1035" s="18"/>
      <c r="I1035" s="18"/>
    </row>
    <row r="1036" customFormat="false" ht="15.75" hidden="false" customHeight="true" outlineLevel="0" collapsed="false">
      <c r="A1036" s="18"/>
      <c r="B1036" s="18"/>
      <c r="C1036" s="19"/>
      <c r="D1036" s="20"/>
      <c r="E1036" s="20"/>
      <c r="F1036" s="20"/>
      <c r="G1036" s="20" t="str">
        <f aca="false">IF(COUNTBLANK(D1036:F1036)=3,"",IF(OR(D1036="Fail",E1036="Fail",F1036="Fail"),"Fail",IF(AND(D1036="Pass",E1036="Pass",F1036="Pass"),"Pass","Incomplete")))</f>
        <v/>
      </c>
      <c r="H1036" s="18"/>
      <c r="I1036" s="18"/>
    </row>
    <row r="1037" customFormat="false" ht="15.75" hidden="false" customHeight="true" outlineLevel="0" collapsed="false">
      <c r="A1037" s="18"/>
      <c r="B1037" s="18"/>
      <c r="C1037" s="19"/>
      <c r="D1037" s="20"/>
      <c r="E1037" s="20"/>
      <c r="F1037" s="20"/>
      <c r="G1037" s="20" t="str">
        <f aca="false">IF(COUNTBLANK(D1037:F1037)=3,"",IF(OR(D1037="Fail",E1037="Fail",F1037="Fail"),"Fail",IF(AND(D1037="Pass",E1037="Pass",F1037="Pass"),"Pass","Incomplete")))</f>
        <v/>
      </c>
      <c r="H1037" s="18"/>
      <c r="I1037" s="18"/>
    </row>
    <row r="1038" customFormat="false" ht="15.75" hidden="false" customHeight="true" outlineLevel="0" collapsed="false">
      <c r="A1038" s="18"/>
      <c r="B1038" s="18"/>
      <c r="C1038" s="19"/>
      <c r="D1038" s="20"/>
      <c r="E1038" s="20"/>
      <c r="F1038" s="20"/>
      <c r="G1038" s="20" t="str">
        <f aca="false">IF(COUNTBLANK(D1038:F1038)=3,"",IF(OR(D1038="Fail",E1038="Fail",F1038="Fail"),"Fail",IF(AND(D1038="Pass",E1038="Pass",F1038="Pass"),"Pass","Incomplete")))</f>
        <v/>
      </c>
      <c r="H1038" s="18"/>
      <c r="I1038" s="18"/>
    </row>
    <row r="1039" customFormat="false" ht="15.75" hidden="false" customHeight="true" outlineLevel="0" collapsed="false">
      <c r="A1039" s="18"/>
      <c r="B1039" s="18"/>
      <c r="C1039" s="19"/>
      <c r="D1039" s="20"/>
      <c r="E1039" s="20"/>
      <c r="F1039" s="20"/>
      <c r="G1039" s="20" t="str">
        <f aca="false">IF(COUNTBLANK(D1039:F1039)=3,"",IF(OR(D1039="Fail",E1039="Fail",F1039="Fail"),"Fail",IF(AND(D1039="Pass",E1039="Pass",F1039="Pass"),"Pass","Incomplete")))</f>
        <v/>
      </c>
      <c r="H1039" s="18"/>
      <c r="I1039" s="18"/>
    </row>
    <row r="1040" customFormat="false" ht="15.75" hidden="false" customHeight="true" outlineLevel="0" collapsed="false">
      <c r="A1040" s="18"/>
      <c r="B1040" s="18"/>
      <c r="C1040" s="19"/>
      <c r="D1040" s="20"/>
      <c r="E1040" s="20"/>
      <c r="F1040" s="20"/>
      <c r="G1040" s="20" t="str">
        <f aca="false">IF(COUNTBLANK(D1040:F1040)=3,"",IF(OR(D1040="Fail",E1040="Fail",F1040="Fail"),"Fail",IF(AND(D1040="Pass",E1040="Pass",F1040="Pass"),"Pass","Incomplete")))</f>
        <v/>
      </c>
      <c r="H1040" s="18"/>
      <c r="I1040" s="18"/>
    </row>
    <row r="1041" customFormat="false" ht="15.75" hidden="false" customHeight="true" outlineLevel="0" collapsed="false">
      <c r="A1041" s="18"/>
      <c r="B1041" s="18"/>
      <c r="C1041" s="19"/>
      <c r="D1041" s="20"/>
      <c r="E1041" s="20"/>
      <c r="F1041" s="20"/>
      <c r="G1041" s="20" t="str">
        <f aca="false">IF(COUNTBLANK(D1041:F1041)=3,"",IF(OR(D1041="Fail",E1041="Fail",F1041="Fail"),"Fail",IF(AND(D1041="Pass",E1041="Pass",F1041="Pass"),"Pass","Incomplete")))</f>
        <v/>
      </c>
      <c r="H1041" s="18"/>
      <c r="I1041" s="18"/>
    </row>
    <row r="1042" customFormat="false" ht="15.75" hidden="false" customHeight="true" outlineLevel="0" collapsed="false">
      <c r="A1042" s="18"/>
      <c r="B1042" s="18"/>
      <c r="C1042" s="19"/>
      <c r="D1042" s="20"/>
      <c r="E1042" s="20"/>
      <c r="F1042" s="20"/>
      <c r="G1042" s="20" t="str">
        <f aca="false">IF(COUNTBLANK(D1042:F1042)=3,"",IF(OR(D1042="Fail",E1042="Fail",F1042="Fail"),"Fail",IF(AND(D1042="Pass",E1042="Pass",F1042="Pass"),"Pass","Incomplete")))</f>
        <v/>
      </c>
      <c r="H1042" s="18"/>
      <c r="I1042" s="18"/>
    </row>
    <row r="1043" customFormat="false" ht="15.75" hidden="false" customHeight="true" outlineLevel="0" collapsed="false">
      <c r="A1043" s="18"/>
      <c r="B1043" s="18"/>
      <c r="C1043" s="19"/>
      <c r="D1043" s="20"/>
      <c r="E1043" s="20"/>
      <c r="F1043" s="20"/>
      <c r="G1043" s="20" t="str">
        <f aca="false">IF(COUNTBLANK(D1043:F1043)=3,"",IF(OR(D1043="Fail",E1043="Fail",F1043="Fail"),"Fail",IF(AND(D1043="Pass",E1043="Pass",F1043="Pass"),"Pass","Incomplete")))</f>
        <v/>
      </c>
      <c r="H1043" s="18"/>
      <c r="I1043" s="18"/>
    </row>
    <row r="1044" customFormat="false" ht="15.75" hidden="false" customHeight="true" outlineLevel="0" collapsed="false">
      <c r="A1044" s="18"/>
      <c r="B1044" s="18"/>
      <c r="C1044" s="19"/>
      <c r="D1044" s="20"/>
      <c r="E1044" s="20"/>
      <c r="F1044" s="20"/>
      <c r="G1044" s="20" t="str">
        <f aca="false">IF(COUNTBLANK(D1044:F1044)=3,"",IF(OR(D1044="Fail",E1044="Fail",F1044="Fail"),"Fail",IF(AND(D1044="Pass",E1044="Pass",F1044="Pass"),"Pass","Incomplete")))</f>
        <v/>
      </c>
      <c r="H1044" s="18"/>
      <c r="I1044" s="18"/>
    </row>
    <row r="1045" customFormat="false" ht="15.75" hidden="false" customHeight="true" outlineLevel="0" collapsed="false">
      <c r="A1045" s="18"/>
      <c r="B1045" s="18"/>
      <c r="C1045" s="19"/>
      <c r="D1045" s="20"/>
      <c r="E1045" s="20"/>
      <c r="F1045" s="20"/>
      <c r="G1045" s="20" t="str">
        <f aca="false">IF(COUNTBLANK(D1045:F1045)=3,"",IF(OR(D1045="Fail",E1045="Fail",F1045="Fail"),"Fail",IF(AND(D1045="Pass",E1045="Pass",F1045="Pass"),"Pass","Incomplete")))</f>
        <v/>
      </c>
      <c r="H1045" s="18"/>
      <c r="I1045" s="18"/>
    </row>
    <row r="1046" customFormat="false" ht="15.75" hidden="false" customHeight="true" outlineLevel="0" collapsed="false">
      <c r="A1046" s="18"/>
      <c r="B1046" s="18"/>
      <c r="C1046" s="19"/>
      <c r="D1046" s="20"/>
      <c r="E1046" s="20"/>
      <c r="F1046" s="20"/>
      <c r="G1046" s="20" t="str">
        <f aca="false">IF(COUNTBLANK(D1046:F1046)=3,"",IF(OR(D1046="Fail",E1046="Fail",F1046="Fail"),"Fail",IF(AND(D1046="Pass",E1046="Pass",F1046="Pass"),"Pass","Incomplete")))</f>
        <v/>
      </c>
      <c r="H1046" s="18"/>
      <c r="I1046" s="18"/>
    </row>
    <row r="1047" customFormat="false" ht="15.75" hidden="false" customHeight="true" outlineLevel="0" collapsed="false">
      <c r="A1047" s="18"/>
      <c r="B1047" s="18"/>
      <c r="C1047" s="19"/>
      <c r="D1047" s="20"/>
      <c r="E1047" s="20"/>
      <c r="F1047" s="20"/>
      <c r="G1047" s="20" t="str">
        <f aca="false">IF(COUNTBLANK(D1047:F1047)=3,"",IF(OR(D1047="Fail",E1047="Fail",F1047="Fail"),"Fail",IF(AND(D1047="Pass",E1047="Pass",F1047="Pass"),"Pass","Incomplete")))</f>
        <v/>
      </c>
      <c r="H1047" s="18"/>
      <c r="I1047" s="18"/>
    </row>
    <row r="1048" customFormat="false" ht="15.75" hidden="false" customHeight="true" outlineLevel="0" collapsed="false">
      <c r="A1048" s="18"/>
      <c r="B1048" s="18"/>
      <c r="C1048" s="19"/>
      <c r="D1048" s="20"/>
      <c r="E1048" s="20"/>
      <c r="F1048" s="20"/>
      <c r="G1048" s="20" t="str">
        <f aca="false">IF(COUNTBLANK(D1048:F1048)=3,"",IF(OR(D1048="Fail",E1048="Fail",F1048="Fail"),"Fail",IF(AND(D1048="Pass",E1048="Pass",F1048="Pass"),"Pass","Incomplete")))</f>
        <v/>
      </c>
      <c r="H1048" s="18"/>
      <c r="I1048" s="18"/>
    </row>
    <row r="1049" customFormat="false" ht="15.75" hidden="false" customHeight="true" outlineLevel="0" collapsed="false">
      <c r="A1049" s="18"/>
      <c r="B1049" s="18"/>
      <c r="C1049" s="19"/>
      <c r="D1049" s="20"/>
      <c r="E1049" s="20"/>
      <c r="F1049" s="20"/>
      <c r="G1049" s="20" t="str">
        <f aca="false">IF(COUNTBLANK(D1049:F1049)=3,"",IF(OR(D1049="Fail",E1049="Fail",F1049="Fail"),"Fail",IF(AND(D1049="Pass",E1049="Pass",F1049="Pass"),"Pass","Incomplete")))</f>
        <v/>
      </c>
      <c r="H1049" s="18"/>
      <c r="I1049" s="18"/>
    </row>
    <row r="1050" customFormat="false" ht="15.75" hidden="false" customHeight="true" outlineLevel="0" collapsed="false">
      <c r="A1050" s="18"/>
      <c r="B1050" s="18"/>
      <c r="C1050" s="19"/>
      <c r="D1050" s="20"/>
      <c r="E1050" s="20"/>
      <c r="F1050" s="20"/>
      <c r="G1050" s="20" t="str">
        <f aca="false">IF(COUNTBLANK(D1050:F1050)=3,"",IF(OR(D1050="Fail",E1050="Fail",F1050="Fail"),"Fail",IF(AND(D1050="Pass",E1050="Pass",F1050="Pass"),"Pass","Incomplete")))</f>
        <v/>
      </c>
      <c r="H1050" s="18"/>
      <c r="I1050" s="18"/>
    </row>
    <row r="1051" customFormat="false" ht="15.75" hidden="false" customHeight="true" outlineLevel="0" collapsed="false">
      <c r="A1051" s="18"/>
      <c r="B1051" s="18"/>
      <c r="C1051" s="19"/>
      <c r="D1051" s="20"/>
      <c r="E1051" s="20"/>
      <c r="F1051" s="20"/>
      <c r="G1051" s="20" t="str">
        <f aca="false">IF(COUNTBLANK(D1051:F1051)=3,"",IF(OR(D1051="Fail",E1051="Fail",F1051="Fail"),"Fail",IF(AND(D1051="Pass",E1051="Pass",F1051="Pass"),"Pass","Incomplete")))</f>
        <v/>
      </c>
      <c r="H1051" s="18"/>
      <c r="I1051" s="18"/>
    </row>
    <row r="1052" customFormat="false" ht="15.75" hidden="false" customHeight="true" outlineLevel="0" collapsed="false">
      <c r="A1052" s="18"/>
      <c r="B1052" s="18"/>
      <c r="C1052" s="19"/>
      <c r="D1052" s="20"/>
      <c r="E1052" s="20"/>
      <c r="F1052" s="20"/>
      <c r="G1052" s="20" t="str">
        <f aca="false">IF(COUNTBLANK(D1052:F1052)=3,"",IF(OR(D1052="Fail",E1052="Fail",F1052="Fail"),"Fail",IF(AND(D1052="Pass",E1052="Pass",F1052="Pass"),"Pass","Incomplete")))</f>
        <v/>
      </c>
      <c r="H1052" s="18"/>
      <c r="I1052" s="18"/>
    </row>
    <row r="1053" customFormat="false" ht="15.75" hidden="false" customHeight="true" outlineLevel="0" collapsed="false">
      <c r="A1053" s="18"/>
      <c r="B1053" s="18"/>
      <c r="C1053" s="19"/>
      <c r="D1053" s="20"/>
      <c r="E1053" s="20"/>
      <c r="F1053" s="20"/>
      <c r="G1053" s="20" t="str">
        <f aca="false">IF(COUNTBLANK(D1053:F1053)=3,"",IF(OR(D1053="Fail",E1053="Fail",F1053="Fail"),"Fail",IF(AND(D1053="Pass",E1053="Pass",F1053="Pass"),"Pass","Incomplete")))</f>
        <v/>
      </c>
      <c r="H1053" s="18"/>
      <c r="I1053" s="18"/>
    </row>
    <row r="1054" customFormat="false" ht="15.75" hidden="false" customHeight="true" outlineLevel="0" collapsed="false">
      <c r="A1054" s="18"/>
      <c r="B1054" s="18"/>
      <c r="C1054" s="19"/>
      <c r="D1054" s="20"/>
      <c r="E1054" s="20"/>
      <c r="F1054" s="20"/>
      <c r="G1054" s="20" t="str">
        <f aca="false">IF(COUNTBLANK(D1054:F1054)=3,"",IF(OR(D1054="Fail",E1054="Fail",F1054="Fail"),"Fail",IF(AND(D1054="Pass",E1054="Pass",F1054="Pass"),"Pass","Incomplete")))</f>
        <v/>
      </c>
      <c r="H1054" s="18"/>
      <c r="I1054" s="18"/>
    </row>
    <row r="1055" customFormat="false" ht="15.75" hidden="false" customHeight="true" outlineLevel="0" collapsed="false">
      <c r="A1055" s="18"/>
      <c r="B1055" s="18"/>
      <c r="C1055" s="19"/>
      <c r="D1055" s="20"/>
      <c r="E1055" s="20"/>
      <c r="F1055" s="20"/>
      <c r="G1055" s="20" t="str">
        <f aca="false">IF(COUNTBLANK(D1055:F1055)=3,"",IF(OR(D1055="Fail",E1055="Fail",F1055="Fail"),"Fail",IF(AND(D1055="Pass",E1055="Pass",F1055="Pass"),"Pass","Incomplete")))</f>
        <v/>
      </c>
      <c r="H1055" s="18"/>
      <c r="I1055" s="18"/>
    </row>
    <row r="1056" customFormat="false" ht="15.75" hidden="false" customHeight="true" outlineLevel="0" collapsed="false">
      <c r="A1056" s="18"/>
      <c r="B1056" s="18"/>
      <c r="C1056" s="19"/>
      <c r="D1056" s="20"/>
      <c r="E1056" s="20"/>
      <c r="F1056" s="20"/>
      <c r="G1056" s="20" t="str">
        <f aca="false">IF(COUNTBLANK(D1056:F1056)=3,"",IF(OR(D1056="Fail",E1056="Fail",F1056="Fail"),"Fail",IF(AND(D1056="Pass",E1056="Pass",F1056="Pass"),"Pass","Incomplete")))</f>
        <v/>
      </c>
      <c r="H1056" s="18"/>
      <c r="I1056" s="18"/>
    </row>
    <row r="1057" customFormat="false" ht="15.75" hidden="false" customHeight="true" outlineLevel="0" collapsed="false">
      <c r="A1057" s="18"/>
      <c r="B1057" s="18"/>
      <c r="C1057" s="19"/>
      <c r="D1057" s="20"/>
      <c r="E1057" s="20"/>
      <c r="F1057" s="20"/>
      <c r="G1057" s="20" t="str">
        <f aca="false">IF(COUNTBLANK(D1057:F1057)=3,"",IF(OR(D1057="Fail",E1057="Fail",F1057="Fail"),"Fail",IF(AND(D1057="Pass",E1057="Pass",F1057="Pass"),"Pass","Incomplete")))</f>
        <v/>
      </c>
      <c r="H1057" s="18"/>
      <c r="I1057" s="18"/>
    </row>
    <row r="1058" customFormat="false" ht="15.75" hidden="false" customHeight="true" outlineLevel="0" collapsed="false">
      <c r="A1058" s="18"/>
      <c r="B1058" s="18"/>
      <c r="C1058" s="19"/>
      <c r="D1058" s="20"/>
      <c r="E1058" s="20"/>
      <c r="F1058" s="20"/>
      <c r="G1058" s="20" t="str">
        <f aca="false">IF(COUNTBLANK(D1058:F1058)=3,"",IF(OR(D1058="Fail",E1058="Fail",F1058="Fail"),"Fail",IF(AND(D1058="Pass",E1058="Pass",F1058="Pass"),"Pass","Incomplete")))</f>
        <v/>
      </c>
      <c r="H1058" s="18"/>
      <c r="I1058" s="18"/>
    </row>
    <row r="1059" customFormat="false" ht="15.75" hidden="false" customHeight="true" outlineLevel="0" collapsed="false">
      <c r="A1059" s="18"/>
      <c r="B1059" s="18"/>
      <c r="C1059" s="19"/>
      <c r="D1059" s="20"/>
      <c r="E1059" s="20"/>
      <c r="F1059" s="20"/>
      <c r="G1059" s="20" t="str">
        <f aca="false">IF(COUNTBLANK(D1059:F1059)=3,"",IF(OR(D1059="Fail",E1059="Fail",F1059="Fail"),"Fail",IF(AND(D1059="Pass",E1059="Pass",F1059="Pass"),"Pass","Incomplete")))</f>
        <v/>
      </c>
      <c r="H1059" s="18"/>
      <c r="I1059" s="18"/>
    </row>
    <row r="1060" customFormat="false" ht="15.75" hidden="false" customHeight="true" outlineLevel="0" collapsed="false">
      <c r="A1060" s="18"/>
      <c r="B1060" s="18"/>
      <c r="C1060" s="19"/>
      <c r="D1060" s="20"/>
      <c r="E1060" s="20"/>
      <c r="F1060" s="20"/>
      <c r="G1060" s="20" t="str">
        <f aca="false">IF(COUNTBLANK(D1060:F1060)=3,"",IF(OR(D1060="Fail",E1060="Fail",F1060="Fail"),"Fail",IF(AND(D1060="Pass",E1060="Pass",F1060="Pass"),"Pass","Incomplete")))</f>
        <v/>
      </c>
      <c r="H1060" s="18"/>
      <c r="I1060" s="18"/>
    </row>
    <row r="1061" customFormat="false" ht="15.75" hidden="false" customHeight="true" outlineLevel="0" collapsed="false">
      <c r="A1061" s="18"/>
      <c r="B1061" s="18"/>
      <c r="C1061" s="19"/>
      <c r="D1061" s="20"/>
      <c r="E1061" s="20"/>
      <c r="F1061" s="20"/>
      <c r="G1061" s="20" t="str">
        <f aca="false">IF(COUNTBLANK(D1061:F1061)=3,"",IF(OR(D1061="Fail",E1061="Fail",F1061="Fail"),"Fail",IF(AND(D1061="Pass",E1061="Pass",F1061="Pass"),"Pass","Incomplete")))</f>
        <v/>
      </c>
      <c r="H1061" s="18"/>
      <c r="I1061" s="18"/>
    </row>
    <row r="1062" customFormat="false" ht="15.75" hidden="false" customHeight="true" outlineLevel="0" collapsed="false">
      <c r="A1062" s="18"/>
      <c r="B1062" s="18"/>
      <c r="C1062" s="19"/>
      <c r="D1062" s="20"/>
      <c r="E1062" s="20"/>
      <c r="F1062" s="20"/>
      <c r="G1062" s="20" t="str">
        <f aca="false">IF(COUNTBLANK(D1062:F1062)=3,"",IF(OR(D1062="Fail",E1062="Fail",F1062="Fail"),"Fail",IF(AND(D1062="Pass",E1062="Pass",F1062="Pass"),"Pass","Incomplete")))</f>
        <v/>
      </c>
      <c r="H1062" s="18"/>
      <c r="I1062" s="18"/>
    </row>
    <row r="1063" customFormat="false" ht="15.75" hidden="false" customHeight="true" outlineLevel="0" collapsed="false">
      <c r="A1063" s="18"/>
      <c r="B1063" s="18"/>
      <c r="C1063" s="19"/>
      <c r="D1063" s="20"/>
      <c r="E1063" s="20"/>
      <c r="F1063" s="20"/>
      <c r="G1063" s="20" t="str">
        <f aca="false">IF(COUNTBLANK(D1063:F1063)=3,"",IF(OR(D1063="Fail",E1063="Fail",F1063="Fail"),"Fail",IF(AND(D1063="Pass",E1063="Pass",F1063="Pass"),"Pass","Incomplete")))</f>
        <v/>
      </c>
      <c r="H1063" s="18"/>
      <c r="I1063" s="18"/>
    </row>
    <row r="1064" customFormat="false" ht="15.75" hidden="false" customHeight="true" outlineLevel="0" collapsed="false">
      <c r="A1064" s="18"/>
      <c r="B1064" s="18"/>
      <c r="C1064" s="19"/>
      <c r="D1064" s="20"/>
      <c r="E1064" s="20"/>
      <c r="F1064" s="20"/>
      <c r="G1064" s="20" t="str">
        <f aca="false">IF(COUNTBLANK(D1064:F1064)=3,"",IF(OR(D1064="Fail",E1064="Fail",F1064="Fail"),"Fail",IF(AND(D1064="Pass",E1064="Pass",F1064="Pass"),"Pass","Incomplete")))</f>
        <v/>
      </c>
      <c r="H1064" s="18"/>
      <c r="I1064" s="18"/>
    </row>
    <row r="1065" customFormat="false" ht="15.75" hidden="false" customHeight="true" outlineLevel="0" collapsed="false">
      <c r="A1065" s="18"/>
      <c r="B1065" s="18"/>
      <c r="C1065" s="19"/>
      <c r="D1065" s="20"/>
      <c r="E1065" s="20"/>
      <c r="F1065" s="20"/>
      <c r="G1065" s="20" t="str">
        <f aca="false">IF(COUNTBLANK(D1065:F1065)=3,"",IF(OR(D1065="Fail",E1065="Fail",F1065="Fail"),"Fail",IF(AND(D1065="Pass",E1065="Pass",F1065="Pass"),"Pass","Incomplete")))</f>
        <v/>
      </c>
      <c r="H1065" s="18"/>
      <c r="I1065" s="18"/>
    </row>
    <row r="1066" customFormat="false" ht="15.75" hidden="false" customHeight="true" outlineLevel="0" collapsed="false">
      <c r="A1066" s="18"/>
      <c r="B1066" s="18"/>
      <c r="C1066" s="19"/>
      <c r="D1066" s="20"/>
      <c r="E1066" s="20"/>
      <c r="F1066" s="20"/>
      <c r="G1066" s="20" t="str">
        <f aca="false">IF(COUNTBLANK(D1066:F1066)=3,"",IF(OR(D1066="Fail",E1066="Fail",F1066="Fail"),"Fail",IF(AND(D1066="Pass",E1066="Pass",F1066="Pass"),"Pass","Incomplete")))</f>
        <v/>
      </c>
      <c r="H1066" s="18"/>
      <c r="I1066" s="18"/>
    </row>
    <row r="1067" customFormat="false" ht="15.75" hidden="false" customHeight="true" outlineLevel="0" collapsed="false">
      <c r="A1067" s="18"/>
      <c r="B1067" s="18"/>
      <c r="C1067" s="19"/>
      <c r="D1067" s="20"/>
      <c r="E1067" s="20"/>
      <c r="F1067" s="20"/>
      <c r="G1067" s="20" t="str">
        <f aca="false">IF(COUNTBLANK(D1067:F1067)=3,"",IF(OR(D1067="Fail",E1067="Fail",F1067="Fail"),"Fail",IF(AND(D1067="Pass",E1067="Pass",F1067="Pass"),"Pass","Incomplete")))</f>
        <v/>
      </c>
      <c r="H1067" s="18"/>
      <c r="I1067" s="18"/>
    </row>
    <row r="1068" customFormat="false" ht="15.75" hidden="false" customHeight="true" outlineLevel="0" collapsed="false">
      <c r="A1068" s="18"/>
      <c r="B1068" s="18"/>
      <c r="C1068" s="19"/>
      <c r="D1068" s="20"/>
      <c r="E1068" s="20"/>
      <c r="F1068" s="20"/>
      <c r="G1068" s="20" t="str">
        <f aca="false">IF(COUNTBLANK(D1068:F1068)=3,"",IF(OR(D1068="Fail",E1068="Fail",F1068="Fail"),"Fail",IF(AND(D1068="Pass",E1068="Pass",F1068="Pass"),"Pass","Incomplete")))</f>
        <v/>
      </c>
      <c r="H1068" s="18"/>
      <c r="I1068" s="18"/>
    </row>
    <row r="1069" customFormat="false" ht="15.75" hidden="false" customHeight="true" outlineLevel="0" collapsed="false">
      <c r="A1069" s="18"/>
      <c r="B1069" s="18"/>
      <c r="C1069" s="19"/>
      <c r="D1069" s="20"/>
      <c r="E1069" s="20"/>
      <c r="F1069" s="20"/>
      <c r="G1069" s="20" t="str">
        <f aca="false">IF(COUNTBLANK(D1069:F1069)=3,"",IF(OR(D1069="Fail",E1069="Fail",F1069="Fail"),"Fail",IF(AND(D1069="Pass",E1069="Pass",F1069="Pass"),"Pass","Incomplete")))</f>
        <v/>
      </c>
      <c r="H1069" s="18"/>
      <c r="I1069" s="18"/>
    </row>
    <row r="1070" customFormat="false" ht="15.75" hidden="false" customHeight="true" outlineLevel="0" collapsed="false">
      <c r="A1070" s="18"/>
      <c r="B1070" s="18"/>
      <c r="C1070" s="19"/>
      <c r="D1070" s="20"/>
      <c r="E1070" s="20"/>
      <c r="F1070" s="20"/>
      <c r="G1070" s="20" t="str">
        <f aca="false">IF(COUNTBLANK(D1070:F1070)=3,"",IF(OR(D1070="Fail",E1070="Fail",F1070="Fail"),"Fail",IF(AND(D1070="Pass",E1070="Pass",F1070="Pass"),"Pass","Incomplete")))</f>
        <v/>
      </c>
      <c r="H1070" s="18"/>
      <c r="I1070" s="18"/>
    </row>
    <row r="1071" customFormat="false" ht="15.75" hidden="false" customHeight="true" outlineLevel="0" collapsed="false">
      <c r="A1071" s="18"/>
      <c r="B1071" s="18"/>
      <c r="C1071" s="19"/>
      <c r="D1071" s="20"/>
      <c r="E1071" s="20"/>
      <c r="F1071" s="20"/>
      <c r="G1071" s="20" t="str">
        <f aca="false">IF(COUNTBLANK(D1071:F1071)=3,"",IF(OR(D1071="Fail",E1071="Fail",F1071="Fail"),"Fail",IF(AND(D1071="Pass",E1071="Pass",F1071="Pass"),"Pass","Incomplete")))</f>
        <v/>
      </c>
      <c r="H1071" s="18"/>
      <c r="I1071" s="18"/>
    </row>
    <row r="1072" customFormat="false" ht="15.75" hidden="false" customHeight="true" outlineLevel="0" collapsed="false">
      <c r="A1072" s="18"/>
      <c r="B1072" s="18"/>
      <c r="C1072" s="19"/>
      <c r="D1072" s="20"/>
      <c r="E1072" s="20"/>
      <c r="F1072" s="20"/>
      <c r="G1072" s="20" t="str">
        <f aca="false">IF(COUNTBLANK(D1072:F1072)=3,"",IF(OR(D1072="Fail",E1072="Fail",F1072="Fail"),"Fail",IF(AND(D1072="Pass",E1072="Pass",F1072="Pass"),"Pass","Incomplete")))</f>
        <v/>
      </c>
      <c r="H1072" s="18"/>
      <c r="I1072" s="18"/>
    </row>
    <row r="1073" customFormat="false" ht="15.75" hidden="false" customHeight="true" outlineLevel="0" collapsed="false">
      <c r="A1073" s="18"/>
      <c r="B1073" s="18"/>
      <c r="C1073" s="19"/>
      <c r="D1073" s="20"/>
      <c r="E1073" s="20"/>
      <c r="F1073" s="20"/>
      <c r="G1073" s="20" t="str">
        <f aca="false">IF(COUNTBLANK(D1073:F1073)=3,"",IF(OR(D1073="Fail",E1073="Fail",F1073="Fail"),"Fail",IF(AND(D1073="Pass",E1073="Pass",F1073="Pass"),"Pass","Incomplete")))</f>
        <v/>
      </c>
      <c r="H1073" s="18"/>
      <c r="I1073" s="18"/>
    </row>
    <row r="1074" customFormat="false" ht="15.75" hidden="false" customHeight="true" outlineLevel="0" collapsed="false">
      <c r="A1074" s="18"/>
      <c r="B1074" s="18"/>
      <c r="C1074" s="19"/>
      <c r="D1074" s="20"/>
      <c r="E1074" s="20"/>
      <c r="F1074" s="20"/>
      <c r="G1074" s="20" t="str">
        <f aca="false">IF(COUNTBLANK(D1074:F1074)=3,"",IF(OR(D1074="Fail",E1074="Fail",F1074="Fail"),"Fail",IF(AND(D1074="Pass",E1074="Pass",F1074="Pass"),"Pass","Incomplete")))</f>
        <v/>
      </c>
      <c r="H1074" s="18"/>
      <c r="I1074" s="18"/>
    </row>
    <row r="1075" customFormat="false" ht="15.75" hidden="false" customHeight="true" outlineLevel="0" collapsed="false">
      <c r="A1075" s="18"/>
      <c r="B1075" s="18"/>
      <c r="C1075" s="19"/>
      <c r="D1075" s="20"/>
      <c r="E1075" s="20"/>
      <c r="F1075" s="20"/>
      <c r="G1075" s="20" t="str">
        <f aca="false">IF(COUNTBLANK(D1075:F1075)=3,"",IF(OR(D1075="Fail",E1075="Fail",F1075="Fail"),"Fail",IF(AND(D1075="Pass",E1075="Pass",F1075="Pass"),"Pass","Incomplete")))</f>
        <v/>
      </c>
      <c r="H1075" s="18"/>
      <c r="I1075" s="18"/>
    </row>
    <row r="1076" customFormat="false" ht="15.75" hidden="false" customHeight="true" outlineLevel="0" collapsed="false">
      <c r="A1076" s="18"/>
      <c r="B1076" s="18"/>
      <c r="C1076" s="19"/>
      <c r="D1076" s="20"/>
      <c r="E1076" s="20"/>
      <c r="F1076" s="20"/>
      <c r="G1076" s="20" t="str">
        <f aca="false">IF(COUNTBLANK(D1076:F1076)=3,"",IF(OR(D1076="Fail",E1076="Fail",F1076="Fail"),"Fail",IF(AND(D1076="Pass",E1076="Pass",F1076="Pass"),"Pass","Incomplete")))</f>
        <v/>
      </c>
      <c r="H1076" s="18"/>
      <c r="I1076" s="18"/>
    </row>
    <row r="1077" customFormat="false" ht="15.75" hidden="false" customHeight="true" outlineLevel="0" collapsed="false">
      <c r="A1077" s="18"/>
      <c r="B1077" s="18"/>
      <c r="C1077" s="19"/>
      <c r="D1077" s="20"/>
      <c r="E1077" s="20"/>
      <c r="F1077" s="20"/>
      <c r="G1077" s="20" t="str">
        <f aca="false">IF(COUNTBLANK(D1077:F1077)=3,"",IF(OR(D1077="Fail",E1077="Fail",F1077="Fail"),"Fail",IF(AND(D1077="Pass",E1077="Pass",F1077="Pass"),"Pass","Incomplete")))</f>
        <v/>
      </c>
      <c r="H1077" s="18"/>
      <c r="I1077" s="18"/>
    </row>
    <row r="1078" customFormat="false" ht="15.75" hidden="false" customHeight="true" outlineLevel="0" collapsed="false">
      <c r="A1078" s="18"/>
      <c r="B1078" s="18"/>
      <c r="C1078" s="19"/>
      <c r="D1078" s="20"/>
      <c r="E1078" s="20"/>
      <c r="F1078" s="20"/>
      <c r="G1078" s="20" t="str">
        <f aca="false">IF(COUNTBLANK(D1078:F1078)=3,"",IF(OR(D1078="Fail",E1078="Fail",F1078="Fail"),"Fail",IF(AND(D1078="Pass",E1078="Pass",F1078="Pass"),"Pass","Incomplete")))</f>
        <v/>
      </c>
      <c r="H1078" s="18"/>
      <c r="I1078" s="18"/>
    </row>
    <row r="1079" customFormat="false" ht="15.75" hidden="false" customHeight="true" outlineLevel="0" collapsed="false">
      <c r="A1079" s="18"/>
      <c r="B1079" s="18"/>
      <c r="C1079" s="19"/>
      <c r="D1079" s="20"/>
      <c r="E1079" s="20"/>
      <c r="F1079" s="20"/>
      <c r="G1079" s="20" t="str">
        <f aca="false">IF(COUNTBLANK(D1079:F1079)=3,"",IF(OR(D1079="Fail",E1079="Fail",F1079="Fail"),"Fail",IF(AND(D1079="Pass",E1079="Pass",F1079="Pass"),"Pass","Incomplete")))</f>
        <v/>
      </c>
      <c r="H1079" s="18"/>
      <c r="I1079" s="18"/>
    </row>
    <row r="1080" customFormat="false" ht="15.75" hidden="false" customHeight="true" outlineLevel="0" collapsed="false">
      <c r="A1080" s="18"/>
      <c r="B1080" s="18"/>
      <c r="C1080" s="19"/>
      <c r="D1080" s="20"/>
      <c r="E1080" s="20"/>
      <c r="F1080" s="20"/>
      <c r="G1080" s="20" t="str">
        <f aca="false">IF(COUNTBLANK(D1080:F1080)=3,"",IF(OR(D1080="Fail",E1080="Fail",F1080="Fail"),"Fail",IF(AND(D1080="Pass",E1080="Pass",F1080="Pass"),"Pass","Incomplete")))</f>
        <v/>
      </c>
      <c r="H1080" s="18"/>
      <c r="I1080" s="18"/>
    </row>
    <row r="1081" customFormat="false" ht="15.75" hidden="false" customHeight="true" outlineLevel="0" collapsed="false">
      <c r="A1081" s="18"/>
      <c r="B1081" s="18"/>
      <c r="C1081" s="19"/>
      <c r="D1081" s="20"/>
      <c r="E1081" s="20"/>
      <c r="F1081" s="20"/>
      <c r="G1081" s="20" t="str">
        <f aca="false">IF(COUNTBLANK(D1081:F1081)=3,"",IF(OR(D1081="Fail",E1081="Fail",F1081="Fail"),"Fail",IF(AND(D1081="Pass",E1081="Pass",F1081="Pass"),"Pass","Incomplete")))</f>
        <v/>
      </c>
      <c r="H1081" s="18"/>
      <c r="I1081" s="18"/>
    </row>
    <row r="1082" customFormat="false" ht="15.75" hidden="false" customHeight="true" outlineLevel="0" collapsed="false">
      <c r="A1082" s="18"/>
      <c r="B1082" s="18"/>
      <c r="C1082" s="19"/>
      <c r="D1082" s="20"/>
      <c r="E1082" s="20"/>
      <c r="F1082" s="20"/>
      <c r="G1082" s="20" t="str">
        <f aca="false">IF(COUNTBLANK(D1082:F1082)=3,"",IF(OR(D1082="Fail",E1082="Fail",F1082="Fail"),"Fail",IF(AND(D1082="Pass",E1082="Pass",F1082="Pass"),"Pass","Incomplete")))</f>
        <v/>
      </c>
      <c r="H1082" s="18"/>
      <c r="I1082" s="18"/>
    </row>
    <row r="1083" customFormat="false" ht="15.75" hidden="false" customHeight="true" outlineLevel="0" collapsed="false">
      <c r="A1083" s="18"/>
      <c r="B1083" s="18"/>
      <c r="C1083" s="19"/>
      <c r="D1083" s="20"/>
      <c r="E1083" s="20"/>
      <c r="F1083" s="20"/>
      <c r="G1083" s="20" t="str">
        <f aca="false">IF(COUNTBLANK(D1083:F1083)=3,"",IF(OR(D1083="Fail",E1083="Fail",F1083="Fail"),"Fail",IF(AND(D1083="Pass",E1083="Pass",F1083="Pass"),"Pass","Incomplete")))</f>
        <v/>
      </c>
      <c r="H1083" s="18"/>
      <c r="I1083" s="18"/>
    </row>
    <row r="1084" customFormat="false" ht="15.75" hidden="false" customHeight="true" outlineLevel="0" collapsed="false">
      <c r="A1084" s="18"/>
      <c r="B1084" s="18"/>
      <c r="C1084" s="19"/>
      <c r="D1084" s="20"/>
      <c r="E1084" s="20"/>
      <c r="F1084" s="20"/>
      <c r="G1084" s="20" t="str">
        <f aca="false">IF(COUNTBLANK(D1084:F1084)=3,"",IF(OR(D1084="Fail",E1084="Fail",F1084="Fail"),"Fail",IF(AND(D1084="Pass",E1084="Pass",F1084="Pass"),"Pass","Incomplete")))</f>
        <v/>
      </c>
      <c r="H1084" s="18"/>
      <c r="I1084" s="18"/>
    </row>
    <row r="1085" customFormat="false" ht="15.75" hidden="false" customHeight="true" outlineLevel="0" collapsed="false">
      <c r="A1085" s="18"/>
      <c r="B1085" s="18"/>
      <c r="C1085" s="19"/>
      <c r="D1085" s="20"/>
      <c r="E1085" s="20"/>
      <c r="F1085" s="20"/>
      <c r="G1085" s="20" t="str">
        <f aca="false">IF(COUNTBLANK(D1085:F1085)=3,"",IF(OR(D1085="Fail",E1085="Fail",F1085="Fail"),"Fail",IF(AND(D1085="Pass",E1085="Pass",F1085="Pass"),"Pass","Incomplete")))</f>
        <v/>
      </c>
      <c r="H1085" s="18"/>
      <c r="I1085" s="18"/>
    </row>
    <row r="1086" customFormat="false" ht="15.75" hidden="false" customHeight="true" outlineLevel="0" collapsed="false">
      <c r="A1086" s="18"/>
      <c r="B1086" s="18"/>
      <c r="C1086" s="19"/>
      <c r="D1086" s="20"/>
      <c r="E1086" s="20"/>
      <c r="F1086" s="20"/>
      <c r="G1086" s="20" t="str">
        <f aca="false">IF(COUNTBLANK(D1086:F1086)=3,"",IF(OR(D1086="Fail",E1086="Fail",F1086="Fail"),"Fail",IF(AND(D1086="Pass",E1086="Pass",F1086="Pass"),"Pass","Incomplete")))</f>
        <v/>
      </c>
      <c r="H1086" s="18"/>
      <c r="I1086" s="18"/>
    </row>
    <row r="1087" customFormat="false" ht="15.75" hidden="false" customHeight="true" outlineLevel="0" collapsed="false">
      <c r="A1087" s="18"/>
      <c r="B1087" s="18"/>
      <c r="C1087" s="19"/>
      <c r="D1087" s="20"/>
      <c r="E1087" s="20"/>
      <c r="F1087" s="20"/>
      <c r="G1087" s="20" t="str">
        <f aca="false">IF(COUNTBLANK(D1087:F1087)=3,"",IF(OR(D1087="Fail",E1087="Fail",F1087="Fail"),"Fail",IF(AND(D1087="Pass",E1087="Pass",F1087="Pass"),"Pass","Incomplete")))</f>
        <v/>
      </c>
      <c r="H1087" s="18"/>
      <c r="I1087" s="18"/>
    </row>
    <row r="1088" customFormat="false" ht="15.75" hidden="false" customHeight="true" outlineLevel="0" collapsed="false">
      <c r="A1088" s="18"/>
      <c r="B1088" s="18"/>
      <c r="C1088" s="19"/>
      <c r="D1088" s="20"/>
      <c r="E1088" s="20"/>
      <c r="F1088" s="20"/>
      <c r="G1088" s="20" t="str">
        <f aca="false">IF(COUNTBLANK(D1088:F1088)=3,"",IF(OR(D1088="Fail",E1088="Fail",F1088="Fail"),"Fail",IF(AND(D1088="Pass",E1088="Pass",F1088="Pass"),"Pass","Incomplete")))</f>
        <v/>
      </c>
      <c r="H1088" s="18"/>
      <c r="I1088" s="18"/>
    </row>
    <row r="1089" customFormat="false" ht="15.75" hidden="false" customHeight="true" outlineLevel="0" collapsed="false">
      <c r="A1089" s="18"/>
      <c r="B1089" s="18"/>
      <c r="C1089" s="19"/>
      <c r="D1089" s="20"/>
      <c r="E1089" s="20"/>
      <c r="F1089" s="20"/>
      <c r="G1089" s="20" t="str">
        <f aca="false">IF(COUNTBLANK(D1089:F1089)=3,"",IF(OR(D1089="Fail",E1089="Fail",F1089="Fail"),"Fail",IF(AND(D1089="Pass",E1089="Pass",F1089="Pass"),"Pass","Incomplete")))</f>
        <v/>
      </c>
      <c r="H1089" s="18"/>
      <c r="I1089" s="18"/>
    </row>
    <row r="1090" customFormat="false" ht="15.75" hidden="false" customHeight="true" outlineLevel="0" collapsed="false">
      <c r="A1090" s="18"/>
      <c r="B1090" s="18"/>
      <c r="C1090" s="19"/>
      <c r="D1090" s="20"/>
      <c r="E1090" s="20"/>
      <c r="F1090" s="20"/>
      <c r="G1090" s="20" t="str">
        <f aca="false">IF(COUNTBLANK(D1090:F1090)=3,"",IF(OR(D1090="Fail",E1090="Fail",F1090="Fail"),"Fail",IF(AND(D1090="Pass",E1090="Pass",F1090="Pass"),"Pass","Incomplete")))</f>
        <v/>
      </c>
      <c r="H1090" s="18"/>
      <c r="I1090" s="18"/>
    </row>
    <row r="1091" customFormat="false" ht="15.75" hidden="false" customHeight="true" outlineLevel="0" collapsed="false">
      <c r="A1091" s="18"/>
      <c r="B1091" s="18"/>
      <c r="C1091" s="19"/>
      <c r="D1091" s="20"/>
      <c r="E1091" s="20"/>
      <c r="F1091" s="20"/>
      <c r="G1091" s="20" t="str">
        <f aca="false">IF(COUNTBLANK(D1091:F1091)=3,"",IF(OR(D1091="Fail",E1091="Fail",F1091="Fail"),"Fail",IF(AND(D1091="Pass",E1091="Pass",F1091="Pass"),"Pass","Incomplete")))</f>
        <v/>
      </c>
      <c r="H1091" s="18"/>
      <c r="I1091" s="18"/>
    </row>
    <row r="1092" customFormat="false" ht="15.75" hidden="false" customHeight="true" outlineLevel="0" collapsed="false">
      <c r="A1092" s="18"/>
      <c r="B1092" s="18"/>
      <c r="C1092" s="19"/>
      <c r="D1092" s="20"/>
      <c r="E1092" s="20"/>
      <c r="F1092" s="20"/>
      <c r="G1092" s="20" t="str">
        <f aca="false">IF(COUNTBLANK(D1092:F1092)=3,"",IF(OR(D1092="Fail",E1092="Fail",F1092="Fail"),"Fail",IF(AND(D1092="Pass",E1092="Pass",F1092="Pass"),"Pass","Incomplete")))</f>
        <v/>
      </c>
      <c r="H1092" s="18"/>
      <c r="I1092" s="18"/>
    </row>
    <row r="1093" customFormat="false" ht="15.75" hidden="false" customHeight="true" outlineLevel="0" collapsed="false">
      <c r="A1093" s="18"/>
      <c r="B1093" s="18"/>
      <c r="C1093" s="19"/>
      <c r="D1093" s="20"/>
      <c r="E1093" s="20"/>
      <c r="F1093" s="20"/>
      <c r="G1093" s="20" t="str">
        <f aca="false">IF(COUNTBLANK(D1093:F1093)=3,"",IF(OR(D1093="Fail",E1093="Fail",F1093="Fail"),"Fail",IF(AND(D1093="Pass",E1093="Pass",F1093="Pass"),"Pass","Incomplete")))</f>
        <v/>
      </c>
      <c r="H1093" s="18"/>
      <c r="I1093" s="18"/>
    </row>
    <row r="1094" customFormat="false" ht="15.75" hidden="false" customHeight="true" outlineLevel="0" collapsed="false">
      <c r="A1094" s="18"/>
      <c r="B1094" s="18"/>
      <c r="C1094" s="19"/>
      <c r="D1094" s="20"/>
      <c r="E1094" s="20"/>
      <c r="F1094" s="20"/>
      <c r="G1094" s="20" t="str">
        <f aca="false">IF(COUNTBLANK(D1094:F1094)=3,"",IF(OR(D1094="Fail",E1094="Fail",F1094="Fail"),"Fail",IF(AND(D1094="Pass",E1094="Pass",F1094="Pass"),"Pass","Incomplete")))</f>
        <v/>
      </c>
      <c r="H1094" s="18"/>
      <c r="I1094" s="18"/>
    </row>
    <row r="1095" customFormat="false" ht="15.75" hidden="false" customHeight="true" outlineLevel="0" collapsed="false">
      <c r="A1095" s="18"/>
      <c r="B1095" s="18"/>
      <c r="C1095" s="19"/>
      <c r="D1095" s="20"/>
      <c r="E1095" s="20"/>
      <c r="F1095" s="20"/>
      <c r="G1095" s="20" t="str">
        <f aca="false">IF(COUNTBLANK(D1095:F1095)=3,"",IF(OR(D1095="Fail",E1095="Fail",F1095="Fail"),"Fail",IF(AND(D1095="Pass",E1095="Pass",F1095="Pass"),"Pass","Incomplete")))</f>
        <v/>
      </c>
      <c r="H1095" s="18"/>
      <c r="I1095" s="18"/>
    </row>
    <row r="1096" customFormat="false" ht="15.75" hidden="false" customHeight="true" outlineLevel="0" collapsed="false">
      <c r="A1096" s="18"/>
      <c r="B1096" s="18"/>
      <c r="C1096" s="19"/>
      <c r="D1096" s="20"/>
      <c r="E1096" s="20"/>
      <c r="F1096" s="20"/>
      <c r="G1096" s="20" t="str">
        <f aca="false">IF(COUNTBLANK(D1096:F1096)=3,"",IF(OR(D1096="Fail",E1096="Fail",F1096="Fail"),"Fail",IF(AND(D1096="Pass",E1096="Pass",F1096="Pass"),"Pass","Incomplete")))</f>
        <v/>
      </c>
      <c r="H1096" s="18"/>
      <c r="I1096" s="18"/>
    </row>
    <row r="1097" customFormat="false" ht="15.75" hidden="false" customHeight="true" outlineLevel="0" collapsed="false">
      <c r="A1097" s="18"/>
      <c r="B1097" s="18"/>
      <c r="C1097" s="19"/>
      <c r="D1097" s="20"/>
      <c r="E1097" s="20"/>
      <c r="F1097" s="20"/>
      <c r="G1097" s="20" t="str">
        <f aca="false">IF(COUNTBLANK(D1097:F1097)=3,"",IF(OR(D1097="Fail",E1097="Fail",F1097="Fail"),"Fail",IF(AND(D1097="Pass",E1097="Pass",F1097="Pass"),"Pass","Incomplete")))</f>
        <v/>
      </c>
      <c r="H1097" s="18"/>
      <c r="I1097" s="18"/>
    </row>
    <row r="1098" customFormat="false" ht="15.75" hidden="false" customHeight="true" outlineLevel="0" collapsed="false">
      <c r="A1098" s="18"/>
      <c r="B1098" s="18"/>
      <c r="C1098" s="19"/>
      <c r="D1098" s="20"/>
      <c r="E1098" s="20"/>
      <c r="F1098" s="20"/>
      <c r="G1098" s="20" t="str">
        <f aca="false">IF(COUNTBLANK(D1098:F1098)=3,"",IF(OR(D1098="Fail",E1098="Fail",F1098="Fail"),"Fail",IF(AND(D1098="Pass",E1098="Pass",F1098="Pass"),"Pass","Incomplete")))</f>
        <v/>
      </c>
      <c r="H1098" s="18"/>
      <c r="I1098" s="18"/>
    </row>
    <row r="1099" customFormat="false" ht="15.75" hidden="false" customHeight="true" outlineLevel="0" collapsed="false">
      <c r="A1099" s="18"/>
      <c r="B1099" s="18"/>
      <c r="C1099" s="19"/>
      <c r="D1099" s="20"/>
      <c r="E1099" s="20"/>
      <c r="F1099" s="20"/>
      <c r="G1099" s="20" t="str">
        <f aca="false">IF(COUNTBLANK(D1099:F1099)=3,"",IF(OR(D1099="Fail",E1099="Fail",F1099="Fail"),"Fail",IF(AND(D1099="Pass",E1099="Pass",F1099="Pass"),"Pass","Incomplete")))</f>
        <v/>
      </c>
      <c r="H1099" s="18"/>
      <c r="I1099" s="18"/>
    </row>
    <row r="1100" customFormat="false" ht="15.75" hidden="false" customHeight="true" outlineLevel="0" collapsed="false">
      <c r="A1100" s="18"/>
      <c r="B1100" s="18"/>
      <c r="C1100" s="19"/>
      <c r="D1100" s="20"/>
      <c r="E1100" s="20"/>
      <c r="F1100" s="20"/>
      <c r="G1100" s="20" t="str">
        <f aca="false">IF(COUNTBLANK(D1100:F1100)=3,"",IF(OR(D1100="Fail",E1100="Fail",F1100="Fail"),"Fail",IF(AND(D1100="Pass",E1100="Pass",F1100="Pass"),"Pass","Incomplete")))</f>
        <v/>
      </c>
      <c r="H1100" s="18"/>
      <c r="I1100" s="18"/>
    </row>
    <row r="1101" customFormat="false" ht="15.75" hidden="false" customHeight="true" outlineLevel="0" collapsed="false">
      <c r="A1101" s="18"/>
      <c r="B1101" s="18"/>
      <c r="C1101" s="19"/>
      <c r="D1101" s="20"/>
      <c r="E1101" s="20"/>
      <c r="F1101" s="20"/>
      <c r="G1101" s="20" t="str">
        <f aca="false">IF(COUNTBLANK(D1101:F1101)=3,"",IF(OR(D1101="Fail",E1101="Fail",F1101="Fail"),"Fail",IF(AND(D1101="Pass",E1101="Pass",F1101="Pass"),"Pass","Incomplete")))</f>
        <v/>
      </c>
      <c r="H1101" s="18"/>
      <c r="I1101" s="18"/>
    </row>
    <row r="1102" customFormat="false" ht="15.75" hidden="false" customHeight="true" outlineLevel="0" collapsed="false">
      <c r="A1102" s="18"/>
      <c r="B1102" s="18"/>
      <c r="C1102" s="19"/>
      <c r="D1102" s="20"/>
      <c r="E1102" s="20"/>
      <c r="F1102" s="20"/>
      <c r="G1102" s="20" t="str">
        <f aca="false">IF(COUNTBLANK(D1102:F1102)=3,"",IF(OR(D1102="Fail",E1102="Fail",F1102="Fail"),"Fail",IF(AND(D1102="Pass",E1102="Pass",F1102="Pass"),"Pass","Incomplete")))</f>
        <v/>
      </c>
      <c r="H1102" s="18"/>
      <c r="I1102" s="18"/>
    </row>
    <row r="1103" customFormat="false" ht="15.75" hidden="false" customHeight="true" outlineLevel="0" collapsed="false">
      <c r="A1103" s="18"/>
      <c r="B1103" s="18"/>
      <c r="C1103" s="19"/>
      <c r="D1103" s="20"/>
      <c r="E1103" s="20"/>
      <c r="F1103" s="20"/>
      <c r="G1103" s="20" t="str">
        <f aca="false">IF(COUNTBLANK(D1103:F1103)=3,"",IF(OR(D1103="Fail",E1103="Fail",F1103="Fail"),"Fail",IF(AND(D1103="Pass",E1103="Pass",F1103="Pass"),"Pass","Incomplete")))</f>
        <v/>
      </c>
      <c r="H1103" s="18"/>
      <c r="I1103" s="18"/>
    </row>
    <row r="1104" customFormat="false" ht="15.75" hidden="false" customHeight="true" outlineLevel="0" collapsed="false">
      <c r="A1104" s="18"/>
      <c r="B1104" s="18"/>
      <c r="C1104" s="19"/>
      <c r="D1104" s="20"/>
      <c r="E1104" s="20"/>
      <c r="F1104" s="20"/>
      <c r="G1104" s="20" t="str">
        <f aca="false">IF(COUNTBLANK(D1104:F1104)=3,"",IF(OR(D1104="Fail",E1104="Fail",F1104="Fail"),"Fail",IF(AND(D1104="Pass",E1104="Pass",F1104="Pass"),"Pass","Incomplete")))</f>
        <v/>
      </c>
      <c r="H1104" s="18"/>
      <c r="I1104" s="18"/>
    </row>
    <row r="1105" customFormat="false" ht="15.75" hidden="false" customHeight="true" outlineLevel="0" collapsed="false">
      <c r="A1105" s="18"/>
      <c r="B1105" s="18"/>
      <c r="C1105" s="19"/>
      <c r="D1105" s="20"/>
      <c r="E1105" s="20"/>
      <c r="F1105" s="20"/>
      <c r="G1105" s="20" t="str">
        <f aca="false">IF(COUNTBLANK(D1105:F1105)=3,"",IF(OR(D1105="Fail",E1105="Fail",F1105="Fail"),"Fail",IF(AND(D1105="Pass",E1105="Pass",F1105="Pass"),"Pass","Incomplete")))</f>
        <v/>
      </c>
      <c r="H1105" s="18"/>
      <c r="I1105" s="18"/>
    </row>
    <row r="1106" customFormat="false" ht="15.75" hidden="false" customHeight="true" outlineLevel="0" collapsed="false">
      <c r="A1106" s="18"/>
      <c r="B1106" s="18"/>
      <c r="C1106" s="19"/>
      <c r="D1106" s="20"/>
      <c r="E1106" s="20"/>
      <c r="F1106" s="20"/>
      <c r="G1106" s="20" t="str">
        <f aca="false">IF(COUNTBLANK(D1106:F1106)=3,"",IF(OR(D1106="Fail",E1106="Fail",F1106="Fail"),"Fail",IF(AND(D1106="Pass",E1106="Pass",F1106="Pass"),"Pass","Incomplete")))</f>
        <v/>
      </c>
      <c r="H1106" s="18"/>
      <c r="I1106" s="18"/>
    </row>
    <row r="1107" customFormat="false" ht="15.75" hidden="false" customHeight="true" outlineLevel="0" collapsed="false">
      <c r="A1107" s="18"/>
      <c r="B1107" s="18"/>
      <c r="C1107" s="19"/>
      <c r="D1107" s="20"/>
      <c r="E1107" s="20"/>
      <c r="F1107" s="20"/>
      <c r="G1107" s="20" t="str">
        <f aca="false">IF(COUNTBLANK(D1107:F1107)=3,"",IF(OR(D1107="Fail",E1107="Fail",F1107="Fail"),"Fail",IF(AND(D1107="Pass",E1107="Pass",F1107="Pass"),"Pass","Incomplete")))</f>
        <v/>
      </c>
      <c r="H1107" s="18"/>
      <c r="I1107" s="18"/>
    </row>
    <row r="1108" customFormat="false" ht="15.75" hidden="false" customHeight="true" outlineLevel="0" collapsed="false">
      <c r="A1108" s="18"/>
      <c r="B1108" s="18"/>
      <c r="C1108" s="19"/>
      <c r="D1108" s="20"/>
      <c r="E1108" s="20"/>
      <c r="F1108" s="20"/>
      <c r="G1108" s="20" t="str">
        <f aca="false">IF(COUNTBLANK(D1108:F1108)=3,"",IF(OR(D1108="Fail",E1108="Fail",F1108="Fail"),"Fail",IF(AND(D1108="Pass",E1108="Pass",F1108="Pass"),"Pass","Incomplete")))</f>
        <v/>
      </c>
      <c r="H1108" s="18"/>
      <c r="I1108" s="18"/>
    </row>
    <row r="1109" customFormat="false" ht="15.75" hidden="false" customHeight="true" outlineLevel="0" collapsed="false">
      <c r="A1109" s="18"/>
      <c r="B1109" s="18"/>
      <c r="C1109" s="19"/>
      <c r="D1109" s="20"/>
      <c r="E1109" s="20"/>
      <c r="F1109" s="20"/>
      <c r="G1109" s="20" t="str">
        <f aca="false">IF(COUNTBLANK(D1109:F1109)=3,"",IF(OR(D1109="Fail",E1109="Fail",F1109="Fail"),"Fail",IF(AND(D1109="Pass",E1109="Pass",F1109="Pass"),"Pass","Incomplete")))</f>
        <v/>
      </c>
      <c r="H1109" s="18"/>
      <c r="I1109" s="18"/>
    </row>
    <row r="1110" customFormat="false" ht="15.75" hidden="false" customHeight="true" outlineLevel="0" collapsed="false">
      <c r="A1110" s="18"/>
      <c r="B1110" s="18"/>
      <c r="C1110" s="19"/>
      <c r="D1110" s="20"/>
      <c r="E1110" s="20"/>
      <c r="F1110" s="20"/>
      <c r="G1110" s="20" t="str">
        <f aca="false">IF(COUNTBLANK(D1110:F1110)=3,"",IF(OR(D1110="Fail",E1110="Fail",F1110="Fail"),"Fail",IF(AND(D1110="Pass",E1110="Pass",F1110="Pass"),"Pass","Incomplete")))</f>
        <v/>
      </c>
      <c r="H1110" s="18"/>
      <c r="I1110" s="18"/>
    </row>
    <row r="1111" customFormat="false" ht="15.75" hidden="false" customHeight="true" outlineLevel="0" collapsed="false">
      <c r="A1111" s="18"/>
      <c r="B1111" s="18"/>
      <c r="C1111" s="19"/>
      <c r="D1111" s="20"/>
      <c r="E1111" s="20"/>
      <c r="F1111" s="20"/>
      <c r="G1111" s="20" t="str">
        <f aca="false">IF(COUNTBLANK(D1111:F1111)=3,"",IF(OR(D1111="Fail",E1111="Fail",F1111="Fail"),"Fail",IF(AND(D1111="Pass",E1111="Pass",F1111="Pass"),"Pass","Incomplete")))</f>
        <v/>
      </c>
      <c r="H1111" s="18"/>
      <c r="I1111" s="18"/>
    </row>
    <row r="1112" customFormat="false" ht="15.75" hidden="false" customHeight="true" outlineLevel="0" collapsed="false">
      <c r="A1112" s="18"/>
      <c r="B1112" s="18"/>
      <c r="C1112" s="19"/>
      <c r="D1112" s="20"/>
      <c r="E1112" s="20"/>
      <c r="F1112" s="20"/>
      <c r="G1112" s="20" t="str">
        <f aca="false">IF(COUNTBLANK(D1112:F1112)=3,"",IF(OR(D1112="Fail",E1112="Fail",F1112="Fail"),"Fail",IF(AND(D1112="Pass",E1112="Pass",F1112="Pass"),"Pass","Incomplete")))</f>
        <v/>
      </c>
      <c r="H1112" s="18"/>
      <c r="I1112" s="18"/>
    </row>
    <row r="1113" customFormat="false" ht="15.75" hidden="false" customHeight="true" outlineLevel="0" collapsed="false">
      <c r="A1113" s="18"/>
      <c r="B1113" s="18"/>
      <c r="C1113" s="19"/>
      <c r="D1113" s="20"/>
      <c r="E1113" s="20"/>
      <c r="F1113" s="20"/>
      <c r="G1113" s="20" t="str">
        <f aca="false">IF(COUNTBLANK(D1113:F1113)=3,"",IF(OR(D1113="Fail",E1113="Fail",F1113="Fail"),"Fail",IF(AND(D1113="Pass",E1113="Pass",F1113="Pass"),"Pass","Incomplete")))</f>
        <v/>
      </c>
      <c r="H1113" s="18"/>
      <c r="I1113" s="18"/>
    </row>
    <row r="1114" customFormat="false" ht="15.75" hidden="false" customHeight="true" outlineLevel="0" collapsed="false">
      <c r="A1114" s="18"/>
      <c r="B1114" s="18"/>
      <c r="C1114" s="19"/>
      <c r="D1114" s="20"/>
      <c r="E1114" s="20"/>
      <c r="F1114" s="20"/>
      <c r="G1114" s="20" t="str">
        <f aca="false">IF(COUNTBLANK(D1114:F1114)=3,"",IF(OR(D1114="Fail",E1114="Fail",F1114="Fail"),"Fail",IF(AND(D1114="Pass",E1114="Pass",F1114="Pass"),"Pass","Incomplete")))</f>
        <v/>
      </c>
      <c r="H1114" s="18"/>
      <c r="I1114" s="18"/>
    </row>
    <row r="1115" customFormat="false" ht="15.75" hidden="false" customHeight="true" outlineLevel="0" collapsed="false">
      <c r="A1115" s="18"/>
      <c r="B1115" s="18"/>
      <c r="C1115" s="19"/>
      <c r="D1115" s="20"/>
      <c r="E1115" s="20"/>
      <c r="F1115" s="20"/>
      <c r="G1115" s="20" t="str">
        <f aca="false">IF(COUNTBLANK(D1115:F1115)=3,"",IF(OR(D1115="Fail",E1115="Fail",F1115="Fail"),"Fail",IF(AND(D1115="Pass",E1115="Pass",F1115="Pass"),"Pass","Incomplete")))</f>
        <v/>
      </c>
      <c r="H1115" s="18"/>
      <c r="I1115" s="18"/>
    </row>
    <row r="1116" customFormat="false" ht="15.75" hidden="false" customHeight="true" outlineLevel="0" collapsed="false">
      <c r="A1116" s="18"/>
      <c r="B1116" s="18"/>
      <c r="C1116" s="19"/>
      <c r="D1116" s="20"/>
      <c r="E1116" s="20"/>
      <c r="F1116" s="20"/>
      <c r="G1116" s="20" t="str">
        <f aca="false">IF(COUNTBLANK(D1116:F1116)=3,"",IF(OR(D1116="Fail",E1116="Fail",F1116="Fail"),"Fail",IF(AND(D1116="Pass",E1116="Pass",F1116="Pass"),"Pass","Incomplete")))</f>
        <v/>
      </c>
      <c r="H1116" s="18"/>
      <c r="I1116" s="18"/>
    </row>
    <row r="1117" customFormat="false" ht="15.75" hidden="false" customHeight="true" outlineLevel="0" collapsed="false">
      <c r="A1117" s="18"/>
      <c r="B1117" s="18"/>
      <c r="C1117" s="19"/>
      <c r="D1117" s="20"/>
      <c r="E1117" s="20"/>
      <c r="F1117" s="20"/>
      <c r="G1117" s="20" t="str">
        <f aca="false">IF(COUNTBLANK(D1117:F1117)=3,"",IF(OR(D1117="Fail",E1117="Fail",F1117="Fail"),"Fail",IF(AND(D1117="Pass",E1117="Pass",F1117="Pass"),"Pass","Incomplete")))</f>
        <v/>
      </c>
      <c r="H1117" s="18"/>
      <c r="I1117" s="18"/>
    </row>
    <row r="1118" customFormat="false" ht="15.75" hidden="false" customHeight="true" outlineLevel="0" collapsed="false">
      <c r="A1118" s="18"/>
      <c r="B1118" s="18"/>
      <c r="C1118" s="19"/>
      <c r="D1118" s="20"/>
      <c r="E1118" s="20"/>
      <c r="F1118" s="20"/>
      <c r="G1118" s="20" t="str">
        <f aca="false">IF(COUNTBLANK(D1118:F1118)=3,"",IF(OR(D1118="Fail",E1118="Fail",F1118="Fail"),"Fail",IF(AND(D1118="Pass",E1118="Pass",F1118="Pass"),"Pass","Incomplete")))</f>
        <v/>
      </c>
      <c r="H1118" s="18"/>
      <c r="I1118" s="18"/>
    </row>
    <row r="1119" customFormat="false" ht="15.75" hidden="false" customHeight="true" outlineLevel="0" collapsed="false">
      <c r="A1119" s="18"/>
      <c r="B1119" s="18"/>
      <c r="C1119" s="19"/>
      <c r="D1119" s="20"/>
      <c r="E1119" s="20"/>
      <c r="F1119" s="20"/>
      <c r="G1119" s="20" t="str">
        <f aca="false">IF(COUNTBLANK(D1119:F1119)=3,"",IF(OR(D1119="Fail",E1119="Fail",F1119="Fail"),"Fail",IF(AND(D1119="Pass",E1119="Pass",F1119="Pass"),"Pass","Incomplete")))</f>
        <v/>
      </c>
      <c r="H1119" s="18"/>
      <c r="I1119" s="18"/>
    </row>
    <row r="1120" customFormat="false" ht="15.75" hidden="false" customHeight="true" outlineLevel="0" collapsed="false">
      <c r="A1120" s="18"/>
      <c r="B1120" s="18"/>
      <c r="C1120" s="19"/>
      <c r="D1120" s="20"/>
      <c r="E1120" s="20"/>
      <c r="F1120" s="20"/>
      <c r="G1120" s="20" t="str">
        <f aca="false">IF(COUNTBLANK(D1120:F1120)=3,"",IF(OR(D1120="Fail",E1120="Fail",F1120="Fail"),"Fail",IF(AND(D1120="Pass",E1120="Pass",F1120="Pass"),"Pass","Incomplete")))</f>
        <v/>
      </c>
      <c r="H1120" s="18"/>
      <c r="I1120" s="18"/>
    </row>
    <row r="1121" customFormat="false" ht="15.75" hidden="false" customHeight="true" outlineLevel="0" collapsed="false">
      <c r="A1121" s="18"/>
      <c r="B1121" s="18"/>
      <c r="C1121" s="19"/>
      <c r="D1121" s="20"/>
      <c r="E1121" s="20"/>
      <c r="F1121" s="20"/>
      <c r="G1121" s="20" t="str">
        <f aca="false">IF(COUNTBLANK(D1121:F1121)=3,"",IF(OR(D1121="Fail",E1121="Fail",F1121="Fail"),"Fail",IF(AND(D1121="Pass",E1121="Pass",F1121="Pass"),"Pass","Incomplete")))</f>
        <v/>
      </c>
      <c r="H1121" s="18"/>
      <c r="I1121" s="18"/>
    </row>
    <row r="1122" customFormat="false" ht="15.75" hidden="false" customHeight="true" outlineLevel="0" collapsed="false">
      <c r="A1122" s="18"/>
      <c r="B1122" s="18"/>
      <c r="C1122" s="19"/>
      <c r="D1122" s="20"/>
      <c r="E1122" s="20"/>
      <c r="F1122" s="20"/>
      <c r="G1122" s="20" t="str">
        <f aca="false">IF(COUNTBLANK(D1122:F1122)=3,"",IF(OR(D1122="Fail",E1122="Fail",F1122="Fail"),"Fail",IF(AND(D1122="Pass",E1122="Pass",F1122="Pass"),"Pass","Incomplete")))</f>
        <v/>
      </c>
      <c r="H1122" s="18"/>
      <c r="I1122" s="18"/>
    </row>
    <row r="1123" customFormat="false" ht="15.75" hidden="false" customHeight="true" outlineLevel="0" collapsed="false">
      <c r="A1123" s="18"/>
      <c r="B1123" s="18"/>
      <c r="C1123" s="19"/>
      <c r="D1123" s="20"/>
      <c r="E1123" s="20"/>
      <c r="F1123" s="20"/>
      <c r="G1123" s="20" t="str">
        <f aca="false">IF(COUNTBLANK(D1123:F1123)=3,"",IF(OR(D1123="Fail",E1123="Fail",F1123="Fail"),"Fail",IF(AND(D1123="Pass",E1123="Pass",F1123="Pass"),"Pass","Incomplete")))</f>
        <v/>
      </c>
      <c r="H1123" s="18"/>
      <c r="I1123" s="18"/>
    </row>
    <row r="1124" customFormat="false" ht="15.75" hidden="false" customHeight="true" outlineLevel="0" collapsed="false">
      <c r="A1124" s="18"/>
      <c r="B1124" s="18"/>
      <c r="C1124" s="19"/>
      <c r="D1124" s="20"/>
      <c r="E1124" s="20"/>
      <c r="F1124" s="20"/>
      <c r="G1124" s="20" t="str">
        <f aca="false">IF(COUNTBLANK(D1124:F1124)=3,"",IF(OR(D1124="Fail",E1124="Fail",F1124="Fail"),"Fail",IF(AND(D1124="Pass",E1124="Pass",F1124="Pass"),"Pass","Incomplete")))</f>
        <v/>
      </c>
      <c r="H1124" s="18"/>
      <c r="I1124" s="18"/>
    </row>
    <row r="1125" customFormat="false" ht="15.75" hidden="false" customHeight="true" outlineLevel="0" collapsed="false">
      <c r="A1125" s="18"/>
      <c r="B1125" s="18"/>
      <c r="C1125" s="19"/>
      <c r="D1125" s="20"/>
      <c r="E1125" s="20"/>
      <c r="F1125" s="20"/>
      <c r="G1125" s="20" t="str">
        <f aca="false">IF(COUNTBLANK(D1125:F1125)=3,"",IF(OR(D1125="Fail",E1125="Fail",F1125="Fail"),"Fail",IF(AND(D1125="Pass",E1125="Pass",F1125="Pass"),"Pass","Incomplete")))</f>
        <v/>
      </c>
      <c r="H1125" s="18"/>
      <c r="I1125" s="18"/>
    </row>
    <row r="1126" customFormat="false" ht="15.75" hidden="false" customHeight="true" outlineLevel="0" collapsed="false">
      <c r="A1126" s="18"/>
      <c r="B1126" s="18"/>
      <c r="C1126" s="19"/>
      <c r="D1126" s="20"/>
      <c r="E1126" s="20"/>
      <c r="F1126" s="20"/>
      <c r="G1126" s="20" t="str">
        <f aca="false">IF(COUNTBLANK(D1126:F1126)=3,"",IF(OR(D1126="Fail",E1126="Fail",F1126="Fail"),"Fail",IF(AND(D1126="Pass",E1126="Pass",F1126="Pass"),"Pass","Incomplete")))</f>
        <v/>
      </c>
      <c r="H1126" s="18"/>
      <c r="I1126" s="18"/>
    </row>
    <row r="1127" customFormat="false" ht="15.75" hidden="false" customHeight="true" outlineLevel="0" collapsed="false">
      <c r="A1127" s="18"/>
      <c r="B1127" s="18"/>
      <c r="C1127" s="19"/>
      <c r="D1127" s="20"/>
      <c r="E1127" s="20"/>
      <c r="F1127" s="20"/>
      <c r="G1127" s="20" t="str">
        <f aca="false">IF(COUNTBLANK(D1127:F1127)=3,"",IF(OR(D1127="Fail",E1127="Fail",F1127="Fail"),"Fail",IF(AND(D1127="Pass",E1127="Pass",F1127="Pass"),"Pass","Incomplete")))</f>
        <v/>
      </c>
      <c r="H1127" s="18"/>
      <c r="I1127" s="18"/>
    </row>
    <row r="1128" customFormat="false" ht="15.75" hidden="false" customHeight="true" outlineLevel="0" collapsed="false">
      <c r="A1128" s="18"/>
      <c r="B1128" s="18"/>
      <c r="C1128" s="19"/>
      <c r="D1128" s="20"/>
      <c r="E1128" s="20"/>
      <c r="F1128" s="20"/>
      <c r="G1128" s="20" t="str">
        <f aca="false">IF(COUNTBLANK(D1128:F1128)=3,"",IF(OR(D1128="Fail",E1128="Fail",F1128="Fail"),"Fail",IF(AND(D1128="Pass",E1128="Pass",F1128="Pass"),"Pass","Incomplete")))</f>
        <v/>
      </c>
      <c r="H1128" s="18"/>
      <c r="I1128" s="18"/>
    </row>
    <row r="1129" customFormat="false" ht="15.75" hidden="false" customHeight="true" outlineLevel="0" collapsed="false">
      <c r="A1129" s="18"/>
      <c r="B1129" s="18"/>
      <c r="C1129" s="19"/>
      <c r="D1129" s="20"/>
      <c r="E1129" s="20"/>
      <c r="F1129" s="20"/>
      <c r="G1129" s="20" t="str">
        <f aca="false">IF(COUNTBLANK(D1129:F1129)=3,"",IF(OR(D1129="Fail",E1129="Fail",F1129="Fail"),"Fail",IF(AND(D1129="Pass",E1129="Pass",F1129="Pass"),"Pass","Incomplete")))</f>
        <v/>
      </c>
      <c r="H1129" s="18"/>
      <c r="I1129" s="18"/>
    </row>
    <row r="1130" customFormat="false" ht="15.75" hidden="false" customHeight="true" outlineLevel="0" collapsed="false">
      <c r="A1130" s="18"/>
      <c r="B1130" s="18"/>
      <c r="C1130" s="19"/>
      <c r="D1130" s="20"/>
      <c r="E1130" s="20"/>
      <c r="F1130" s="20"/>
      <c r="G1130" s="20" t="str">
        <f aca="false">IF(COUNTBLANK(D1130:F1130)=3,"",IF(OR(D1130="Fail",E1130="Fail",F1130="Fail"),"Fail",IF(AND(D1130="Pass",E1130="Pass",F1130="Pass"),"Pass","Incomplete")))</f>
        <v/>
      </c>
      <c r="H1130" s="18"/>
      <c r="I1130" s="18"/>
    </row>
    <row r="1131" customFormat="false" ht="15.75" hidden="false" customHeight="true" outlineLevel="0" collapsed="false">
      <c r="A1131" s="18"/>
      <c r="B1131" s="18"/>
      <c r="C1131" s="19"/>
      <c r="D1131" s="20"/>
      <c r="E1131" s="20"/>
      <c r="F1131" s="20"/>
      <c r="G1131" s="20" t="str">
        <f aca="false">IF(COUNTBLANK(D1131:F1131)=3,"",IF(OR(D1131="Fail",E1131="Fail",F1131="Fail"),"Fail",IF(AND(D1131="Pass",E1131="Pass",F1131="Pass"),"Pass","Incomplete")))</f>
        <v/>
      </c>
      <c r="H1131" s="18"/>
      <c r="I1131" s="18"/>
    </row>
    <row r="1132" customFormat="false" ht="15.75" hidden="false" customHeight="true" outlineLevel="0" collapsed="false">
      <c r="A1132" s="18"/>
      <c r="B1132" s="18"/>
      <c r="C1132" s="19"/>
      <c r="D1132" s="20"/>
      <c r="E1132" s="20"/>
      <c r="F1132" s="20"/>
      <c r="G1132" s="20" t="str">
        <f aca="false">IF(COUNTBLANK(D1132:F1132)=3,"",IF(OR(D1132="Fail",E1132="Fail",F1132="Fail"),"Fail",IF(AND(D1132="Pass",E1132="Pass",F1132="Pass"),"Pass","Incomplete")))</f>
        <v/>
      </c>
      <c r="H1132" s="18"/>
      <c r="I1132" s="18"/>
    </row>
    <row r="1133" customFormat="false" ht="15.75" hidden="false" customHeight="true" outlineLevel="0" collapsed="false">
      <c r="A1133" s="18"/>
      <c r="B1133" s="18"/>
      <c r="C1133" s="19"/>
      <c r="D1133" s="20"/>
      <c r="E1133" s="20"/>
      <c r="F1133" s="20"/>
      <c r="G1133" s="20" t="str">
        <f aca="false">IF(COUNTBLANK(D1133:F1133)=3,"",IF(OR(D1133="Fail",E1133="Fail",F1133="Fail"),"Fail",IF(AND(D1133="Pass",E1133="Pass",F1133="Pass"),"Pass","Incomplete")))</f>
        <v/>
      </c>
      <c r="H1133" s="18"/>
      <c r="I1133" s="18"/>
    </row>
    <row r="1134" customFormat="false" ht="15.75" hidden="false" customHeight="true" outlineLevel="0" collapsed="false">
      <c r="A1134" s="18"/>
      <c r="B1134" s="18"/>
      <c r="C1134" s="19"/>
      <c r="D1134" s="20"/>
      <c r="E1134" s="20"/>
      <c r="F1134" s="20"/>
      <c r="G1134" s="20" t="str">
        <f aca="false">IF(COUNTBLANK(D1134:F1134)=3,"",IF(OR(D1134="Fail",E1134="Fail",F1134="Fail"),"Fail",IF(AND(D1134="Pass",E1134="Pass",F1134="Pass"),"Pass","Incomplete")))</f>
        <v/>
      </c>
      <c r="H1134" s="18"/>
      <c r="I1134" s="18"/>
    </row>
    <row r="1135" customFormat="false" ht="15.75" hidden="false" customHeight="true" outlineLevel="0" collapsed="false">
      <c r="A1135" s="18"/>
      <c r="B1135" s="18"/>
      <c r="C1135" s="19"/>
      <c r="D1135" s="20"/>
      <c r="E1135" s="20"/>
      <c r="F1135" s="20"/>
      <c r="G1135" s="20" t="str">
        <f aca="false">IF(COUNTBLANK(D1135:F1135)=3,"",IF(OR(D1135="Fail",E1135="Fail",F1135="Fail"),"Fail",IF(AND(D1135="Pass",E1135="Pass",F1135="Pass"),"Pass","Incomplete")))</f>
        <v/>
      </c>
      <c r="H1135" s="18"/>
      <c r="I1135" s="18"/>
    </row>
    <row r="1136" customFormat="false" ht="15.75" hidden="false" customHeight="true" outlineLevel="0" collapsed="false">
      <c r="A1136" s="18"/>
      <c r="B1136" s="18"/>
      <c r="C1136" s="19"/>
      <c r="D1136" s="20"/>
      <c r="E1136" s="20"/>
      <c r="F1136" s="20"/>
      <c r="G1136" s="20" t="str">
        <f aca="false">IF(COUNTBLANK(D1136:F1136)=3,"",IF(OR(D1136="Fail",E1136="Fail",F1136="Fail"),"Fail",IF(AND(D1136="Pass",E1136="Pass",F1136="Pass"),"Pass","Incomplete")))</f>
        <v/>
      </c>
      <c r="H1136" s="18"/>
      <c r="I1136" s="18"/>
    </row>
    <row r="1137" customFormat="false" ht="15.75" hidden="false" customHeight="true" outlineLevel="0" collapsed="false">
      <c r="A1137" s="18"/>
      <c r="B1137" s="18"/>
      <c r="C1137" s="19"/>
      <c r="D1137" s="20"/>
      <c r="E1137" s="20"/>
      <c r="F1137" s="20"/>
      <c r="G1137" s="20" t="str">
        <f aca="false">IF(COUNTBLANK(D1137:F1137)=3,"",IF(OR(D1137="Fail",E1137="Fail",F1137="Fail"),"Fail",IF(AND(D1137="Pass",E1137="Pass",F1137="Pass"),"Pass","Incomplete")))</f>
        <v/>
      </c>
      <c r="H1137" s="18"/>
      <c r="I1137" s="18"/>
    </row>
    <row r="1138" customFormat="false" ht="15.75" hidden="false" customHeight="true" outlineLevel="0" collapsed="false">
      <c r="A1138" s="18"/>
      <c r="B1138" s="18"/>
      <c r="C1138" s="19"/>
      <c r="D1138" s="20"/>
      <c r="E1138" s="20"/>
      <c r="F1138" s="20"/>
      <c r="G1138" s="20" t="str">
        <f aca="false">IF(COUNTBLANK(D1138:F1138)=3,"",IF(OR(D1138="Fail",E1138="Fail",F1138="Fail"),"Fail",IF(AND(D1138="Pass",E1138="Pass",F1138="Pass"),"Pass","Incomplete")))</f>
        <v/>
      </c>
      <c r="H1138" s="18"/>
      <c r="I1138" s="18"/>
    </row>
    <row r="1139" customFormat="false" ht="15.75" hidden="false" customHeight="true" outlineLevel="0" collapsed="false">
      <c r="A1139" s="18"/>
      <c r="B1139" s="18"/>
      <c r="C1139" s="19"/>
      <c r="D1139" s="20"/>
      <c r="E1139" s="20"/>
      <c r="F1139" s="20"/>
      <c r="G1139" s="20" t="str">
        <f aca="false">IF(COUNTBLANK(D1139:F1139)=3,"",IF(OR(D1139="Fail",E1139="Fail",F1139="Fail"),"Fail",IF(AND(D1139="Pass",E1139="Pass",F1139="Pass"),"Pass","Incomplete")))</f>
        <v/>
      </c>
      <c r="H1139" s="18"/>
      <c r="I1139" s="18"/>
    </row>
    <row r="1140" customFormat="false" ht="15.75" hidden="false" customHeight="true" outlineLevel="0" collapsed="false">
      <c r="A1140" s="18"/>
      <c r="B1140" s="18"/>
      <c r="C1140" s="19"/>
      <c r="D1140" s="20"/>
      <c r="E1140" s="20"/>
      <c r="F1140" s="20"/>
      <c r="G1140" s="20" t="str">
        <f aca="false">IF(COUNTBLANK(D1140:F1140)=3,"",IF(OR(D1140="Fail",E1140="Fail",F1140="Fail"),"Fail",IF(AND(D1140="Pass",E1140="Pass",F1140="Pass"),"Pass","Incomplete")))</f>
        <v/>
      </c>
      <c r="H1140" s="18"/>
      <c r="I1140" s="18"/>
    </row>
    <row r="1141" customFormat="false" ht="15.75" hidden="false" customHeight="true" outlineLevel="0" collapsed="false">
      <c r="A1141" s="18"/>
      <c r="B1141" s="18"/>
      <c r="C1141" s="19"/>
      <c r="D1141" s="20"/>
      <c r="E1141" s="20"/>
      <c r="F1141" s="20"/>
      <c r="G1141" s="20" t="str">
        <f aca="false">IF(COUNTBLANK(D1141:F1141)=3,"",IF(OR(D1141="Fail",E1141="Fail",F1141="Fail"),"Fail",IF(AND(D1141="Pass",E1141="Pass",F1141="Pass"),"Pass","Incomplete")))</f>
        <v/>
      </c>
      <c r="H1141" s="18"/>
      <c r="I1141" s="18"/>
    </row>
    <row r="1142" customFormat="false" ht="15.75" hidden="false" customHeight="true" outlineLevel="0" collapsed="false">
      <c r="A1142" s="18"/>
      <c r="B1142" s="18"/>
      <c r="C1142" s="19"/>
      <c r="D1142" s="20"/>
      <c r="E1142" s="20"/>
      <c r="F1142" s="20"/>
      <c r="G1142" s="20" t="str">
        <f aca="false">IF(COUNTBLANK(D1142:F1142)=3,"",IF(OR(D1142="Fail",E1142="Fail",F1142="Fail"),"Fail",IF(AND(D1142="Pass",E1142="Pass",F1142="Pass"),"Pass","Incomplete")))</f>
        <v/>
      </c>
      <c r="H1142" s="18"/>
      <c r="I1142" s="18"/>
    </row>
    <row r="1143" customFormat="false" ht="15.75" hidden="false" customHeight="true" outlineLevel="0" collapsed="false">
      <c r="A1143" s="18"/>
      <c r="B1143" s="18"/>
      <c r="C1143" s="19"/>
      <c r="D1143" s="20"/>
      <c r="E1143" s="20"/>
      <c r="F1143" s="20"/>
      <c r="G1143" s="20" t="str">
        <f aca="false">IF(COUNTBLANK(D1143:F1143)=3,"",IF(OR(D1143="Fail",E1143="Fail",F1143="Fail"),"Fail",IF(AND(D1143="Pass",E1143="Pass",F1143="Pass"),"Pass","Incomplete")))</f>
        <v/>
      </c>
      <c r="H1143" s="18"/>
      <c r="I1143" s="18"/>
    </row>
    <row r="1144" customFormat="false" ht="15.75" hidden="false" customHeight="true" outlineLevel="0" collapsed="false">
      <c r="A1144" s="18"/>
      <c r="B1144" s="18"/>
      <c r="C1144" s="19"/>
      <c r="D1144" s="20"/>
      <c r="E1144" s="20"/>
      <c r="F1144" s="20"/>
      <c r="G1144" s="20" t="str">
        <f aca="false">IF(COUNTBLANK(D1144:F1144)=3,"",IF(OR(D1144="Fail",E1144="Fail",F1144="Fail"),"Fail",IF(AND(D1144="Pass",E1144="Pass",F1144="Pass"),"Pass","Incomplete")))</f>
        <v/>
      </c>
      <c r="H1144" s="18"/>
      <c r="I1144" s="18"/>
    </row>
    <row r="1145" customFormat="false" ht="15.75" hidden="false" customHeight="true" outlineLevel="0" collapsed="false">
      <c r="A1145" s="18"/>
      <c r="B1145" s="18"/>
      <c r="C1145" s="19"/>
      <c r="D1145" s="20"/>
      <c r="E1145" s="20"/>
      <c r="F1145" s="20"/>
      <c r="G1145" s="20" t="str">
        <f aca="false">IF(COUNTBLANK(D1145:F1145)=3,"",IF(OR(D1145="Fail",E1145="Fail",F1145="Fail"),"Fail",IF(AND(D1145="Pass",E1145="Pass",F1145="Pass"),"Pass","Incomplete")))</f>
        <v/>
      </c>
      <c r="H1145" s="18"/>
      <c r="I1145" s="18"/>
    </row>
    <row r="1146" customFormat="false" ht="15.75" hidden="false" customHeight="true" outlineLevel="0" collapsed="false">
      <c r="A1146" s="18"/>
      <c r="B1146" s="18"/>
      <c r="C1146" s="19"/>
      <c r="D1146" s="20"/>
      <c r="E1146" s="20"/>
      <c r="F1146" s="20"/>
      <c r="G1146" s="20" t="str">
        <f aca="false">IF(COUNTBLANK(D1146:F1146)=3,"",IF(OR(D1146="Fail",E1146="Fail",F1146="Fail"),"Fail",IF(AND(D1146="Pass",E1146="Pass",F1146="Pass"),"Pass","Incomplete")))</f>
        <v/>
      </c>
      <c r="H1146" s="18"/>
      <c r="I1146" s="18"/>
    </row>
    <row r="1147" customFormat="false" ht="15.75" hidden="false" customHeight="true" outlineLevel="0" collapsed="false">
      <c r="A1147" s="18"/>
      <c r="B1147" s="18"/>
      <c r="C1147" s="19"/>
      <c r="D1147" s="20"/>
      <c r="E1147" s="20"/>
      <c r="F1147" s="20"/>
      <c r="G1147" s="20" t="str">
        <f aca="false">IF(COUNTBLANK(D1147:F1147)=3,"",IF(OR(D1147="Fail",E1147="Fail",F1147="Fail"),"Fail",IF(AND(D1147="Pass",E1147="Pass",F1147="Pass"),"Pass","Incomplete")))</f>
        <v/>
      </c>
      <c r="H1147" s="18"/>
      <c r="I1147" s="18"/>
    </row>
    <row r="1148" customFormat="false" ht="15.75" hidden="false" customHeight="true" outlineLevel="0" collapsed="false">
      <c r="A1148" s="18"/>
      <c r="B1148" s="18"/>
      <c r="C1148" s="19"/>
      <c r="D1148" s="20"/>
      <c r="E1148" s="20"/>
      <c r="F1148" s="20"/>
      <c r="G1148" s="20" t="str">
        <f aca="false">IF(COUNTBLANK(D1148:F1148)=3,"",IF(OR(D1148="Fail",E1148="Fail",F1148="Fail"),"Fail",IF(AND(D1148="Pass",E1148="Pass",F1148="Pass"),"Pass","Incomplete")))</f>
        <v/>
      </c>
      <c r="H1148" s="18"/>
      <c r="I1148" s="18"/>
    </row>
    <row r="1149" customFormat="false" ht="15.75" hidden="false" customHeight="true" outlineLevel="0" collapsed="false">
      <c r="A1149" s="18"/>
      <c r="B1149" s="18"/>
      <c r="C1149" s="19"/>
      <c r="D1149" s="20"/>
      <c r="E1149" s="20"/>
      <c r="F1149" s="20"/>
      <c r="G1149" s="20" t="str">
        <f aca="false">IF(COUNTBLANK(D1149:F1149)=3,"",IF(OR(D1149="Fail",E1149="Fail",F1149="Fail"),"Fail",IF(AND(D1149="Pass",E1149="Pass",F1149="Pass"),"Pass","Incomplete")))</f>
        <v/>
      </c>
      <c r="H1149" s="18"/>
      <c r="I1149" s="18"/>
    </row>
    <row r="1150" customFormat="false" ht="15.75" hidden="false" customHeight="true" outlineLevel="0" collapsed="false">
      <c r="A1150" s="18"/>
      <c r="B1150" s="18"/>
      <c r="C1150" s="19"/>
      <c r="D1150" s="20"/>
      <c r="E1150" s="20"/>
      <c r="F1150" s="20"/>
      <c r="G1150" s="20" t="str">
        <f aca="false">IF(COUNTBLANK(D1150:F1150)=3,"",IF(OR(D1150="Fail",E1150="Fail",F1150="Fail"),"Fail",IF(AND(D1150="Pass",E1150="Pass",F1150="Pass"),"Pass","Incomplete")))</f>
        <v/>
      </c>
      <c r="H1150" s="18"/>
      <c r="I1150" s="18"/>
    </row>
    <row r="1151" customFormat="false" ht="15.75" hidden="false" customHeight="true" outlineLevel="0" collapsed="false">
      <c r="A1151" s="18"/>
      <c r="B1151" s="18"/>
      <c r="C1151" s="19"/>
      <c r="D1151" s="20"/>
      <c r="E1151" s="20"/>
      <c r="F1151" s="20"/>
      <c r="G1151" s="20" t="str">
        <f aca="false">IF(COUNTBLANK(D1151:F1151)=3,"",IF(OR(D1151="Fail",E1151="Fail",F1151="Fail"),"Fail",IF(AND(D1151="Pass",E1151="Pass",F1151="Pass"),"Pass","Incomplete")))</f>
        <v/>
      </c>
      <c r="H1151" s="18"/>
      <c r="I1151" s="18"/>
    </row>
    <row r="1152" customFormat="false" ht="15.75" hidden="false" customHeight="true" outlineLevel="0" collapsed="false">
      <c r="A1152" s="18"/>
      <c r="B1152" s="18"/>
      <c r="C1152" s="19"/>
      <c r="D1152" s="20"/>
      <c r="E1152" s="20"/>
      <c r="F1152" s="20"/>
      <c r="G1152" s="20" t="str">
        <f aca="false">IF(COUNTBLANK(D1152:F1152)=3,"",IF(OR(D1152="Fail",E1152="Fail",F1152="Fail"),"Fail",IF(AND(D1152="Pass",E1152="Pass",F1152="Pass"),"Pass","Incomplete")))</f>
        <v/>
      </c>
      <c r="H1152" s="18"/>
      <c r="I1152" s="18"/>
    </row>
    <row r="1153" customFormat="false" ht="15.75" hidden="false" customHeight="true" outlineLevel="0" collapsed="false">
      <c r="A1153" s="18"/>
      <c r="B1153" s="18"/>
      <c r="C1153" s="19"/>
      <c r="D1153" s="20"/>
      <c r="E1153" s="20"/>
      <c r="F1153" s="20"/>
      <c r="G1153" s="20" t="str">
        <f aca="false">IF(COUNTBLANK(D1153:F1153)=3,"",IF(OR(D1153="Fail",E1153="Fail",F1153="Fail"),"Fail",IF(AND(D1153="Pass",E1153="Pass",F1153="Pass"),"Pass","Incomplete")))</f>
        <v/>
      </c>
      <c r="H1153" s="18"/>
      <c r="I1153" s="18"/>
    </row>
    <row r="1154" customFormat="false" ht="15.75" hidden="false" customHeight="true" outlineLevel="0" collapsed="false">
      <c r="A1154" s="18"/>
      <c r="B1154" s="18"/>
      <c r="C1154" s="19"/>
      <c r="D1154" s="20"/>
      <c r="E1154" s="20"/>
      <c r="F1154" s="20"/>
      <c r="G1154" s="20" t="str">
        <f aca="false">IF(COUNTBLANK(D1154:F1154)=3,"",IF(OR(D1154="Fail",E1154="Fail",F1154="Fail"),"Fail",IF(AND(D1154="Pass",E1154="Pass",F1154="Pass"),"Pass","Incomplete")))</f>
        <v/>
      </c>
      <c r="H1154" s="18"/>
      <c r="I1154" s="18"/>
    </row>
    <row r="1155" customFormat="false" ht="15.75" hidden="false" customHeight="true" outlineLevel="0" collapsed="false">
      <c r="A1155" s="18"/>
      <c r="B1155" s="18"/>
      <c r="C1155" s="19"/>
      <c r="D1155" s="20"/>
      <c r="E1155" s="20"/>
      <c r="F1155" s="20"/>
      <c r="G1155" s="20" t="str">
        <f aca="false">IF(COUNTBLANK(D1155:F1155)=3,"",IF(OR(D1155="Fail",E1155="Fail",F1155="Fail"),"Fail",IF(AND(D1155="Pass",E1155="Pass",F1155="Pass"),"Pass","Incomplete")))</f>
        <v/>
      </c>
      <c r="H1155" s="18"/>
      <c r="I1155" s="18"/>
    </row>
    <row r="1156" customFormat="false" ht="15.75" hidden="false" customHeight="true" outlineLevel="0" collapsed="false">
      <c r="A1156" s="18"/>
      <c r="B1156" s="18"/>
      <c r="C1156" s="19"/>
      <c r="D1156" s="20"/>
      <c r="E1156" s="20"/>
      <c r="F1156" s="20"/>
      <c r="G1156" s="20" t="str">
        <f aca="false">IF(COUNTBLANK(D1156:F1156)=3,"",IF(OR(D1156="Fail",E1156="Fail",F1156="Fail"),"Fail",IF(AND(D1156="Pass",E1156="Pass",F1156="Pass"),"Pass","Incomplete")))</f>
        <v/>
      </c>
      <c r="H1156" s="18"/>
      <c r="I1156" s="18"/>
    </row>
    <row r="1157" customFormat="false" ht="15.75" hidden="false" customHeight="true" outlineLevel="0" collapsed="false">
      <c r="A1157" s="18"/>
      <c r="B1157" s="18"/>
      <c r="C1157" s="19"/>
      <c r="D1157" s="20"/>
      <c r="E1157" s="20"/>
      <c r="F1157" s="20"/>
      <c r="G1157" s="20" t="str">
        <f aca="false">IF(COUNTBLANK(D1157:F1157)=3,"",IF(OR(D1157="Fail",E1157="Fail",F1157="Fail"),"Fail",IF(AND(D1157="Pass",E1157="Pass",F1157="Pass"),"Pass","Incomplete")))</f>
        <v/>
      </c>
      <c r="H1157" s="18"/>
      <c r="I1157" s="18"/>
    </row>
    <row r="1158" customFormat="false" ht="15.75" hidden="false" customHeight="true" outlineLevel="0" collapsed="false">
      <c r="A1158" s="18"/>
      <c r="B1158" s="18"/>
      <c r="C1158" s="19"/>
      <c r="D1158" s="20"/>
      <c r="E1158" s="20"/>
      <c r="F1158" s="20"/>
      <c r="G1158" s="20" t="str">
        <f aca="false">IF(COUNTBLANK(D1158:F1158)=3,"",IF(OR(D1158="Fail",E1158="Fail",F1158="Fail"),"Fail",IF(AND(D1158="Pass",E1158="Pass",F1158="Pass"),"Pass","Incomplete")))</f>
        <v/>
      </c>
      <c r="H1158" s="18"/>
      <c r="I1158" s="18"/>
    </row>
    <row r="1159" customFormat="false" ht="15.75" hidden="false" customHeight="true" outlineLevel="0" collapsed="false">
      <c r="A1159" s="18"/>
      <c r="B1159" s="18"/>
      <c r="C1159" s="19"/>
      <c r="D1159" s="20"/>
      <c r="E1159" s="20"/>
      <c r="F1159" s="20"/>
      <c r="G1159" s="20" t="str">
        <f aca="false">IF(COUNTBLANK(D1159:F1159)=3,"",IF(OR(D1159="Fail",E1159="Fail",F1159="Fail"),"Fail",IF(AND(D1159="Pass",E1159="Pass",F1159="Pass"),"Pass","Incomplete")))</f>
        <v/>
      </c>
      <c r="H1159" s="18"/>
      <c r="I1159" s="18"/>
    </row>
    <row r="1160" customFormat="false" ht="15.75" hidden="false" customHeight="true" outlineLevel="0" collapsed="false">
      <c r="A1160" s="18"/>
      <c r="B1160" s="18"/>
      <c r="C1160" s="19"/>
      <c r="D1160" s="20"/>
      <c r="E1160" s="20"/>
      <c r="F1160" s="20"/>
      <c r="G1160" s="20" t="str">
        <f aca="false">IF(COUNTBLANK(D1160:F1160)=3,"",IF(OR(D1160="Fail",E1160="Fail",F1160="Fail"),"Fail",IF(AND(D1160="Pass",E1160="Pass",F1160="Pass"),"Pass","Incomplete")))</f>
        <v/>
      </c>
      <c r="H1160" s="18"/>
      <c r="I1160" s="18"/>
    </row>
    <row r="1161" customFormat="false" ht="15.75" hidden="false" customHeight="true" outlineLevel="0" collapsed="false">
      <c r="A1161" s="18"/>
      <c r="B1161" s="18"/>
      <c r="C1161" s="19"/>
      <c r="D1161" s="20"/>
      <c r="E1161" s="20"/>
      <c r="F1161" s="20"/>
      <c r="G1161" s="20" t="str">
        <f aca="false">IF(COUNTBLANK(D1161:F1161)=3,"",IF(OR(D1161="Fail",E1161="Fail",F1161="Fail"),"Fail",IF(AND(D1161="Pass",E1161="Pass",F1161="Pass"),"Pass","Incomplete")))</f>
        <v/>
      </c>
      <c r="H1161" s="18"/>
      <c r="I1161" s="18"/>
    </row>
    <row r="1162" customFormat="false" ht="15.75" hidden="false" customHeight="true" outlineLevel="0" collapsed="false">
      <c r="A1162" s="18"/>
      <c r="B1162" s="18"/>
      <c r="C1162" s="19"/>
      <c r="D1162" s="20"/>
      <c r="E1162" s="20"/>
      <c r="F1162" s="20"/>
      <c r="G1162" s="20" t="str">
        <f aca="false">IF(COUNTBLANK(D1162:F1162)=3,"",IF(OR(D1162="Fail",E1162="Fail",F1162="Fail"),"Fail",IF(AND(D1162="Pass",E1162="Pass",F1162="Pass"),"Pass","Incomplete")))</f>
        <v/>
      </c>
      <c r="H1162" s="18"/>
      <c r="I1162" s="18"/>
    </row>
    <row r="1163" customFormat="false" ht="15.75" hidden="false" customHeight="true" outlineLevel="0" collapsed="false">
      <c r="A1163" s="18"/>
      <c r="B1163" s="18"/>
      <c r="C1163" s="19"/>
      <c r="D1163" s="20"/>
      <c r="E1163" s="20"/>
      <c r="F1163" s="20"/>
      <c r="G1163" s="20" t="str">
        <f aca="false">IF(COUNTBLANK(D1163:F1163)=3,"",IF(OR(D1163="Fail",E1163="Fail",F1163="Fail"),"Fail",IF(AND(D1163="Pass",E1163="Pass",F1163="Pass"),"Pass","Incomplete")))</f>
        <v/>
      </c>
      <c r="H1163" s="18"/>
      <c r="I1163" s="18"/>
    </row>
    <row r="1164" customFormat="false" ht="15.75" hidden="false" customHeight="true" outlineLevel="0" collapsed="false">
      <c r="A1164" s="18"/>
      <c r="B1164" s="18"/>
      <c r="C1164" s="19"/>
      <c r="D1164" s="20"/>
      <c r="E1164" s="20"/>
      <c r="F1164" s="20"/>
      <c r="G1164" s="20" t="str">
        <f aca="false">IF(COUNTBLANK(D1164:F1164)=3,"",IF(OR(D1164="Fail",E1164="Fail",F1164="Fail"),"Fail",IF(AND(D1164="Pass",E1164="Pass",F1164="Pass"),"Pass","Incomplete")))</f>
        <v/>
      </c>
      <c r="H1164" s="18"/>
      <c r="I1164" s="18"/>
    </row>
    <row r="1165" customFormat="false" ht="15.75" hidden="false" customHeight="true" outlineLevel="0" collapsed="false">
      <c r="A1165" s="18"/>
      <c r="B1165" s="18"/>
      <c r="C1165" s="19"/>
      <c r="D1165" s="20"/>
      <c r="E1165" s="20"/>
      <c r="F1165" s="20"/>
      <c r="G1165" s="20" t="str">
        <f aca="false">IF(COUNTBLANK(D1165:F1165)=3,"",IF(OR(D1165="Fail",E1165="Fail",F1165="Fail"),"Fail",IF(AND(D1165="Pass",E1165="Pass",F1165="Pass"),"Pass","Incomplete")))</f>
        <v/>
      </c>
      <c r="H1165" s="18"/>
      <c r="I1165" s="18"/>
    </row>
    <row r="1166" customFormat="false" ht="15.75" hidden="false" customHeight="true" outlineLevel="0" collapsed="false">
      <c r="A1166" s="18"/>
      <c r="B1166" s="18"/>
      <c r="C1166" s="19"/>
      <c r="D1166" s="20"/>
      <c r="E1166" s="20"/>
      <c r="F1166" s="20"/>
      <c r="G1166" s="20" t="str">
        <f aca="false">IF(COUNTBLANK(D1166:F1166)=3,"",IF(OR(D1166="Fail",E1166="Fail",F1166="Fail"),"Fail",IF(AND(D1166="Pass",E1166="Pass",F1166="Pass"),"Pass","Incomplete")))</f>
        <v/>
      </c>
      <c r="H1166" s="18"/>
      <c r="I1166" s="18"/>
    </row>
    <row r="1167" customFormat="false" ht="15.75" hidden="false" customHeight="true" outlineLevel="0" collapsed="false">
      <c r="A1167" s="18"/>
      <c r="B1167" s="18"/>
      <c r="C1167" s="19"/>
      <c r="D1167" s="20"/>
      <c r="E1167" s="20"/>
      <c r="F1167" s="20"/>
      <c r="G1167" s="20" t="str">
        <f aca="false">IF(COUNTBLANK(D1167:F1167)=3,"",IF(OR(D1167="Fail",E1167="Fail",F1167="Fail"),"Fail",IF(AND(D1167="Pass",E1167="Pass",F1167="Pass"),"Pass","Incomplete")))</f>
        <v/>
      </c>
      <c r="H1167" s="18"/>
      <c r="I1167" s="18"/>
    </row>
    <row r="1168" customFormat="false" ht="15.75" hidden="false" customHeight="true" outlineLevel="0" collapsed="false">
      <c r="A1168" s="18"/>
      <c r="B1168" s="18"/>
      <c r="C1168" s="19"/>
      <c r="D1168" s="20"/>
      <c r="E1168" s="20"/>
      <c r="F1168" s="20"/>
      <c r="G1168" s="20" t="str">
        <f aca="false">IF(COUNTBLANK(D1168:F1168)=3,"",IF(OR(D1168="Fail",E1168="Fail",F1168="Fail"),"Fail",IF(AND(D1168="Pass",E1168="Pass",F1168="Pass"),"Pass","Incomplete")))</f>
        <v/>
      </c>
      <c r="H1168" s="18"/>
      <c r="I1168" s="18"/>
    </row>
    <row r="1169" customFormat="false" ht="15.75" hidden="false" customHeight="true" outlineLevel="0" collapsed="false">
      <c r="A1169" s="18"/>
      <c r="B1169" s="18"/>
      <c r="C1169" s="19"/>
      <c r="D1169" s="20"/>
      <c r="E1169" s="20"/>
      <c r="F1169" s="20"/>
      <c r="G1169" s="20" t="str">
        <f aca="false">IF(COUNTBLANK(D1169:F1169)=3,"",IF(OR(D1169="Fail",E1169="Fail",F1169="Fail"),"Fail",IF(AND(D1169="Pass",E1169="Pass",F1169="Pass"),"Pass","Incomplete")))</f>
        <v/>
      </c>
      <c r="H1169" s="18"/>
      <c r="I1169" s="18"/>
    </row>
    <row r="1170" customFormat="false" ht="15.75" hidden="false" customHeight="true" outlineLevel="0" collapsed="false">
      <c r="A1170" s="18"/>
      <c r="B1170" s="18"/>
      <c r="C1170" s="19"/>
      <c r="D1170" s="20"/>
      <c r="E1170" s="20"/>
      <c r="F1170" s="20"/>
      <c r="G1170" s="20" t="str">
        <f aca="false">IF(COUNTBLANK(D1170:F1170)=3,"",IF(OR(D1170="Fail",E1170="Fail",F1170="Fail"),"Fail",IF(AND(D1170="Pass",E1170="Pass",F1170="Pass"),"Pass","Incomplete")))</f>
        <v/>
      </c>
      <c r="H1170" s="18"/>
      <c r="I1170" s="18"/>
    </row>
    <row r="1171" customFormat="false" ht="15.75" hidden="false" customHeight="true" outlineLevel="0" collapsed="false">
      <c r="A1171" s="18"/>
      <c r="B1171" s="18"/>
      <c r="C1171" s="19"/>
      <c r="D1171" s="20"/>
      <c r="E1171" s="20"/>
      <c r="F1171" s="20"/>
      <c r="G1171" s="20" t="str">
        <f aca="false">IF(COUNTBLANK(D1171:F1171)=3,"",IF(OR(D1171="Fail",E1171="Fail",F1171="Fail"),"Fail",IF(AND(D1171="Pass",E1171="Pass",F1171="Pass"),"Pass","Incomplete")))</f>
        <v/>
      </c>
      <c r="H1171" s="18"/>
      <c r="I1171" s="18"/>
    </row>
    <row r="1172" customFormat="false" ht="15.75" hidden="false" customHeight="true" outlineLevel="0" collapsed="false">
      <c r="A1172" s="18"/>
      <c r="B1172" s="18"/>
      <c r="C1172" s="19"/>
      <c r="D1172" s="20"/>
      <c r="E1172" s="20"/>
      <c r="F1172" s="20"/>
      <c r="G1172" s="20" t="str">
        <f aca="false">IF(COUNTBLANK(D1172:F1172)=3,"",IF(OR(D1172="Fail",E1172="Fail",F1172="Fail"),"Fail",IF(AND(D1172="Pass",E1172="Pass",F1172="Pass"),"Pass","Incomplete")))</f>
        <v/>
      </c>
      <c r="H1172" s="18"/>
      <c r="I1172" s="18"/>
    </row>
    <row r="1173" customFormat="false" ht="15.75" hidden="false" customHeight="true" outlineLevel="0" collapsed="false">
      <c r="A1173" s="18"/>
      <c r="B1173" s="18"/>
      <c r="C1173" s="19"/>
      <c r="D1173" s="20"/>
      <c r="E1173" s="20"/>
      <c r="F1173" s="20"/>
      <c r="G1173" s="20" t="str">
        <f aca="false">IF(COUNTBLANK(D1173:F1173)=3,"",IF(OR(D1173="Fail",E1173="Fail",F1173="Fail"),"Fail",IF(AND(D1173="Pass",E1173="Pass",F1173="Pass"),"Pass","Incomplete")))</f>
        <v/>
      </c>
      <c r="H1173" s="18"/>
      <c r="I1173" s="18"/>
    </row>
    <row r="1174" customFormat="false" ht="15.75" hidden="false" customHeight="true" outlineLevel="0" collapsed="false">
      <c r="A1174" s="18"/>
      <c r="B1174" s="18"/>
      <c r="C1174" s="19"/>
      <c r="D1174" s="20"/>
      <c r="E1174" s="20"/>
      <c r="F1174" s="20"/>
      <c r="G1174" s="20" t="str">
        <f aca="false">IF(COUNTBLANK(D1174:F1174)=3,"",IF(OR(D1174="Fail",E1174="Fail",F1174="Fail"),"Fail",IF(AND(D1174="Pass",E1174="Pass",F1174="Pass"),"Pass","Incomplete")))</f>
        <v/>
      </c>
      <c r="H1174" s="18"/>
      <c r="I1174" s="18"/>
    </row>
    <row r="1175" customFormat="false" ht="15.75" hidden="false" customHeight="true" outlineLevel="0" collapsed="false">
      <c r="A1175" s="18"/>
      <c r="B1175" s="18"/>
      <c r="C1175" s="19"/>
      <c r="D1175" s="20"/>
      <c r="E1175" s="20"/>
      <c r="F1175" s="20"/>
      <c r="G1175" s="20" t="str">
        <f aca="false">IF(COUNTBLANK(D1175:F1175)=3,"",IF(OR(D1175="Fail",E1175="Fail",F1175="Fail"),"Fail",IF(AND(D1175="Pass",E1175="Pass",F1175="Pass"),"Pass","Incomplete")))</f>
        <v/>
      </c>
      <c r="H1175" s="18"/>
      <c r="I1175" s="18"/>
    </row>
    <row r="1176" customFormat="false" ht="15.75" hidden="false" customHeight="true" outlineLevel="0" collapsed="false">
      <c r="A1176" s="18"/>
      <c r="B1176" s="18"/>
      <c r="C1176" s="19"/>
      <c r="D1176" s="20"/>
      <c r="E1176" s="20"/>
      <c r="F1176" s="20"/>
      <c r="G1176" s="20" t="str">
        <f aca="false">IF(COUNTBLANK(D1176:F1176)=3,"",IF(OR(D1176="Fail",E1176="Fail",F1176="Fail"),"Fail",IF(AND(D1176="Pass",E1176="Pass",F1176="Pass"),"Pass","Incomplete")))</f>
        <v/>
      </c>
      <c r="H1176" s="18"/>
      <c r="I1176" s="18"/>
    </row>
    <row r="1177" customFormat="false" ht="15.75" hidden="false" customHeight="true" outlineLevel="0" collapsed="false">
      <c r="A1177" s="18"/>
      <c r="B1177" s="18"/>
      <c r="C1177" s="19"/>
      <c r="D1177" s="20"/>
      <c r="E1177" s="20"/>
      <c r="F1177" s="20"/>
      <c r="G1177" s="20" t="str">
        <f aca="false">IF(COUNTBLANK(D1177:F1177)=3,"",IF(OR(D1177="Fail",E1177="Fail",F1177="Fail"),"Fail",IF(AND(D1177="Pass",E1177="Pass",F1177="Pass"),"Pass","Incomplete")))</f>
        <v/>
      </c>
      <c r="H1177" s="18"/>
      <c r="I1177" s="18"/>
    </row>
    <row r="1178" customFormat="false" ht="15.75" hidden="false" customHeight="true" outlineLevel="0" collapsed="false">
      <c r="A1178" s="18"/>
      <c r="B1178" s="18"/>
      <c r="C1178" s="19"/>
      <c r="D1178" s="20"/>
      <c r="E1178" s="20"/>
      <c r="F1178" s="20"/>
      <c r="G1178" s="20" t="str">
        <f aca="false">IF(COUNTBLANK(D1178:F1178)=3,"",IF(OR(D1178="Fail",E1178="Fail",F1178="Fail"),"Fail",IF(AND(D1178="Pass",E1178="Pass",F1178="Pass"),"Pass","Incomplete")))</f>
        <v/>
      </c>
      <c r="H1178" s="18"/>
      <c r="I1178" s="18"/>
    </row>
    <row r="1179" customFormat="false" ht="15.75" hidden="false" customHeight="true" outlineLevel="0" collapsed="false">
      <c r="A1179" s="18"/>
      <c r="B1179" s="18"/>
      <c r="C1179" s="19"/>
      <c r="D1179" s="20"/>
      <c r="E1179" s="20"/>
      <c r="F1179" s="20"/>
      <c r="G1179" s="20" t="str">
        <f aca="false">IF(COUNTBLANK(D1179:F1179)=3,"",IF(OR(D1179="Fail",E1179="Fail",F1179="Fail"),"Fail",IF(AND(D1179="Pass",E1179="Pass",F1179="Pass"),"Pass","Incomplete")))</f>
        <v/>
      </c>
      <c r="H1179" s="18"/>
      <c r="I1179" s="18"/>
    </row>
    <row r="1180" customFormat="false" ht="15.75" hidden="false" customHeight="true" outlineLevel="0" collapsed="false">
      <c r="A1180" s="18"/>
      <c r="B1180" s="18"/>
      <c r="C1180" s="19"/>
      <c r="D1180" s="20"/>
      <c r="E1180" s="20"/>
      <c r="F1180" s="20"/>
      <c r="G1180" s="20" t="str">
        <f aca="false">IF(COUNTBLANK(D1180:F1180)=3,"",IF(OR(D1180="Fail",E1180="Fail",F1180="Fail"),"Fail",IF(AND(D1180="Pass",E1180="Pass",F1180="Pass"),"Pass","Incomplete")))</f>
        <v/>
      </c>
      <c r="H1180" s="18"/>
      <c r="I1180" s="18"/>
    </row>
    <row r="1181" customFormat="false" ht="15.75" hidden="false" customHeight="true" outlineLevel="0" collapsed="false">
      <c r="A1181" s="18"/>
      <c r="B1181" s="18"/>
      <c r="C1181" s="19"/>
      <c r="D1181" s="20"/>
      <c r="E1181" s="20"/>
      <c r="F1181" s="20"/>
      <c r="G1181" s="20" t="str">
        <f aca="false">IF(COUNTBLANK(D1181:F1181)=3,"",IF(OR(D1181="Fail",E1181="Fail",F1181="Fail"),"Fail",IF(AND(D1181="Pass",E1181="Pass",F1181="Pass"),"Pass","Incomplete")))</f>
        <v/>
      </c>
      <c r="H1181" s="18"/>
      <c r="I1181" s="18"/>
    </row>
    <row r="1182" customFormat="false" ht="15.75" hidden="false" customHeight="true" outlineLevel="0" collapsed="false">
      <c r="A1182" s="18"/>
      <c r="B1182" s="18"/>
      <c r="C1182" s="19"/>
      <c r="D1182" s="20"/>
      <c r="E1182" s="20"/>
      <c r="F1182" s="20"/>
      <c r="G1182" s="20" t="str">
        <f aca="false">IF(COUNTBLANK(D1182:F1182)=3,"",IF(OR(D1182="Fail",E1182="Fail",F1182="Fail"),"Fail",IF(AND(D1182="Pass",E1182="Pass",F1182="Pass"),"Pass","Incomplete")))</f>
        <v/>
      </c>
      <c r="H1182" s="18"/>
      <c r="I1182" s="18"/>
    </row>
    <row r="1183" customFormat="false" ht="15.75" hidden="false" customHeight="true" outlineLevel="0" collapsed="false">
      <c r="A1183" s="18"/>
      <c r="B1183" s="18"/>
      <c r="C1183" s="19"/>
      <c r="D1183" s="20"/>
      <c r="E1183" s="20"/>
      <c r="F1183" s="20"/>
      <c r="G1183" s="20" t="str">
        <f aca="false">IF(COUNTBLANK(D1183:F1183)=3,"",IF(OR(D1183="Fail",E1183="Fail",F1183="Fail"),"Fail",IF(AND(D1183="Pass",E1183="Pass",F1183="Pass"),"Pass","Incomplete")))</f>
        <v/>
      </c>
      <c r="H1183" s="18"/>
      <c r="I1183" s="18"/>
    </row>
    <row r="1184" customFormat="false" ht="15.75" hidden="false" customHeight="true" outlineLevel="0" collapsed="false">
      <c r="A1184" s="18"/>
      <c r="B1184" s="18"/>
      <c r="C1184" s="19"/>
      <c r="D1184" s="20"/>
      <c r="E1184" s="20"/>
      <c r="F1184" s="20"/>
      <c r="G1184" s="20" t="str">
        <f aca="false">IF(COUNTBLANK(D1184:F1184)=3,"",IF(OR(D1184="Fail",E1184="Fail",F1184="Fail"),"Fail",IF(AND(D1184="Pass",E1184="Pass",F1184="Pass"),"Pass","Incomplete")))</f>
        <v/>
      </c>
      <c r="H1184" s="18"/>
      <c r="I1184" s="18"/>
    </row>
    <row r="1185" customFormat="false" ht="15.75" hidden="false" customHeight="true" outlineLevel="0" collapsed="false">
      <c r="A1185" s="18"/>
      <c r="B1185" s="18"/>
      <c r="C1185" s="19"/>
      <c r="D1185" s="20"/>
      <c r="E1185" s="20"/>
      <c r="F1185" s="20"/>
      <c r="G1185" s="20" t="str">
        <f aca="false">IF(COUNTBLANK(D1185:F1185)=3,"",IF(OR(D1185="Fail",E1185="Fail",F1185="Fail"),"Fail",IF(AND(D1185="Pass",E1185="Pass",F1185="Pass"),"Pass","Incomplete")))</f>
        <v/>
      </c>
      <c r="H1185" s="18"/>
      <c r="I1185" s="18"/>
    </row>
    <row r="1186" customFormat="false" ht="15.75" hidden="false" customHeight="true" outlineLevel="0" collapsed="false">
      <c r="A1186" s="18"/>
      <c r="B1186" s="18"/>
      <c r="C1186" s="19"/>
      <c r="D1186" s="20"/>
      <c r="E1186" s="20"/>
      <c r="F1186" s="20"/>
      <c r="G1186" s="20" t="str">
        <f aca="false">IF(COUNTBLANK(D1186:F1186)=3,"",IF(OR(D1186="Fail",E1186="Fail",F1186="Fail"),"Fail",IF(AND(D1186="Pass",E1186="Pass",F1186="Pass"),"Pass","Incomplete")))</f>
        <v/>
      </c>
      <c r="H1186" s="18"/>
      <c r="I1186" s="18"/>
    </row>
    <row r="1187" customFormat="false" ht="15.75" hidden="false" customHeight="true" outlineLevel="0" collapsed="false">
      <c r="A1187" s="18"/>
      <c r="B1187" s="18"/>
      <c r="C1187" s="19"/>
      <c r="D1187" s="20"/>
      <c r="E1187" s="20"/>
      <c r="F1187" s="20"/>
      <c r="G1187" s="20" t="str">
        <f aca="false">IF(COUNTBLANK(D1187:F1187)=3,"",IF(OR(D1187="Fail",E1187="Fail",F1187="Fail"),"Fail",IF(AND(D1187="Pass",E1187="Pass",F1187="Pass"),"Pass","Incomplete")))</f>
        <v/>
      </c>
      <c r="H1187" s="18"/>
      <c r="I1187" s="18"/>
    </row>
    <row r="1188" customFormat="false" ht="15.75" hidden="false" customHeight="true" outlineLevel="0" collapsed="false">
      <c r="A1188" s="18"/>
      <c r="B1188" s="18"/>
      <c r="C1188" s="19"/>
      <c r="D1188" s="20"/>
      <c r="E1188" s="20"/>
      <c r="F1188" s="20"/>
      <c r="G1188" s="20" t="str">
        <f aca="false">IF(COUNTBLANK(D1188:F1188)=3,"",IF(OR(D1188="Fail",E1188="Fail",F1188="Fail"),"Fail",IF(AND(D1188="Pass",E1188="Pass",F1188="Pass"),"Pass","Incomplete")))</f>
        <v/>
      </c>
      <c r="H1188" s="18"/>
      <c r="I1188" s="18"/>
    </row>
    <row r="1189" customFormat="false" ht="15.75" hidden="false" customHeight="true" outlineLevel="0" collapsed="false">
      <c r="A1189" s="18"/>
      <c r="B1189" s="18"/>
      <c r="C1189" s="19"/>
      <c r="D1189" s="20"/>
      <c r="E1189" s="20"/>
      <c r="F1189" s="20"/>
      <c r="G1189" s="20" t="str">
        <f aca="false">IF(COUNTBLANK(D1189:F1189)=3,"",IF(OR(D1189="Fail",E1189="Fail",F1189="Fail"),"Fail",IF(AND(D1189="Pass",E1189="Pass",F1189="Pass"),"Pass","Incomplete")))</f>
        <v/>
      </c>
      <c r="H1189" s="18"/>
      <c r="I1189" s="18"/>
    </row>
    <row r="1190" customFormat="false" ht="15.75" hidden="false" customHeight="true" outlineLevel="0" collapsed="false">
      <c r="A1190" s="18"/>
      <c r="B1190" s="18"/>
      <c r="C1190" s="19"/>
      <c r="D1190" s="20"/>
      <c r="E1190" s="20"/>
      <c r="F1190" s="20"/>
      <c r="G1190" s="20" t="str">
        <f aca="false">IF(COUNTBLANK(D1190:F1190)=3,"",IF(OR(D1190="Fail",E1190="Fail",F1190="Fail"),"Fail",IF(AND(D1190="Pass",E1190="Pass",F1190="Pass"),"Pass","Incomplete")))</f>
        <v/>
      </c>
      <c r="H1190" s="18"/>
      <c r="I1190" s="18"/>
    </row>
    <row r="1191" customFormat="false" ht="15.75" hidden="false" customHeight="true" outlineLevel="0" collapsed="false">
      <c r="A1191" s="18"/>
      <c r="B1191" s="18"/>
      <c r="C1191" s="19"/>
      <c r="D1191" s="20"/>
      <c r="E1191" s="20"/>
      <c r="F1191" s="20"/>
      <c r="G1191" s="20" t="str">
        <f aca="false">IF(COUNTBLANK(D1191:F1191)=3,"",IF(OR(D1191="Fail",E1191="Fail",F1191="Fail"),"Fail",IF(AND(D1191="Pass",E1191="Pass",F1191="Pass"),"Pass","Incomplete")))</f>
        <v/>
      </c>
      <c r="H1191" s="18"/>
      <c r="I1191" s="18"/>
    </row>
    <row r="1192" customFormat="false" ht="15.75" hidden="false" customHeight="true" outlineLevel="0" collapsed="false">
      <c r="A1192" s="18"/>
      <c r="B1192" s="18"/>
      <c r="C1192" s="19"/>
      <c r="D1192" s="20"/>
      <c r="E1192" s="20"/>
      <c r="F1192" s="20"/>
      <c r="G1192" s="20" t="str">
        <f aca="false">IF(COUNTBLANK(D1192:F1192)=3,"",IF(OR(D1192="Fail",E1192="Fail",F1192="Fail"),"Fail",IF(AND(D1192="Pass",E1192="Pass",F1192="Pass"),"Pass","Incomplete")))</f>
        <v/>
      </c>
      <c r="H1192" s="18"/>
      <c r="I1192" s="18"/>
    </row>
    <row r="1193" customFormat="false" ht="15.75" hidden="false" customHeight="true" outlineLevel="0" collapsed="false">
      <c r="A1193" s="18"/>
      <c r="B1193" s="18"/>
      <c r="C1193" s="19"/>
      <c r="D1193" s="20"/>
      <c r="E1193" s="20"/>
      <c r="F1193" s="20"/>
      <c r="G1193" s="20" t="str">
        <f aca="false">IF(COUNTBLANK(D1193:F1193)=3,"",IF(OR(D1193="Fail",E1193="Fail",F1193="Fail"),"Fail",IF(AND(D1193="Pass",E1193="Pass",F1193="Pass"),"Pass","Incomplete")))</f>
        <v/>
      </c>
      <c r="H1193" s="18"/>
      <c r="I1193" s="18"/>
    </row>
    <row r="1194" customFormat="false" ht="15.75" hidden="false" customHeight="true" outlineLevel="0" collapsed="false">
      <c r="A1194" s="18"/>
      <c r="B1194" s="18"/>
      <c r="C1194" s="19"/>
      <c r="D1194" s="20"/>
      <c r="E1194" s="20"/>
      <c r="F1194" s="20"/>
      <c r="G1194" s="20" t="str">
        <f aca="false">IF(COUNTBLANK(D1194:F1194)=3,"",IF(OR(D1194="Fail",E1194="Fail",F1194="Fail"),"Fail",IF(AND(D1194="Pass",E1194="Pass",F1194="Pass"),"Pass","Incomplete")))</f>
        <v/>
      </c>
      <c r="H1194" s="18"/>
      <c r="I1194" s="18"/>
    </row>
    <row r="1195" customFormat="false" ht="15.75" hidden="false" customHeight="true" outlineLevel="0" collapsed="false">
      <c r="A1195" s="18"/>
      <c r="B1195" s="18"/>
      <c r="C1195" s="19"/>
      <c r="D1195" s="20"/>
      <c r="E1195" s="20"/>
      <c r="F1195" s="20"/>
      <c r="G1195" s="20" t="str">
        <f aca="false">IF(COUNTBLANK(D1195:F1195)=3,"",IF(OR(D1195="Fail",E1195="Fail",F1195="Fail"),"Fail",IF(AND(D1195="Pass",E1195="Pass",F1195="Pass"),"Pass","Incomplete")))</f>
        <v/>
      </c>
      <c r="H1195" s="18"/>
      <c r="I1195" s="18"/>
    </row>
    <row r="1196" customFormat="false" ht="15.75" hidden="false" customHeight="true" outlineLevel="0" collapsed="false">
      <c r="A1196" s="18"/>
      <c r="B1196" s="18"/>
      <c r="C1196" s="19"/>
      <c r="D1196" s="20"/>
      <c r="E1196" s="20"/>
      <c r="F1196" s="20"/>
      <c r="G1196" s="20" t="str">
        <f aca="false">IF(COUNTBLANK(D1196:F1196)=3,"",IF(OR(D1196="Fail",E1196="Fail",F1196="Fail"),"Fail",IF(AND(D1196="Pass",E1196="Pass",F1196="Pass"),"Pass","Incomplete")))</f>
        <v/>
      </c>
      <c r="H1196" s="18"/>
      <c r="I1196" s="18"/>
    </row>
    <row r="1197" customFormat="false" ht="15.75" hidden="false" customHeight="true" outlineLevel="0" collapsed="false">
      <c r="A1197" s="18"/>
      <c r="B1197" s="18"/>
      <c r="C1197" s="19"/>
      <c r="D1197" s="20"/>
      <c r="E1197" s="20"/>
      <c r="F1197" s="20"/>
      <c r="G1197" s="20" t="str">
        <f aca="false">IF(COUNTBLANK(D1197:F1197)=3,"",IF(OR(D1197="Fail",E1197="Fail",F1197="Fail"),"Fail",IF(AND(D1197="Pass",E1197="Pass",F1197="Pass"),"Pass","Incomplete")))</f>
        <v/>
      </c>
      <c r="H1197" s="18"/>
      <c r="I1197" s="18"/>
    </row>
    <row r="1198" customFormat="false" ht="15.75" hidden="false" customHeight="true" outlineLevel="0" collapsed="false">
      <c r="A1198" s="18"/>
      <c r="B1198" s="18"/>
      <c r="C1198" s="19"/>
      <c r="D1198" s="20"/>
      <c r="E1198" s="20"/>
      <c r="F1198" s="20"/>
      <c r="G1198" s="20" t="str">
        <f aca="false">IF(COUNTBLANK(D1198:F1198)=3,"",IF(OR(D1198="Fail",E1198="Fail",F1198="Fail"),"Fail",IF(AND(D1198="Pass",E1198="Pass",F1198="Pass"),"Pass","Incomplete")))</f>
        <v/>
      </c>
      <c r="H1198" s="18"/>
      <c r="I1198" s="18"/>
    </row>
    <row r="1199" customFormat="false" ht="15.75" hidden="false" customHeight="true" outlineLevel="0" collapsed="false">
      <c r="A1199" s="18"/>
      <c r="B1199" s="18"/>
      <c r="C1199" s="19"/>
      <c r="D1199" s="20"/>
      <c r="E1199" s="20"/>
      <c r="F1199" s="20"/>
      <c r="G1199" s="20" t="str">
        <f aca="false">IF(COUNTBLANK(D1199:F1199)=3,"",IF(OR(D1199="Fail",E1199="Fail",F1199="Fail"),"Fail",IF(AND(D1199="Pass",E1199="Pass",F1199="Pass"),"Pass","Incomplete")))</f>
        <v/>
      </c>
      <c r="H1199" s="18"/>
      <c r="I1199" s="18"/>
    </row>
    <row r="1200" customFormat="false" ht="15.75" hidden="false" customHeight="true" outlineLevel="0" collapsed="false">
      <c r="A1200" s="18"/>
      <c r="B1200" s="18"/>
      <c r="C1200" s="19"/>
      <c r="D1200" s="20"/>
      <c r="E1200" s="20"/>
      <c r="F1200" s="20"/>
      <c r="G1200" s="20" t="str">
        <f aca="false">IF(COUNTBLANK(D1200:F1200)=3,"",IF(OR(D1200="Fail",E1200="Fail",F1200="Fail"),"Fail",IF(AND(D1200="Pass",E1200="Pass",F1200="Pass"),"Pass","Incomplete")))</f>
        <v/>
      </c>
      <c r="H1200" s="18"/>
      <c r="I1200" s="18"/>
    </row>
    <row r="1201" customFormat="false" ht="15.75" hidden="false" customHeight="true" outlineLevel="0" collapsed="false">
      <c r="A1201" s="18"/>
      <c r="B1201" s="18"/>
      <c r="C1201" s="19"/>
      <c r="D1201" s="20"/>
      <c r="E1201" s="20"/>
      <c r="F1201" s="20"/>
      <c r="G1201" s="20" t="str">
        <f aca="false">IF(COUNTBLANK(D1201:F1201)=3,"",IF(OR(D1201="Fail",E1201="Fail",F1201="Fail"),"Fail",IF(AND(D1201="Pass",E1201="Pass",F1201="Pass"),"Pass","Incomplete")))</f>
        <v/>
      </c>
      <c r="H1201" s="18"/>
      <c r="I1201" s="18"/>
    </row>
    <row r="1202" customFormat="false" ht="15.75" hidden="false" customHeight="true" outlineLevel="0" collapsed="false">
      <c r="A1202" s="18"/>
      <c r="B1202" s="18"/>
      <c r="C1202" s="19"/>
      <c r="D1202" s="20"/>
      <c r="E1202" s="20"/>
      <c r="F1202" s="20"/>
      <c r="G1202" s="20" t="str">
        <f aca="false">IF(COUNTBLANK(D1202:F1202)=3,"",IF(OR(D1202="Fail",E1202="Fail",F1202="Fail"),"Fail",IF(AND(D1202="Pass",E1202="Pass",F1202="Pass"),"Pass","Incomplete")))</f>
        <v/>
      </c>
      <c r="H1202" s="18"/>
      <c r="I1202" s="18"/>
    </row>
    <row r="1203" customFormat="false" ht="15.75" hidden="false" customHeight="true" outlineLevel="0" collapsed="false">
      <c r="A1203" s="18"/>
      <c r="B1203" s="18"/>
      <c r="C1203" s="19"/>
      <c r="D1203" s="20"/>
      <c r="E1203" s="20"/>
      <c r="F1203" s="20"/>
      <c r="G1203" s="20" t="str">
        <f aca="false">IF(COUNTBLANK(D1203:F1203)=3,"",IF(OR(D1203="Fail",E1203="Fail",F1203="Fail"),"Fail",IF(AND(D1203="Pass",E1203="Pass",F1203="Pass"),"Pass","Incomplete")))</f>
        <v/>
      </c>
      <c r="H1203" s="18"/>
      <c r="I1203" s="18"/>
    </row>
    <row r="1204" customFormat="false" ht="15.75" hidden="false" customHeight="true" outlineLevel="0" collapsed="false">
      <c r="A1204" s="18"/>
      <c r="B1204" s="18"/>
      <c r="C1204" s="19"/>
      <c r="D1204" s="20"/>
      <c r="E1204" s="20"/>
      <c r="F1204" s="20"/>
      <c r="G1204" s="20" t="str">
        <f aca="false">IF(COUNTBLANK(D1204:F1204)=3,"",IF(OR(D1204="Fail",E1204="Fail",F1204="Fail"),"Fail",IF(AND(D1204="Pass",E1204="Pass",F1204="Pass"),"Pass","Incomplete")))</f>
        <v/>
      </c>
      <c r="H1204" s="18"/>
      <c r="I1204" s="18"/>
    </row>
    <row r="1205" customFormat="false" ht="15.75" hidden="false" customHeight="true" outlineLevel="0" collapsed="false">
      <c r="A1205" s="18"/>
      <c r="B1205" s="18"/>
      <c r="C1205" s="19"/>
      <c r="D1205" s="20"/>
      <c r="E1205" s="20"/>
      <c r="F1205" s="20"/>
      <c r="G1205" s="20" t="str">
        <f aca="false">IF(COUNTBLANK(D1205:F1205)=3,"",IF(OR(D1205="Fail",E1205="Fail",F1205="Fail"),"Fail",IF(AND(D1205="Pass",E1205="Pass",F1205="Pass"),"Pass","Incomplete")))</f>
        <v/>
      </c>
      <c r="H1205" s="18"/>
      <c r="I1205" s="18"/>
    </row>
    <row r="1206" customFormat="false" ht="15.75" hidden="false" customHeight="true" outlineLevel="0" collapsed="false">
      <c r="A1206" s="18"/>
      <c r="B1206" s="18"/>
      <c r="C1206" s="19"/>
      <c r="D1206" s="20"/>
      <c r="E1206" s="20"/>
      <c r="F1206" s="20"/>
      <c r="G1206" s="20" t="str">
        <f aca="false">IF(COUNTBLANK(D1206:F1206)=3,"",IF(OR(D1206="Fail",E1206="Fail",F1206="Fail"),"Fail",IF(AND(D1206="Pass",E1206="Pass",F1206="Pass"),"Pass","Incomplete")))</f>
        <v/>
      </c>
      <c r="H1206" s="18"/>
      <c r="I1206" s="18"/>
    </row>
    <row r="1207" customFormat="false" ht="15.75" hidden="false" customHeight="true" outlineLevel="0" collapsed="false">
      <c r="A1207" s="18"/>
      <c r="B1207" s="18"/>
      <c r="C1207" s="19"/>
      <c r="D1207" s="20"/>
      <c r="E1207" s="20"/>
      <c r="F1207" s="20"/>
      <c r="G1207" s="20" t="str">
        <f aca="false">IF(COUNTBLANK(D1207:F1207)=3,"",IF(OR(D1207="Fail",E1207="Fail",F1207="Fail"),"Fail",IF(AND(D1207="Pass",E1207="Pass",F1207="Pass"),"Pass","Incomplete")))</f>
        <v/>
      </c>
      <c r="H1207" s="18"/>
      <c r="I1207" s="18"/>
    </row>
    <row r="1208" customFormat="false" ht="15.75" hidden="false" customHeight="true" outlineLevel="0" collapsed="false">
      <c r="A1208" s="18"/>
      <c r="B1208" s="18"/>
      <c r="C1208" s="19"/>
      <c r="D1208" s="20"/>
      <c r="E1208" s="20"/>
      <c r="F1208" s="20"/>
      <c r="G1208" s="20" t="str">
        <f aca="false">IF(COUNTBLANK(D1208:F1208)=3,"",IF(OR(D1208="Fail",E1208="Fail",F1208="Fail"),"Fail",IF(AND(D1208="Pass",E1208="Pass",F1208="Pass"),"Pass","Incomplete")))</f>
        <v/>
      </c>
      <c r="H1208" s="18"/>
      <c r="I1208" s="18"/>
    </row>
    <row r="1209" customFormat="false" ht="15.75" hidden="false" customHeight="true" outlineLevel="0" collapsed="false">
      <c r="A1209" s="18"/>
      <c r="B1209" s="18"/>
      <c r="C1209" s="19"/>
      <c r="D1209" s="20"/>
      <c r="E1209" s="20"/>
      <c r="F1209" s="20"/>
      <c r="G1209" s="20" t="str">
        <f aca="false">IF(COUNTBLANK(D1209:F1209)=3,"",IF(OR(D1209="Fail",E1209="Fail",F1209="Fail"),"Fail",IF(AND(D1209="Pass",E1209="Pass",F1209="Pass"),"Pass","Incomplete")))</f>
        <v/>
      </c>
      <c r="H1209" s="18"/>
      <c r="I1209" s="18"/>
    </row>
    <row r="1210" customFormat="false" ht="15.75" hidden="false" customHeight="true" outlineLevel="0" collapsed="false">
      <c r="A1210" s="18"/>
      <c r="B1210" s="18"/>
      <c r="C1210" s="19"/>
      <c r="D1210" s="20"/>
      <c r="E1210" s="20"/>
      <c r="F1210" s="20"/>
      <c r="G1210" s="20" t="str">
        <f aca="false">IF(COUNTBLANK(D1210:F1210)=3,"",IF(OR(D1210="Fail",E1210="Fail",F1210="Fail"),"Fail",IF(AND(D1210="Pass",E1210="Pass",F1210="Pass"),"Pass","Incomplete")))</f>
        <v/>
      </c>
      <c r="H1210" s="18"/>
      <c r="I1210" s="18"/>
    </row>
    <row r="1211" customFormat="false" ht="15.75" hidden="false" customHeight="true" outlineLevel="0" collapsed="false">
      <c r="A1211" s="18"/>
      <c r="B1211" s="18"/>
      <c r="C1211" s="19"/>
      <c r="D1211" s="20"/>
      <c r="E1211" s="20"/>
      <c r="F1211" s="20"/>
      <c r="G1211" s="20" t="str">
        <f aca="false">IF(COUNTBLANK(D1211:F1211)=3,"",IF(OR(D1211="Fail",E1211="Fail",F1211="Fail"),"Fail",IF(AND(D1211="Pass",E1211="Pass",F1211="Pass"),"Pass","Incomplete")))</f>
        <v/>
      </c>
      <c r="H1211" s="18"/>
      <c r="I1211" s="18"/>
    </row>
    <row r="1212" customFormat="false" ht="15.75" hidden="false" customHeight="true" outlineLevel="0" collapsed="false">
      <c r="A1212" s="18"/>
      <c r="B1212" s="18"/>
      <c r="C1212" s="19"/>
      <c r="D1212" s="20"/>
      <c r="E1212" s="20"/>
      <c r="F1212" s="20"/>
      <c r="G1212" s="20" t="str">
        <f aca="false">IF(COUNTBLANK(D1212:F1212)=3,"",IF(OR(D1212="Fail",E1212="Fail",F1212="Fail"),"Fail",IF(AND(D1212="Pass",E1212="Pass",F1212="Pass"),"Pass","Incomplete")))</f>
        <v/>
      </c>
      <c r="H1212" s="18"/>
      <c r="I1212" s="18"/>
    </row>
    <row r="1213" customFormat="false" ht="15.75" hidden="false" customHeight="true" outlineLevel="0" collapsed="false">
      <c r="A1213" s="18"/>
      <c r="B1213" s="18"/>
      <c r="C1213" s="19"/>
      <c r="D1213" s="20"/>
      <c r="E1213" s="20"/>
      <c r="F1213" s="20"/>
      <c r="G1213" s="20" t="str">
        <f aca="false">IF(COUNTBLANK(D1213:F1213)=3,"",IF(OR(D1213="Fail",E1213="Fail",F1213="Fail"),"Fail",IF(AND(D1213="Pass",E1213="Pass",F1213="Pass"),"Pass","Incomplete")))</f>
        <v/>
      </c>
      <c r="H1213" s="18"/>
      <c r="I1213" s="18"/>
    </row>
    <row r="1214" customFormat="false" ht="15.75" hidden="false" customHeight="true" outlineLevel="0" collapsed="false">
      <c r="A1214" s="18"/>
      <c r="B1214" s="18"/>
      <c r="C1214" s="19"/>
      <c r="D1214" s="20"/>
      <c r="E1214" s="20"/>
      <c r="F1214" s="20"/>
      <c r="G1214" s="20" t="str">
        <f aca="false">IF(COUNTBLANK(D1214:F1214)=3,"",IF(OR(D1214="Fail",E1214="Fail",F1214="Fail"),"Fail",IF(AND(D1214="Pass",E1214="Pass",F1214="Pass"),"Pass","Incomplete")))</f>
        <v/>
      </c>
      <c r="H1214" s="18"/>
      <c r="I1214" s="18"/>
    </row>
    <row r="1215" customFormat="false" ht="15.75" hidden="false" customHeight="true" outlineLevel="0" collapsed="false">
      <c r="A1215" s="18"/>
      <c r="B1215" s="18"/>
      <c r="C1215" s="19"/>
      <c r="D1215" s="20"/>
      <c r="E1215" s="20"/>
      <c r="F1215" s="20"/>
      <c r="G1215" s="20" t="str">
        <f aca="false">IF(COUNTBLANK(D1215:F1215)=3,"",IF(OR(D1215="Fail",E1215="Fail",F1215="Fail"),"Fail",IF(AND(D1215="Pass",E1215="Pass",F1215="Pass"),"Pass","Incomplete")))</f>
        <v/>
      </c>
      <c r="H1215" s="18"/>
      <c r="I1215" s="18"/>
    </row>
    <row r="1216" customFormat="false" ht="15.75" hidden="false" customHeight="true" outlineLevel="0" collapsed="false">
      <c r="A1216" s="18"/>
      <c r="B1216" s="18"/>
      <c r="C1216" s="19"/>
      <c r="D1216" s="20"/>
      <c r="E1216" s="20"/>
      <c r="F1216" s="20"/>
      <c r="G1216" s="20" t="str">
        <f aca="false">IF(COUNTBLANK(D1216:F1216)=3,"",IF(OR(D1216="Fail",E1216="Fail",F1216="Fail"),"Fail",IF(AND(D1216="Pass",E1216="Pass",F1216="Pass"),"Pass","Incomplete")))</f>
        <v/>
      </c>
      <c r="H1216" s="18"/>
      <c r="I1216" s="18"/>
    </row>
    <row r="1217" customFormat="false" ht="15.75" hidden="false" customHeight="true" outlineLevel="0" collapsed="false">
      <c r="A1217" s="18"/>
      <c r="B1217" s="18"/>
      <c r="C1217" s="19"/>
      <c r="D1217" s="20"/>
      <c r="E1217" s="20"/>
      <c r="F1217" s="20"/>
      <c r="G1217" s="20" t="str">
        <f aca="false">IF(COUNTBLANK(D1217:F1217)=3,"",IF(OR(D1217="Fail",E1217="Fail",F1217="Fail"),"Fail",IF(AND(D1217="Pass",E1217="Pass",F1217="Pass"),"Pass","Incomplete")))</f>
        <v/>
      </c>
      <c r="H1217" s="18"/>
      <c r="I1217" s="18"/>
    </row>
    <row r="1218" customFormat="false" ht="15.75" hidden="false" customHeight="true" outlineLevel="0" collapsed="false">
      <c r="A1218" s="18"/>
      <c r="B1218" s="18"/>
      <c r="C1218" s="19"/>
      <c r="D1218" s="20"/>
      <c r="E1218" s="20"/>
      <c r="F1218" s="20"/>
      <c r="G1218" s="20" t="str">
        <f aca="false">IF(COUNTBLANK(D1218:F1218)=3,"",IF(OR(D1218="Fail",E1218="Fail",F1218="Fail"),"Fail",IF(AND(D1218="Pass",E1218="Pass",F1218="Pass"),"Pass","Incomplete")))</f>
        <v/>
      </c>
      <c r="H1218" s="18"/>
      <c r="I1218" s="18"/>
    </row>
    <row r="1219" customFormat="false" ht="15.75" hidden="false" customHeight="true" outlineLevel="0" collapsed="false">
      <c r="A1219" s="18"/>
      <c r="B1219" s="18"/>
      <c r="C1219" s="19"/>
      <c r="D1219" s="20"/>
      <c r="E1219" s="20"/>
      <c r="F1219" s="20"/>
      <c r="G1219" s="20" t="str">
        <f aca="false">IF(COUNTBLANK(D1219:F1219)=3,"",IF(OR(D1219="Fail",E1219="Fail",F1219="Fail"),"Fail",IF(AND(D1219="Pass",E1219="Pass",F1219="Pass"),"Pass","Incomplete")))</f>
        <v/>
      </c>
      <c r="H1219" s="18"/>
      <c r="I1219" s="18"/>
    </row>
    <row r="1220" customFormat="false" ht="15.75" hidden="false" customHeight="true" outlineLevel="0" collapsed="false">
      <c r="A1220" s="18"/>
      <c r="B1220" s="18"/>
      <c r="C1220" s="19"/>
      <c r="D1220" s="20"/>
      <c r="E1220" s="20"/>
      <c r="F1220" s="20"/>
      <c r="G1220" s="20" t="str">
        <f aca="false">IF(COUNTBLANK(D1220:F1220)=3,"",IF(OR(D1220="Fail",E1220="Fail",F1220="Fail"),"Fail",IF(AND(D1220="Pass",E1220="Pass",F1220="Pass"),"Pass","Incomplete")))</f>
        <v/>
      </c>
      <c r="H1220" s="18"/>
      <c r="I1220" s="18"/>
    </row>
    <row r="1221" customFormat="false" ht="15.75" hidden="false" customHeight="true" outlineLevel="0" collapsed="false">
      <c r="A1221" s="18"/>
      <c r="B1221" s="18"/>
      <c r="C1221" s="19"/>
      <c r="D1221" s="20"/>
      <c r="E1221" s="20"/>
      <c r="F1221" s="20"/>
      <c r="G1221" s="20" t="str">
        <f aca="false">IF(COUNTBLANK(D1221:F1221)=3,"",IF(OR(D1221="Fail",E1221="Fail",F1221="Fail"),"Fail",IF(AND(D1221="Pass",E1221="Pass",F1221="Pass"),"Pass","Incomplete")))</f>
        <v/>
      </c>
      <c r="H1221" s="18"/>
      <c r="I1221" s="18"/>
    </row>
    <row r="1222" customFormat="false" ht="15.75" hidden="false" customHeight="true" outlineLevel="0" collapsed="false">
      <c r="A1222" s="18"/>
      <c r="B1222" s="18"/>
      <c r="C1222" s="19"/>
      <c r="D1222" s="20"/>
      <c r="E1222" s="20"/>
      <c r="F1222" s="20"/>
      <c r="G1222" s="20" t="str">
        <f aca="false">IF(COUNTBLANK(D1222:F1222)=3,"",IF(OR(D1222="Fail",E1222="Fail",F1222="Fail"),"Fail",IF(AND(D1222="Pass",E1222="Pass",F1222="Pass"),"Pass","Incomplete")))</f>
        <v/>
      </c>
      <c r="H1222" s="18"/>
      <c r="I1222" s="18"/>
    </row>
    <row r="1223" customFormat="false" ht="15.75" hidden="false" customHeight="true" outlineLevel="0" collapsed="false">
      <c r="A1223" s="18"/>
      <c r="B1223" s="18"/>
      <c r="C1223" s="19"/>
      <c r="D1223" s="20"/>
      <c r="E1223" s="20"/>
      <c r="F1223" s="20"/>
      <c r="G1223" s="20" t="str">
        <f aca="false">IF(COUNTBLANK(D1223:F1223)=3,"",IF(OR(D1223="Fail",E1223="Fail",F1223="Fail"),"Fail",IF(AND(D1223="Pass",E1223="Pass",F1223="Pass"),"Pass","Incomplete")))</f>
        <v/>
      </c>
      <c r="H1223" s="18"/>
      <c r="I1223" s="18"/>
    </row>
    <row r="1224" customFormat="false" ht="15.75" hidden="false" customHeight="true" outlineLevel="0" collapsed="false">
      <c r="A1224" s="18"/>
      <c r="B1224" s="18"/>
      <c r="C1224" s="19"/>
      <c r="D1224" s="20"/>
      <c r="E1224" s="20"/>
      <c r="F1224" s="20"/>
      <c r="G1224" s="20" t="str">
        <f aca="false">IF(COUNTBLANK(D1224:F1224)=3,"",IF(OR(D1224="Fail",E1224="Fail",F1224="Fail"),"Fail",IF(AND(D1224="Pass",E1224="Pass",F1224="Pass"),"Pass","Incomplete")))</f>
        <v/>
      </c>
      <c r="H1224" s="18"/>
      <c r="I1224" s="18"/>
    </row>
    <row r="1225" customFormat="false" ht="15.75" hidden="false" customHeight="true" outlineLevel="0" collapsed="false">
      <c r="A1225" s="18"/>
      <c r="B1225" s="18"/>
      <c r="C1225" s="19"/>
      <c r="D1225" s="20"/>
      <c r="E1225" s="20"/>
      <c r="F1225" s="20"/>
      <c r="G1225" s="20" t="str">
        <f aca="false">IF(COUNTBLANK(D1225:F1225)=3,"",IF(OR(D1225="Fail",E1225="Fail",F1225="Fail"),"Fail",IF(AND(D1225="Pass",E1225="Pass",F1225="Pass"),"Pass","Incomplete")))</f>
        <v/>
      </c>
      <c r="H1225" s="18"/>
      <c r="I1225" s="18"/>
    </row>
    <row r="1226" customFormat="false" ht="15.75" hidden="false" customHeight="true" outlineLevel="0" collapsed="false">
      <c r="A1226" s="18"/>
      <c r="B1226" s="18"/>
      <c r="C1226" s="19"/>
      <c r="D1226" s="20"/>
      <c r="E1226" s="20"/>
      <c r="F1226" s="20"/>
      <c r="G1226" s="20" t="str">
        <f aca="false">IF(COUNTBLANK(D1226:F1226)=3,"",IF(OR(D1226="Fail",E1226="Fail",F1226="Fail"),"Fail",IF(AND(D1226="Pass",E1226="Pass",F1226="Pass"),"Pass","Incomplete")))</f>
        <v/>
      </c>
      <c r="H1226" s="18"/>
      <c r="I1226" s="18"/>
    </row>
    <row r="1227" customFormat="false" ht="15.75" hidden="false" customHeight="true" outlineLevel="0" collapsed="false">
      <c r="A1227" s="18"/>
      <c r="B1227" s="18"/>
      <c r="C1227" s="19"/>
      <c r="D1227" s="20"/>
      <c r="E1227" s="20"/>
      <c r="F1227" s="20"/>
      <c r="G1227" s="20" t="str">
        <f aca="false">IF(COUNTBLANK(D1227:F1227)=3,"",IF(OR(D1227="Fail",E1227="Fail",F1227="Fail"),"Fail",IF(AND(D1227="Pass",E1227="Pass",F1227="Pass"),"Pass","Incomplete")))</f>
        <v/>
      </c>
      <c r="H1227" s="18"/>
      <c r="I1227" s="18"/>
    </row>
    <row r="1228" customFormat="false" ht="15.75" hidden="false" customHeight="true" outlineLevel="0" collapsed="false">
      <c r="A1228" s="18"/>
      <c r="B1228" s="18"/>
      <c r="C1228" s="19"/>
      <c r="D1228" s="20"/>
      <c r="E1228" s="20"/>
      <c r="F1228" s="20"/>
      <c r="G1228" s="20" t="str">
        <f aca="false">IF(COUNTBLANK(D1228:F1228)=3,"",IF(OR(D1228="Fail",E1228="Fail",F1228="Fail"),"Fail",IF(AND(D1228="Pass",E1228="Pass",F1228="Pass"),"Pass","Incomplete")))</f>
        <v/>
      </c>
      <c r="H1228" s="18"/>
      <c r="I1228" s="18"/>
    </row>
    <row r="1229" customFormat="false" ht="15.75" hidden="false" customHeight="true" outlineLevel="0" collapsed="false">
      <c r="A1229" s="18"/>
      <c r="B1229" s="18"/>
      <c r="C1229" s="19"/>
      <c r="D1229" s="20"/>
      <c r="E1229" s="20"/>
      <c r="F1229" s="20"/>
      <c r="G1229" s="20" t="str">
        <f aca="false">IF(COUNTBLANK(D1229:F1229)=3,"",IF(OR(D1229="Fail",E1229="Fail",F1229="Fail"),"Fail",IF(AND(D1229="Pass",E1229="Pass",F1229="Pass"),"Pass","Incomplete")))</f>
        <v/>
      </c>
      <c r="H1229" s="18"/>
      <c r="I1229" s="18"/>
    </row>
    <row r="1230" customFormat="false" ht="15.75" hidden="false" customHeight="true" outlineLevel="0" collapsed="false">
      <c r="A1230" s="18"/>
      <c r="B1230" s="18"/>
      <c r="C1230" s="19"/>
      <c r="D1230" s="20"/>
      <c r="E1230" s="20"/>
      <c r="F1230" s="20"/>
      <c r="G1230" s="20" t="str">
        <f aca="false">IF(COUNTBLANK(D1230:F1230)=3,"",IF(OR(D1230="Fail",E1230="Fail",F1230="Fail"),"Fail",IF(AND(D1230="Pass",E1230="Pass",F1230="Pass"),"Pass","Incomplete")))</f>
        <v/>
      </c>
      <c r="H1230" s="18"/>
      <c r="I1230" s="18"/>
    </row>
    <row r="1231" customFormat="false" ht="15.75" hidden="false" customHeight="true" outlineLevel="0" collapsed="false">
      <c r="A1231" s="18"/>
      <c r="B1231" s="18"/>
      <c r="C1231" s="19"/>
      <c r="D1231" s="20"/>
      <c r="E1231" s="20"/>
      <c r="F1231" s="20"/>
      <c r="G1231" s="20" t="str">
        <f aca="false">IF(COUNTBLANK(D1231:F1231)=3,"",IF(OR(D1231="Fail",E1231="Fail",F1231="Fail"),"Fail",IF(AND(D1231="Pass",E1231="Pass",F1231="Pass"),"Pass","Incomplete")))</f>
        <v/>
      </c>
      <c r="H1231" s="18"/>
      <c r="I1231" s="18"/>
    </row>
    <row r="1232" customFormat="false" ht="15.75" hidden="false" customHeight="true" outlineLevel="0" collapsed="false">
      <c r="A1232" s="18"/>
      <c r="B1232" s="18"/>
      <c r="C1232" s="19"/>
      <c r="D1232" s="20"/>
      <c r="E1232" s="20"/>
      <c r="F1232" s="20"/>
      <c r="G1232" s="20" t="str">
        <f aca="false">IF(COUNTBLANK(D1232:F1232)=3,"",IF(OR(D1232="Fail",E1232="Fail",F1232="Fail"),"Fail",IF(AND(D1232="Pass",E1232="Pass",F1232="Pass"),"Pass","Incomplete")))</f>
        <v/>
      </c>
      <c r="H1232" s="18"/>
      <c r="I1232" s="18"/>
    </row>
    <row r="1233" customFormat="false" ht="15.75" hidden="false" customHeight="true" outlineLevel="0" collapsed="false">
      <c r="A1233" s="18"/>
      <c r="B1233" s="18"/>
      <c r="C1233" s="19"/>
      <c r="D1233" s="20"/>
      <c r="E1233" s="20"/>
      <c r="F1233" s="20"/>
      <c r="G1233" s="20" t="str">
        <f aca="false">IF(COUNTBLANK(D1233:F1233)=3,"",IF(OR(D1233="Fail",E1233="Fail",F1233="Fail"),"Fail",IF(AND(D1233="Pass",E1233="Pass",F1233="Pass"),"Pass","Incomplete")))</f>
        <v/>
      </c>
      <c r="H1233" s="18"/>
      <c r="I1233" s="18"/>
    </row>
    <row r="1234" customFormat="false" ht="15.75" hidden="false" customHeight="true" outlineLevel="0" collapsed="false">
      <c r="A1234" s="18"/>
      <c r="B1234" s="18"/>
      <c r="C1234" s="19"/>
      <c r="D1234" s="20"/>
      <c r="E1234" s="20"/>
      <c r="F1234" s="20"/>
      <c r="G1234" s="20" t="str">
        <f aca="false">IF(COUNTBLANK(D1234:F1234)=3,"",IF(OR(D1234="Fail",E1234="Fail",F1234="Fail"),"Fail",IF(AND(D1234="Pass",E1234="Pass",F1234="Pass"),"Pass","Incomplete")))</f>
        <v/>
      </c>
      <c r="H1234" s="18"/>
      <c r="I1234" s="18"/>
    </row>
    <row r="1235" customFormat="false" ht="15.75" hidden="false" customHeight="true" outlineLevel="0" collapsed="false">
      <c r="A1235" s="18"/>
      <c r="B1235" s="18"/>
      <c r="C1235" s="19"/>
      <c r="D1235" s="20"/>
      <c r="E1235" s="20"/>
      <c r="F1235" s="20"/>
      <c r="G1235" s="20" t="str">
        <f aca="false">IF(COUNTBLANK(D1235:F1235)=3,"",IF(OR(D1235="Fail",E1235="Fail",F1235="Fail"),"Fail",IF(AND(D1235="Pass",E1235="Pass",F1235="Pass"),"Pass","Incomplete")))</f>
        <v/>
      </c>
      <c r="H1235" s="18"/>
      <c r="I1235" s="18"/>
    </row>
    <row r="1236" customFormat="false" ht="15.75" hidden="false" customHeight="true" outlineLevel="0" collapsed="false">
      <c r="A1236" s="18"/>
      <c r="B1236" s="18"/>
      <c r="C1236" s="19"/>
      <c r="D1236" s="20"/>
      <c r="E1236" s="20"/>
      <c r="F1236" s="20"/>
      <c r="G1236" s="20" t="str">
        <f aca="false">IF(COUNTBLANK(D1236:F1236)=3,"",IF(OR(D1236="Fail",E1236="Fail",F1236="Fail"),"Fail",IF(AND(D1236="Pass",E1236="Pass",F1236="Pass"),"Pass","Incomplete")))</f>
        <v/>
      </c>
      <c r="H1236" s="18"/>
      <c r="I1236" s="18"/>
    </row>
    <row r="1237" customFormat="false" ht="15.75" hidden="false" customHeight="true" outlineLevel="0" collapsed="false">
      <c r="A1237" s="18"/>
      <c r="B1237" s="18"/>
      <c r="C1237" s="19"/>
      <c r="D1237" s="20"/>
      <c r="E1237" s="20"/>
      <c r="F1237" s="20"/>
      <c r="G1237" s="20" t="str">
        <f aca="false">IF(COUNTBLANK(D1237:F1237)=3,"",IF(OR(D1237="Fail",E1237="Fail",F1237="Fail"),"Fail",IF(AND(D1237="Pass",E1237="Pass",F1237="Pass"),"Pass","Incomplete")))</f>
        <v/>
      </c>
      <c r="H1237" s="18"/>
      <c r="I1237" s="18"/>
    </row>
    <row r="1238" customFormat="false" ht="15.75" hidden="false" customHeight="true" outlineLevel="0" collapsed="false">
      <c r="A1238" s="18"/>
      <c r="B1238" s="18"/>
      <c r="C1238" s="19"/>
      <c r="D1238" s="20"/>
      <c r="E1238" s="20"/>
      <c r="F1238" s="20"/>
      <c r="G1238" s="20" t="str">
        <f aca="false">IF(COUNTBLANK(D1238:F1238)=3,"",IF(OR(D1238="Fail",E1238="Fail",F1238="Fail"),"Fail",IF(AND(D1238="Pass",E1238="Pass",F1238="Pass"),"Pass","Incomplete")))</f>
        <v/>
      </c>
      <c r="H1238" s="18"/>
      <c r="I1238" s="18"/>
    </row>
    <row r="1239" customFormat="false" ht="15.75" hidden="false" customHeight="true" outlineLevel="0" collapsed="false">
      <c r="A1239" s="18"/>
      <c r="B1239" s="18"/>
      <c r="C1239" s="19"/>
      <c r="D1239" s="20"/>
      <c r="E1239" s="20"/>
      <c r="F1239" s="20"/>
      <c r="G1239" s="20" t="str">
        <f aca="false">IF(COUNTBLANK(D1239:F1239)=3,"",IF(OR(D1239="Fail",E1239="Fail",F1239="Fail"),"Fail",IF(AND(D1239="Pass",E1239="Pass",F1239="Pass"),"Pass","Incomplete")))</f>
        <v/>
      </c>
      <c r="H1239" s="18"/>
      <c r="I1239" s="18"/>
    </row>
    <row r="1240" customFormat="false" ht="15.75" hidden="false" customHeight="true" outlineLevel="0" collapsed="false">
      <c r="A1240" s="18"/>
      <c r="B1240" s="18"/>
      <c r="C1240" s="19"/>
      <c r="D1240" s="20"/>
      <c r="E1240" s="20"/>
      <c r="F1240" s="20"/>
      <c r="G1240" s="20" t="str">
        <f aca="false">IF(COUNTBLANK(D1240:F1240)=3,"",IF(OR(D1240="Fail",E1240="Fail",F1240="Fail"),"Fail",IF(AND(D1240="Pass",E1240="Pass",F1240="Pass"),"Pass","Incomplete")))</f>
        <v/>
      </c>
      <c r="H1240" s="18"/>
      <c r="I1240" s="18"/>
    </row>
    <row r="1241" customFormat="false" ht="15.75" hidden="false" customHeight="true" outlineLevel="0" collapsed="false">
      <c r="A1241" s="18"/>
      <c r="B1241" s="18"/>
      <c r="C1241" s="19"/>
      <c r="D1241" s="20"/>
      <c r="E1241" s="20"/>
      <c r="F1241" s="20"/>
      <c r="G1241" s="20" t="str">
        <f aca="false">IF(COUNTBLANK(D1241:F1241)=3,"",IF(OR(D1241="Fail",E1241="Fail",F1241="Fail"),"Fail",IF(AND(D1241="Pass",E1241="Pass",F1241="Pass"),"Pass","Incomplete")))</f>
        <v/>
      </c>
      <c r="H1241" s="18"/>
      <c r="I1241" s="18"/>
    </row>
    <row r="1242" customFormat="false" ht="15.75" hidden="false" customHeight="true" outlineLevel="0" collapsed="false">
      <c r="A1242" s="18"/>
      <c r="B1242" s="18"/>
      <c r="C1242" s="19"/>
      <c r="D1242" s="20"/>
      <c r="E1242" s="20"/>
      <c r="F1242" s="20"/>
      <c r="G1242" s="20" t="str">
        <f aca="false">IF(COUNTBLANK(D1242:F1242)=3,"",IF(OR(D1242="Fail",E1242="Fail",F1242="Fail"),"Fail",IF(AND(D1242="Pass",E1242="Pass",F1242="Pass"),"Pass","Incomplete")))</f>
        <v/>
      </c>
      <c r="H1242" s="18"/>
      <c r="I1242" s="18"/>
    </row>
    <row r="1243" customFormat="false" ht="15.75" hidden="false" customHeight="true" outlineLevel="0" collapsed="false">
      <c r="A1243" s="18"/>
      <c r="B1243" s="18"/>
      <c r="C1243" s="19"/>
      <c r="D1243" s="20"/>
      <c r="E1243" s="20"/>
      <c r="F1243" s="20"/>
      <c r="G1243" s="20" t="str">
        <f aca="false">IF(COUNTBLANK(D1243:F1243)=3,"",IF(OR(D1243="Fail",E1243="Fail",F1243="Fail"),"Fail",IF(AND(D1243="Pass",E1243="Pass",F1243="Pass"),"Pass","Incomplete")))</f>
        <v/>
      </c>
      <c r="H1243" s="18"/>
      <c r="I1243" s="18"/>
    </row>
    <row r="1244" customFormat="false" ht="15.75" hidden="false" customHeight="true" outlineLevel="0" collapsed="false">
      <c r="A1244" s="18"/>
      <c r="B1244" s="18"/>
      <c r="C1244" s="19"/>
      <c r="D1244" s="20"/>
      <c r="E1244" s="20"/>
      <c r="F1244" s="20"/>
      <c r="G1244" s="20" t="str">
        <f aca="false">IF(COUNTBLANK(D1244:F1244)=3,"",IF(OR(D1244="Fail",E1244="Fail",F1244="Fail"),"Fail",IF(AND(D1244="Pass",E1244="Pass",F1244="Pass"),"Pass","Incomplete")))</f>
        <v/>
      </c>
      <c r="H1244" s="18"/>
      <c r="I1244" s="18"/>
    </row>
    <row r="1245" customFormat="false" ht="15.75" hidden="false" customHeight="true" outlineLevel="0" collapsed="false">
      <c r="A1245" s="18"/>
      <c r="B1245" s="18"/>
      <c r="C1245" s="19"/>
      <c r="D1245" s="20"/>
      <c r="E1245" s="20"/>
      <c r="F1245" s="20"/>
      <c r="G1245" s="20" t="str">
        <f aca="false">IF(COUNTBLANK(D1245:F1245)=3,"",IF(OR(D1245="Fail",E1245="Fail",F1245="Fail"),"Fail",IF(AND(D1245="Pass",E1245="Pass",F1245="Pass"),"Pass","Incomplete")))</f>
        <v/>
      </c>
      <c r="H1245" s="18"/>
      <c r="I1245" s="18"/>
    </row>
    <row r="1246" customFormat="false" ht="15.75" hidden="false" customHeight="true" outlineLevel="0" collapsed="false">
      <c r="A1246" s="18"/>
      <c r="B1246" s="18"/>
      <c r="C1246" s="19"/>
      <c r="D1246" s="20"/>
      <c r="E1246" s="20"/>
      <c r="F1246" s="20"/>
      <c r="G1246" s="20" t="str">
        <f aca="false">IF(COUNTBLANK(D1246:F1246)=3,"",IF(OR(D1246="Fail",E1246="Fail",F1246="Fail"),"Fail",IF(AND(D1246="Pass",E1246="Pass",F1246="Pass"),"Pass","Incomplete")))</f>
        <v/>
      </c>
      <c r="H1246" s="18"/>
      <c r="I1246" s="18"/>
    </row>
    <row r="1247" customFormat="false" ht="15.75" hidden="false" customHeight="true" outlineLevel="0" collapsed="false">
      <c r="A1247" s="18"/>
      <c r="B1247" s="18"/>
      <c r="C1247" s="19"/>
      <c r="D1247" s="20"/>
      <c r="E1247" s="20"/>
      <c r="F1247" s="20"/>
      <c r="G1247" s="20" t="str">
        <f aca="false">IF(COUNTBLANK(D1247:F1247)=3,"",IF(OR(D1247="Fail",E1247="Fail",F1247="Fail"),"Fail",IF(AND(D1247="Pass",E1247="Pass",F1247="Pass"),"Pass","Incomplete")))</f>
        <v/>
      </c>
      <c r="H1247" s="18"/>
      <c r="I1247" s="18"/>
    </row>
    <row r="1248" customFormat="false" ht="15.75" hidden="false" customHeight="true" outlineLevel="0" collapsed="false">
      <c r="A1248" s="18"/>
      <c r="B1248" s="18"/>
      <c r="C1248" s="19"/>
      <c r="D1248" s="20"/>
      <c r="E1248" s="20"/>
      <c r="F1248" s="20"/>
      <c r="G1248" s="20" t="str">
        <f aca="false">IF(COUNTBLANK(D1248:F1248)=3,"",IF(OR(D1248="Fail",E1248="Fail",F1248="Fail"),"Fail",IF(AND(D1248="Pass",E1248="Pass",F1248="Pass"),"Pass","Incomplete")))</f>
        <v/>
      </c>
      <c r="H1248" s="18"/>
      <c r="I1248" s="18"/>
    </row>
    <row r="1249" customFormat="false" ht="15.75" hidden="false" customHeight="true" outlineLevel="0" collapsed="false">
      <c r="A1249" s="18"/>
      <c r="B1249" s="18"/>
      <c r="C1249" s="19"/>
      <c r="D1249" s="20"/>
      <c r="E1249" s="20"/>
      <c r="F1249" s="20"/>
      <c r="G1249" s="20" t="str">
        <f aca="false">IF(COUNTBLANK(D1249:F1249)=3,"",IF(OR(D1249="Fail",E1249="Fail",F1249="Fail"),"Fail",IF(AND(D1249="Pass",E1249="Pass",F1249="Pass"),"Pass","Incomplete")))</f>
        <v/>
      </c>
      <c r="H1249" s="18"/>
      <c r="I1249" s="18"/>
    </row>
    <row r="1250" customFormat="false" ht="15.75" hidden="false" customHeight="true" outlineLevel="0" collapsed="false">
      <c r="A1250" s="18"/>
      <c r="B1250" s="18"/>
      <c r="C1250" s="19"/>
      <c r="D1250" s="20"/>
      <c r="E1250" s="20"/>
      <c r="F1250" s="20"/>
      <c r="G1250" s="20" t="str">
        <f aca="false">IF(COUNTBLANK(D1250:F1250)=3,"",IF(OR(D1250="Fail",E1250="Fail",F1250="Fail"),"Fail",IF(AND(D1250="Pass",E1250="Pass",F1250="Pass"),"Pass","Incomplete")))</f>
        <v/>
      </c>
      <c r="H1250" s="18"/>
      <c r="I1250" s="18"/>
    </row>
    <row r="1251" customFormat="false" ht="15.75" hidden="false" customHeight="true" outlineLevel="0" collapsed="false">
      <c r="A1251" s="18"/>
      <c r="B1251" s="18"/>
      <c r="C1251" s="19"/>
      <c r="D1251" s="20"/>
      <c r="E1251" s="20"/>
      <c r="F1251" s="20"/>
      <c r="G1251" s="20" t="str">
        <f aca="false">IF(COUNTBLANK(D1251:F1251)=3,"",IF(OR(D1251="Fail",E1251="Fail",F1251="Fail"),"Fail",IF(AND(D1251="Pass",E1251="Pass",F1251="Pass"),"Pass","Incomplete")))</f>
        <v/>
      </c>
      <c r="H1251" s="18"/>
      <c r="I1251" s="18"/>
    </row>
    <row r="1252" customFormat="false" ht="15.75" hidden="false" customHeight="true" outlineLevel="0" collapsed="false">
      <c r="A1252" s="18"/>
      <c r="B1252" s="18"/>
      <c r="C1252" s="19"/>
      <c r="D1252" s="20"/>
      <c r="E1252" s="20"/>
      <c r="F1252" s="20"/>
      <c r="G1252" s="20" t="str">
        <f aca="false">IF(COUNTBLANK(D1252:F1252)=3,"",IF(OR(D1252="Fail",E1252="Fail",F1252="Fail"),"Fail",IF(AND(D1252="Pass",E1252="Pass",F1252="Pass"),"Pass","Incomplete")))</f>
        <v/>
      </c>
      <c r="H1252" s="18"/>
      <c r="I1252" s="18"/>
    </row>
    <row r="1253" customFormat="false" ht="15.75" hidden="false" customHeight="true" outlineLevel="0" collapsed="false">
      <c r="A1253" s="18"/>
      <c r="B1253" s="18"/>
      <c r="C1253" s="19"/>
      <c r="D1253" s="20"/>
      <c r="E1253" s="20"/>
      <c r="F1253" s="20"/>
      <c r="G1253" s="20" t="str">
        <f aca="false">IF(COUNTBLANK(D1253:F1253)=3,"",IF(OR(D1253="Fail",E1253="Fail",F1253="Fail"),"Fail",IF(AND(D1253="Pass",E1253="Pass",F1253="Pass"),"Pass","Incomplete")))</f>
        <v/>
      </c>
      <c r="H1253" s="18"/>
      <c r="I1253" s="18"/>
    </row>
    <row r="1254" customFormat="false" ht="15.75" hidden="false" customHeight="true" outlineLevel="0" collapsed="false">
      <c r="A1254" s="18"/>
      <c r="B1254" s="18"/>
      <c r="C1254" s="19"/>
      <c r="D1254" s="20"/>
      <c r="E1254" s="20"/>
      <c r="F1254" s="20"/>
      <c r="G1254" s="20" t="str">
        <f aca="false">IF(COUNTBLANK(D1254:F1254)=3,"",IF(OR(D1254="Fail",E1254="Fail",F1254="Fail"),"Fail",IF(AND(D1254="Pass",E1254="Pass",F1254="Pass"),"Pass","Incomplete")))</f>
        <v/>
      </c>
      <c r="H1254" s="18"/>
      <c r="I1254" s="18"/>
    </row>
    <row r="1255" customFormat="false" ht="15.75" hidden="false" customHeight="true" outlineLevel="0" collapsed="false">
      <c r="A1255" s="18"/>
      <c r="B1255" s="18"/>
      <c r="C1255" s="19"/>
      <c r="D1255" s="20"/>
      <c r="E1255" s="20"/>
      <c r="F1255" s="20"/>
      <c r="G1255" s="20" t="str">
        <f aca="false">IF(COUNTBLANK(D1255:F1255)=3,"",IF(OR(D1255="Fail",E1255="Fail",F1255="Fail"),"Fail",IF(AND(D1255="Pass",E1255="Pass",F1255="Pass"),"Pass","Incomplete")))</f>
        <v/>
      </c>
      <c r="H1255" s="18"/>
      <c r="I1255" s="18"/>
    </row>
    <row r="1256" customFormat="false" ht="15.75" hidden="false" customHeight="true" outlineLevel="0" collapsed="false">
      <c r="A1256" s="18"/>
      <c r="B1256" s="18"/>
      <c r="C1256" s="19"/>
      <c r="D1256" s="20"/>
      <c r="E1256" s="20"/>
      <c r="F1256" s="20"/>
      <c r="G1256" s="20" t="str">
        <f aca="false">IF(COUNTBLANK(D1256:F1256)=3,"",IF(OR(D1256="Fail",E1256="Fail",F1256="Fail"),"Fail",IF(AND(D1256="Pass",E1256="Pass",F1256="Pass"),"Pass","Incomplete")))</f>
        <v/>
      </c>
      <c r="H1256" s="18"/>
      <c r="I1256" s="18"/>
    </row>
    <row r="1257" customFormat="false" ht="15.75" hidden="false" customHeight="true" outlineLevel="0" collapsed="false">
      <c r="A1257" s="18"/>
      <c r="B1257" s="18"/>
      <c r="C1257" s="19"/>
      <c r="D1257" s="20"/>
      <c r="E1257" s="20"/>
      <c r="F1257" s="20"/>
      <c r="G1257" s="20" t="str">
        <f aca="false">IF(COUNTBLANK(D1257:F1257)=3,"",IF(OR(D1257="Fail",E1257="Fail",F1257="Fail"),"Fail",IF(AND(D1257="Pass",E1257="Pass",F1257="Pass"),"Pass","Incomplete")))</f>
        <v/>
      </c>
      <c r="H1257" s="18"/>
      <c r="I1257" s="18"/>
    </row>
    <row r="1258" customFormat="false" ht="15.75" hidden="false" customHeight="true" outlineLevel="0" collapsed="false">
      <c r="A1258" s="18"/>
      <c r="B1258" s="18"/>
      <c r="C1258" s="19"/>
      <c r="D1258" s="20"/>
      <c r="E1258" s="20"/>
      <c r="F1258" s="20"/>
      <c r="G1258" s="20" t="str">
        <f aca="false">IF(COUNTBLANK(D1258:F1258)=3,"",IF(OR(D1258="Fail",E1258="Fail",F1258="Fail"),"Fail",IF(AND(D1258="Pass",E1258="Pass",F1258="Pass"),"Pass","Incomplete")))</f>
        <v/>
      </c>
      <c r="H1258" s="18"/>
      <c r="I1258" s="18"/>
    </row>
    <row r="1259" customFormat="false" ht="15.75" hidden="false" customHeight="true" outlineLevel="0" collapsed="false">
      <c r="A1259" s="18"/>
      <c r="B1259" s="18"/>
      <c r="C1259" s="19"/>
      <c r="D1259" s="20"/>
      <c r="E1259" s="20"/>
      <c r="F1259" s="20"/>
      <c r="G1259" s="20" t="str">
        <f aca="false">IF(COUNTBLANK(D1259:F1259)=3,"",IF(OR(D1259="Fail",E1259="Fail",F1259="Fail"),"Fail",IF(AND(D1259="Pass",E1259="Pass",F1259="Pass"),"Pass","Incomplete")))</f>
        <v/>
      </c>
      <c r="H1259" s="18"/>
      <c r="I1259" s="18"/>
    </row>
    <row r="1260" customFormat="false" ht="15.75" hidden="false" customHeight="true" outlineLevel="0" collapsed="false">
      <c r="A1260" s="18"/>
      <c r="B1260" s="18"/>
      <c r="C1260" s="19"/>
      <c r="D1260" s="20"/>
      <c r="E1260" s="20"/>
      <c r="F1260" s="20"/>
      <c r="G1260" s="20" t="str">
        <f aca="false">IF(COUNTBLANK(D1260:F1260)=3,"",IF(OR(D1260="Fail",E1260="Fail",F1260="Fail"),"Fail",IF(AND(D1260="Pass",E1260="Pass",F1260="Pass"),"Pass","Incomplete")))</f>
        <v/>
      </c>
      <c r="H1260" s="18"/>
      <c r="I1260" s="18"/>
    </row>
    <row r="1261" customFormat="false" ht="15.75" hidden="false" customHeight="true" outlineLevel="0" collapsed="false">
      <c r="A1261" s="18"/>
      <c r="B1261" s="18"/>
      <c r="C1261" s="19"/>
      <c r="D1261" s="20"/>
      <c r="E1261" s="20"/>
      <c r="F1261" s="20"/>
      <c r="G1261" s="20" t="str">
        <f aca="false">IF(COUNTBLANK(D1261:F1261)=3,"",IF(OR(D1261="Fail",E1261="Fail",F1261="Fail"),"Fail",IF(AND(D1261="Pass",E1261="Pass",F1261="Pass"),"Pass","Incomplete")))</f>
        <v/>
      </c>
      <c r="H1261" s="18"/>
      <c r="I1261" s="18"/>
    </row>
    <row r="1262" customFormat="false" ht="15.75" hidden="false" customHeight="true" outlineLevel="0" collapsed="false">
      <c r="A1262" s="18"/>
      <c r="B1262" s="18"/>
      <c r="C1262" s="19"/>
      <c r="D1262" s="20"/>
      <c r="E1262" s="20"/>
      <c r="F1262" s="20"/>
      <c r="G1262" s="20" t="str">
        <f aca="false">IF(COUNTBLANK(D1262:F1262)=3,"",IF(OR(D1262="Fail",E1262="Fail",F1262="Fail"),"Fail",IF(AND(D1262="Pass",E1262="Pass",F1262="Pass"),"Pass","Incomplete")))</f>
        <v/>
      </c>
      <c r="H1262" s="18"/>
      <c r="I1262" s="18"/>
    </row>
    <row r="1263" customFormat="false" ht="15.75" hidden="false" customHeight="true" outlineLevel="0" collapsed="false">
      <c r="A1263" s="18"/>
      <c r="B1263" s="18"/>
      <c r="C1263" s="19"/>
      <c r="D1263" s="20"/>
      <c r="E1263" s="20"/>
      <c r="F1263" s="20"/>
      <c r="G1263" s="20" t="str">
        <f aca="false">IF(COUNTBLANK(D1263:F1263)=3,"",IF(OR(D1263="Fail",E1263="Fail",F1263="Fail"),"Fail",IF(AND(D1263="Pass",E1263="Pass",F1263="Pass"),"Pass","Incomplete")))</f>
        <v/>
      </c>
      <c r="H1263" s="18"/>
      <c r="I1263" s="18"/>
    </row>
    <row r="1264" customFormat="false" ht="15.75" hidden="false" customHeight="true" outlineLevel="0" collapsed="false">
      <c r="A1264" s="18"/>
      <c r="B1264" s="18"/>
      <c r="C1264" s="19"/>
      <c r="D1264" s="20"/>
      <c r="E1264" s="20"/>
      <c r="F1264" s="20"/>
      <c r="G1264" s="20" t="str">
        <f aca="false">IF(COUNTBLANK(D1264:F1264)=3,"",IF(OR(D1264="Fail",E1264="Fail",F1264="Fail"),"Fail",IF(AND(D1264="Pass",E1264="Pass",F1264="Pass"),"Pass","Incomplete")))</f>
        <v/>
      </c>
      <c r="H1264" s="18"/>
      <c r="I1264" s="18"/>
    </row>
    <row r="1265" customFormat="false" ht="15.75" hidden="false" customHeight="true" outlineLevel="0" collapsed="false">
      <c r="A1265" s="18"/>
      <c r="B1265" s="18"/>
      <c r="C1265" s="19"/>
      <c r="D1265" s="20"/>
      <c r="E1265" s="20"/>
      <c r="F1265" s="20"/>
      <c r="G1265" s="20" t="str">
        <f aca="false">IF(COUNTBLANK(D1265:F1265)=3,"",IF(OR(D1265="Fail",E1265="Fail",F1265="Fail"),"Fail",IF(AND(D1265="Pass",E1265="Pass",F1265="Pass"),"Pass","Incomplete")))</f>
        <v/>
      </c>
      <c r="H1265" s="18"/>
      <c r="I1265" s="18"/>
    </row>
    <row r="1266" customFormat="false" ht="15.75" hidden="false" customHeight="true" outlineLevel="0" collapsed="false">
      <c r="A1266" s="18"/>
      <c r="B1266" s="18"/>
      <c r="C1266" s="19"/>
      <c r="D1266" s="20"/>
      <c r="E1266" s="20"/>
      <c r="F1266" s="20"/>
      <c r="G1266" s="20" t="str">
        <f aca="false">IF(COUNTBLANK(D1266:F1266)=3,"",IF(OR(D1266="Fail",E1266="Fail",F1266="Fail"),"Fail",IF(AND(D1266="Pass",E1266="Pass",F1266="Pass"),"Pass","Incomplete")))</f>
        <v/>
      </c>
      <c r="H1266" s="18"/>
      <c r="I1266" s="18"/>
    </row>
    <row r="1267" customFormat="false" ht="15.75" hidden="false" customHeight="true" outlineLevel="0" collapsed="false">
      <c r="A1267" s="18"/>
      <c r="B1267" s="18"/>
      <c r="C1267" s="19"/>
      <c r="D1267" s="20"/>
      <c r="E1267" s="20"/>
      <c r="F1267" s="20"/>
      <c r="G1267" s="20" t="str">
        <f aca="false">IF(COUNTBLANK(D1267:F1267)=3,"",IF(OR(D1267="Fail",E1267="Fail",F1267="Fail"),"Fail",IF(AND(D1267="Pass",E1267="Pass",F1267="Pass"),"Pass","Incomplete")))</f>
        <v/>
      </c>
      <c r="H1267" s="18"/>
      <c r="I1267" s="18"/>
    </row>
    <row r="1268" customFormat="false" ht="15.75" hidden="false" customHeight="true" outlineLevel="0" collapsed="false">
      <c r="A1268" s="18"/>
      <c r="B1268" s="18"/>
      <c r="C1268" s="19"/>
      <c r="D1268" s="20"/>
      <c r="E1268" s="20"/>
      <c r="F1268" s="20"/>
      <c r="G1268" s="20" t="str">
        <f aca="false">IF(COUNTBLANK(D1268:F1268)=3,"",IF(OR(D1268="Fail",E1268="Fail",F1268="Fail"),"Fail",IF(AND(D1268="Pass",E1268="Pass",F1268="Pass"),"Pass","Incomplete")))</f>
        <v/>
      </c>
      <c r="H1268" s="18"/>
      <c r="I1268" s="18"/>
    </row>
    <row r="1269" customFormat="false" ht="15.75" hidden="false" customHeight="true" outlineLevel="0" collapsed="false">
      <c r="A1269" s="18"/>
      <c r="B1269" s="18"/>
      <c r="C1269" s="19"/>
      <c r="D1269" s="20"/>
      <c r="E1269" s="20"/>
      <c r="F1269" s="20"/>
      <c r="G1269" s="20" t="str">
        <f aca="false">IF(COUNTBLANK(D1269:F1269)=3,"",IF(OR(D1269="Fail",E1269="Fail",F1269="Fail"),"Fail",IF(AND(D1269="Pass",E1269="Pass",F1269="Pass"),"Pass","Incomplete")))</f>
        <v/>
      </c>
      <c r="H1269" s="18"/>
      <c r="I1269" s="18"/>
    </row>
    <row r="1270" customFormat="false" ht="15.75" hidden="false" customHeight="true" outlineLevel="0" collapsed="false">
      <c r="A1270" s="18"/>
      <c r="B1270" s="18"/>
      <c r="C1270" s="19"/>
      <c r="D1270" s="20"/>
      <c r="E1270" s="20"/>
      <c r="F1270" s="20"/>
      <c r="G1270" s="20" t="str">
        <f aca="false">IF(COUNTBLANK(D1270:F1270)=3,"",IF(OR(D1270="Fail",E1270="Fail",F1270="Fail"),"Fail",IF(AND(D1270="Pass",E1270="Pass",F1270="Pass"),"Pass","Incomplete")))</f>
        <v/>
      </c>
      <c r="H1270" s="18"/>
      <c r="I1270" s="18"/>
    </row>
    <row r="1271" customFormat="false" ht="15.75" hidden="false" customHeight="true" outlineLevel="0" collapsed="false">
      <c r="A1271" s="18"/>
      <c r="B1271" s="18"/>
      <c r="C1271" s="19"/>
      <c r="D1271" s="20"/>
      <c r="E1271" s="20"/>
      <c r="F1271" s="20"/>
      <c r="G1271" s="20" t="str">
        <f aca="false">IF(COUNTBLANK(D1271:F1271)=3,"",IF(OR(D1271="Fail",E1271="Fail",F1271="Fail"),"Fail",IF(AND(D1271="Pass",E1271="Pass",F1271="Pass"),"Pass","Incomplete")))</f>
        <v/>
      </c>
      <c r="H1271" s="18"/>
      <c r="I1271" s="18"/>
    </row>
    <row r="1272" customFormat="false" ht="15.75" hidden="false" customHeight="true" outlineLevel="0" collapsed="false">
      <c r="A1272" s="18"/>
      <c r="B1272" s="18"/>
      <c r="C1272" s="19"/>
      <c r="D1272" s="20"/>
      <c r="E1272" s="20"/>
      <c r="F1272" s="20"/>
      <c r="G1272" s="20" t="str">
        <f aca="false">IF(COUNTBLANK(D1272:F1272)=3,"",IF(OR(D1272="Fail",E1272="Fail",F1272="Fail"),"Fail",IF(AND(D1272="Pass",E1272="Pass",F1272="Pass"),"Pass","Incomplete")))</f>
        <v/>
      </c>
      <c r="H1272" s="18"/>
      <c r="I1272" s="18"/>
    </row>
    <row r="1273" customFormat="false" ht="15.75" hidden="false" customHeight="true" outlineLevel="0" collapsed="false">
      <c r="A1273" s="18"/>
      <c r="B1273" s="18"/>
      <c r="C1273" s="19"/>
      <c r="D1273" s="20"/>
      <c r="E1273" s="20"/>
      <c r="F1273" s="20"/>
      <c r="G1273" s="20" t="str">
        <f aca="false">IF(COUNTBLANK(D1273:F1273)=3,"",IF(OR(D1273="Fail",E1273="Fail",F1273="Fail"),"Fail",IF(AND(D1273="Pass",E1273="Pass",F1273="Pass"),"Pass","Incomplete")))</f>
        <v/>
      </c>
      <c r="H1273" s="18"/>
      <c r="I1273" s="18"/>
    </row>
    <row r="1274" customFormat="false" ht="15.75" hidden="false" customHeight="true" outlineLevel="0" collapsed="false">
      <c r="A1274" s="18"/>
      <c r="B1274" s="18"/>
      <c r="C1274" s="19"/>
      <c r="D1274" s="20"/>
      <c r="E1274" s="20"/>
      <c r="F1274" s="20"/>
      <c r="G1274" s="20" t="str">
        <f aca="false">IF(COUNTBLANK(D1274:F1274)=3,"",IF(OR(D1274="Fail",E1274="Fail",F1274="Fail"),"Fail",IF(AND(D1274="Pass",E1274="Pass",F1274="Pass"),"Pass","Incomplete")))</f>
        <v/>
      </c>
      <c r="H1274" s="18"/>
      <c r="I1274" s="18"/>
    </row>
    <row r="1275" customFormat="false" ht="15.75" hidden="false" customHeight="true" outlineLevel="0" collapsed="false">
      <c r="A1275" s="18"/>
      <c r="B1275" s="18"/>
      <c r="C1275" s="19"/>
      <c r="D1275" s="20"/>
      <c r="E1275" s="20"/>
      <c r="F1275" s="20"/>
      <c r="G1275" s="20" t="str">
        <f aca="false">IF(COUNTBLANK(D1275:F1275)=3,"",IF(OR(D1275="Fail",E1275="Fail",F1275="Fail"),"Fail",IF(AND(D1275="Pass",E1275="Pass",F1275="Pass"),"Pass","Incomplete")))</f>
        <v/>
      </c>
      <c r="H1275" s="18"/>
      <c r="I1275" s="18"/>
    </row>
    <row r="1276" customFormat="false" ht="15.75" hidden="false" customHeight="true" outlineLevel="0" collapsed="false">
      <c r="A1276" s="18"/>
      <c r="B1276" s="18"/>
      <c r="C1276" s="19"/>
      <c r="D1276" s="20"/>
      <c r="E1276" s="20"/>
      <c r="F1276" s="20"/>
      <c r="G1276" s="20" t="str">
        <f aca="false">IF(COUNTBLANK(D1276:F1276)=3,"",IF(OR(D1276="Fail",E1276="Fail",F1276="Fail"),"Fail",IF(AND(D1276="Pass",E1276="Pass",F1276="Pass"),"Pass","Incomplete")))</f>
        <v/>
      </c>
      <c r="H1276" s="18"/>
      <c r="I1276" s="18"/>
    </row>
    <row r="1277" customFormat="false" ht="15.75" hidden="false" customHeight="true" outlineLevel="0" collapsed="false">
      <c r="A1277" s="18"/>
      <c r="B1277" s="18"/>
      <c r="C1277" s="19"/>
      <c r="D1277" s="20"/>
      <c r="E1277" s="20"/>
      <c r="F1277" s="20"/>
      <c r="G1277" s="20" t="str">
        <f aca="false">IF(COUNTBLANK(D1277:F1277)=3,"",IF(OR(D1277="Fail",E1277="Fail",F1277="Fail"),"Fail",IF(AND(D1277="Pass",E1277="Pass",F1277="Pass"),"Pass","Incomplete")))</f>
        <v/>
      </c>
      <c r="H1277" s="18"/>
      <c r="I1277" s="18"/>
    </row>
    <row r="1278" customFormat="false" ht="15.75" hidden="false" customHeight="true" outlineLevel="0" collapsed="false">
      <c r="A1278" s="18"/>
      <c r="B1278" s="18"/>
      <c r="C1278" s="19"/>
      <c r="D1278" s="20"/>
      <c r="E1278" s="20"/>
      <c r="F1278" s="20"/>
      <c r="G1278" s="20" t="str">
        <f aca="false">IF(COUNTBLANK(D1278:F1278)=3,"",IF(OR(D1278="Fail",E1278="Fail",F1278="Fail"),"Fail",IF(AND(D1278="Pass",E1278="Pass",F1278="Pass"),"Pass","Incomplete")))</f>
        <v/>
      </c>
      <c r="H1278" s="18"/>
      <c r="I1278" s="18"/>
    </row>
    <row r="1279" customFormat="false" ht="15.75" hidden="false" customHeight="true" outlineLevel="0" collapsed="false">
      <c r="A1279" s="18"/>
      <c r="B1279" s="18"/>
      <c r="C1279" s="19"/>
      <c r="D1279" s="20"/>
      <c r="E1279" s="20"/>
      <c r="F1279" s="20"/>
      <c r="G1279" s="20" t="str">
        <f aca="false">IF(COUNTBLANK(D1279:F1279)=3,"",IF(OR(D1279="Fail",E1279="Fail",F1279="Fail"),"Fail",IF(AND(D1279="Pass",E1279="Pass",F1279="Pass"),"Pass","Incomplete")))</f>
        <v/>
      </c>
      <c r="H1279" s="18"/>
      <c r="I1279" s="18"/>
    </row>
    <row r="1280" customFormat="false" ht="15.75" hidden="false" customHeight="true" outlineLevel="0" collapsed="false">
      <c r="A1280" s="18"/>
      <c r="B1280" s="18"/>
      <c r="C1280" s="19"/>
      <c r="D1280" s="20"/>
      <c r="E1280" s="20"/>
      <c r="F1280" s="20"/>
      <c r="G1280" s="20" t="str">
        <f aca="false">IF(COUNTBLANK(D1280:F1280)=3,"",IF(OR(D1280="Fail",E1280="Fail",F1280="Fail"),"Fail",IF(AND(D1280="Pass",E1280="Pass",F1280="Pass"),"Pass","Incomplete")))</f>
        <v/>
      </c>
      <c r="H1280" s="18"/>
      <c r="I1280" s="18"/>
    </row>
    <row r="1281" customFormat="false" ht="15.75" hidden="false" customHeight="true" outlineLevel="0" collapsed="false">
      <c r="A1281" s="18"/>
      <c r="B1281" s="18"/>
      <c r="C1281" s="19"/>
      <c r="D1281" s="20"/>
      <c r="E1281" s="20"/>
      <c r="F1281" s="20"/>
      <c r="G1281" s="20" t="str">
        <f aca="false">IF(COUNTBLANK(D1281:F1281)=3,"",IF(OR(D1281="Fail",E1281="Fail",F1281="Fail"),"Fail",IF(AND(D1281="Pass",E1281="Pass",F1281="Pass"),"Pass","Incomplete")))</f>
        <v/>
      </c>
      <c r="H1281" s="18"/>
      <c r="I1281" s="18"/>
    </row>
    <row r="1282" customFormat="false" ht="15.75" hidden="false" customHeight="true" outlineLevel="0" collapsed="false">
      <c r="A1282" s="18"/>
      <c r="B1282" s="18"/>
      <c r="C1282" s="19"/>
      <c r="D1282" s="20"/>
      <c r="E1282" s="20"/>
      <c r="F1282" s="20"/>
      <c r="G1282" s="20" t="str">
        <f aca="false">IF(COUNTBLANK(D1282:F1282)=3,"",IF(OR(D1282="Fail",E1282="Fail",F1282="Fail"),"Fail",IF(AND(D1282="Pass",E1282="Pass",F1282="Pass"),"Pass","Incomplete")))</f>
        <v/>
      </c>
      <c r="H1282" s="18"/>
      <c r="I1282" s="18"/>
    </row>
    <row r="1283" customFormat="false" ht="15.75" hidden="false" customHeight="true" outlineLevel="0" collapsed="false">
      <c r="A1283" s="18"/>
      <c r="B1283" s="18"/>
      <c r="C1283" s="19"/>
      <c r="D1283" s="20"/>
      <c r="E1283" s="20"/>
      <c r="F1283" s="20"/>
      <c r="G1283" s="20" t="str">
        <f aca="false">IF(COUNTBLANK(D1283:F1283)=3,"",IF(OR(D1283="Fail",E1283="Fail",F1283="Fail"),"Fail",IF(AND(D1283="Pass",E1283="Pass",F1283="Pass"),"Pass","Incomplete")))</f>
        <v/>
      </c>
      <c r="H1283" s="18"/>
      <c r="I1283" s="18"/>
    </row>
    <row r="1284" customFormat="false" ht="15.75" hidden="false" customHeight="true" outlineLevel="0" collapsed="false">
      <c r="A1284" s="18"/>
      <c r="B1284" s="18"/>
      <c r="C1284" s="19"/>
      <c r="D1284" s="20"/>
      <c r="E1284" s="20"/>
      <c r="F1284" s="20"/>
      <c r="G1284" s="20" t="str">
        <f aca="false">IF(COUNTBLANK(D1284:F1284)=3,"",IF(OR(D1284="Fail",E1284="Fail",F1284="Fail"),"Fail",IF(AND(D1284="Pass",E1284="Pass",F1284="Pass"),"Pass","Incomplete")))</f>
        <v/>
      </c>
      <c r="H1284" s="18"/>
      <c r="I1284" s="18"/>
    </row>
    <row r="1285" customFormat="false" ht="15.75" hidden="false" customHeight="true" outlineLevel="0" collapsed="false">
      <c r="A1285" s="18"/>
      <c r="B1285" s="18"/>
      <c r="C1285" s="19"/>
      <c r="D1285" s="20"/>
      <c r="E1285" s="20"/>
      <c r="F1285" s="20"/>
      <c r="G1285" s="20" t="str">
        <f aca="false">IF(COUNTBLANK(D1285:F1285)=3,"",IF(OR(D1285="Fail",E1285="Fail",F1285="Fail"),"Fail",IF(AND(D1285="Pass",E1285="Pass",F1285="Pass"),"Pass","Incomplete")))</f>
        <v/>
      </c>
      <c r="H1285" s="18"/>
      <c r="I1285" s="18"/>
    </row>
    <row r="1286" customFormat="false" ht="15.75" hidden="false" customHeight="true" outlineLevel="0" collapsed="false">
      <c r="A1286" s="18"/>
      <c r="B1286" s="18"/>
      <c r="C1286" s="19"/>
      <c r="D1286" s="20"/>
      <c r="E1286" s="20"/>
      <c r="F1286" s="20"/>
      <c r="G1286" s="20" t="str">
        <f aca="false">IF(COUNTBLANK(D1286:F1286)=3,"",IF(OR(D1286="Fail",E1286="Fail",F1286="Fail"),"Fail",IF(AND(D1286="Pass",E1286="Pass",F1286="Pass"),"Pass","Incomplete")))</f>
        <v/>
      </c>
      <c r="H1286" s="18"/>
      <c r="I1286" s="18"/>
    </row>
    <row r="1287" customFormat="false" ht="15.75" hidden="false" customHeight="true" outlineLevel="0" collapsed="false">
      <c r="A1287" s="18"/>
      <c r="B1287" s="18"/>
      <c r="C1287" s="19"/>
      <c r="D1287" s="20"/>
      <c r="E1287" s="20"/>
      <c r="F1287" s="20"/>
      <c r="G1287" s="20" t="str">
        <f aca="false">IF(COUNTBLANK(D1287:F1287)=3,"",IF(OR(D1287="Fail",E1287="Fail",F1287="Fail"),"Fail",IF(AND(D1287="Pass",E1287="Pass",F1287="Pass"),"Pass","Incomplete")))</f>
        <v/>
      </c>
      <c r="H1287" s="18"/>
      <c r="I1287" s="18"/>
    </row>
    <row r="1288" customFormat="false" ht="15.75" hidden="false" customHeight="true" outlineLevel="0" collapsed="false">
      <c r="A1288" s="18"/>
      <c r="B1288" s="18"/>
      <c r="C1288" s="19"/>
      <c r="D1288" s="20"/>
      <c r="E1288" s="20"/>
      <c r="F1288" s="20"/>
      <c r="G1288" s="20" t="str">
        <f aca="false">IF(COUNTBLANK(D1288:F1288)=3,"",IF(OR(D1288="Fail",E1288="Fail",F1288="Fail"),"Fail",IF(AND(D1288="Pass",E1288="Pass",F1288="Pass"),"Pass","Incomplete")))</f>
        <v/>
      </c>
      <c r="H1288" s="18"/>
      <c r="I1288" s="18"/>
    </row>
    <row r="1289" customFormat="false" ht="15.75" hidden="false" customHeight="true" outlineLevel="0" collapsed="false">
      <c r="A1289" s="18"/>
      <c r="B1289" s="18"/>
      <c r="C1289" s="19"/>
      <c r="D1289" s="20"/>
      <c r="E1289" s="20"/>
      <c r="F1289" s="20"/>
      <c r="G1289" s="20" t="str">
        <f aca="false">IF(COUNTBLANK(D1289:F1289)=3,"",IF(OR(D1289="Fail",E1289="Fail",F1289="Fail"),"Fail",IF(AND(D1289="Pass",E1289="Pass",F1289="Pass"),"Pass","Incomplete")))</f>
        <v/>
      </c>
      <c r="H1289" s="18"/>
      <c r="I1289" s="18"/>
    </row>
    <row r="1290" customFormat="false" ht="15.75" hidden="false" customHeight="true" outlineLevel="0" collapsed="false">
      <c r="A1290" s="18"/>
      <c r="B1290" s="18"/>
      <c r="C1290" s="19"/>
      <c r="D1290" s="20"/>
      <c r="E1290" s="20"/>
      <c r="F1290" s="20"/>
      <c r="G1290" s="20" t="str">
        <f aca="false">IF(COUNTBLANK(D1290:F1290)=3,"",IF(OR(D1290="Fail",E1290="Fail",F1290="Fail"),"Fail",IF(AND(D1290="Pass",E1290="Pass",F1290="Pass"),"Pass","Incomplete")))</f>
        <v/>
      </c>
      <c r="H1290" s="18"/>
      <c r="I1290" s="18"/>
    </row>
    <row r="1291" customFormat="false" ht="15.75" hidden="false" customHeight="true" outlineLevel="0" collapsed="false">
      <c r="A1291" s="18"/>
      <c r="B1291" s="18"/>
      <c r="C1291" s="19"/>
      <c r="D1291" s="20"/>
      <c r="E1291" s="20"/>
      <c r="F1291" s="20"/>
      <c r="G1291" s="20" t="str">
        <f aca="false">IF(COUNTBLANK(D1291:F1291)=3,"",IF(OR(D1291="Fail",E1291="Fail",F1291="Fail"),"Fail",IF(AND(D1291="Pass",E1291="Pass",F1291="Pass"),"Pass","Incomplete")))</f>
        <v/>
      </c>
      <c r="H1291" s="18"/>
      <c r="I1291" s="18"/>
    </row>
    <row r="1292" customFormat="false" ht="15.75" hidden="false" customHeight="true" outlineLevel="0" collapsed="false">
      <c r="A1292" s="18"/>
      <c r="B1292" s="18"/>
      <c r="C1292" s="19"/>
      <c r="D1292" s="20"/>
      <c r="E1292" s="20"/>
      <c r="F1292" s="20"/>
      <c r="G1292" s="20" t="str">
        <f aca="false">IF(COUNTBLANK(D1292:F1292)=3,"",IF(OR(D1292="Fail",E1292="Fail",F1292="Fail"),"Fail",IF(AND(D1292="Pass",E1292="Pass",F1292="Pass"),"Pass","Incomplete")))</f>
        <v/>
      </c>
      <c r="H1292" s="18"/>
      <c r="I1292" s="18"/>
    </row>
    <row r="1293" customFormat="false" ht="15.75" hidden="false" customHeight="true" outlineLevel="0" collapsed="false">
      <c r="A1293" s="18"/>
      <c r="B1293" s="18"/>
      <c r="C1293" s="19"/>
      <c r="D1293" s="20"/>
      <c r="E1293" s="20"/>
      <c r="F1293" s="20"/>
      <c r="G1293" s="20" t="str">
        <f aca="false">IF(COUNTBLANK(D1293:F1293)=3,"",IF(OR(D1293="Fail",E1293="Fail",F1293="Fail"),"Fail",IF(AND(D1293="Pass",E1293="Pass",F1293="Pass"),"Pass","Incomplete")))</f>
        <v/>
      </c>
      <c r="H1293" s="18"/>
      <c r="I1293" s="18"/>
    </row>
    <row r="1294" customFormat="false" ht="15.75" hidden="false" customHeight="true" outlineLevel="0" collapsed="false">
      <c r="A1294" s="18"/>
      <c r="B1294" s="18"/>
      <c r="C1294" s="19"/>
      <c r="D1294" s="20"/>
      <c r="E1294" s="20"/>
      <c r="F1294" s="20"/>
      <c r="G1294" s="20" t="str">
        <f aca="false">IF(COUNTBLANK(D1294:F1294)=3,"",IF(OR(D1294="Fail",E1294="Fail",F1294="Fail"),"Fail",IF(AND(D1294="Pass",E1294="Pass",F1294="Pass"),"Pass","Incomplete")))</f>
        <v/>
      </c>
      <c r="H1294" s="18"/>
      <c r="I1294" s="18"/>
    </row>
    <row r="1295" customFormat="false" ht="15.75" hidden="false" customHeight="true" outlineLevel="0" collapsed="false">
      <c r="A1295" s="18"/>
      <c r="B1295" s="18"/>
      <c r="C1295" s="19"/>
      <c r="D1295" s="20"/>
      <c r="E1295" s="20"/>
      <c r="F1295" s="20"/>
      <c r="G1295" s="20" t="str">
        <f aca="false">IF(COUNTBLANK(D1295:F1295)=3,"",IF(OR(D1295="Fail",E1295="Fail",F1295="Fail"),"Fail",IF(AND(D1295="Pass",E1295="Pass",F1295="Pass"),"Pass","Incomplete")))</f>
        <v/>
      </c>
      <c r="H1295" s="18"/>
      <c r="I1295" s="18"/>
    </row>
    <row r="1296" customFormat="false" ht="15.75" hidden="false" customHeight="true" outlineLevel="0" collapsed="false">
      <c r="A1296" s="18"/>
      <c r="B1296" s="18"/>
      <c r="C1296" s="19"/>
      <c r="D1296" s="20"/>
      <c r="E1296" s="20"/>
      <c r="F1296" s="20"/>
      <c r="G1296" s="20" t="str">
        <f aca="false">IF(COUNTBLANK(D1296:F1296)=3,"",IF(OR(D1296="Fail",E1296="Fail",F1296="Fail"),"Fail",IF(AND(D1296="Pass",E1296="Pass",F1296="Pass"),"Pass","Incomplete")))</f>
        <v/>
      </c>
      <c r="H1296" s="18"/>
      <c r="I1296" s="18"/>
    </row>
    <row r="1297" customFormat="false" ht="15.75" hidden="false" customHeight="true" outlineLevel="0" collapsed="false">
      <c r="A1297" s="18"/>
      <c r="B1297" s="18"/>
      <c r="C1297" s="19"/>
      <c r="D1297" s="20"/>
      <c r="E1297" s="20"/>
      <c r="F1297" s="20"/>
      <c r="G1297" s="20" t="str">
        <f aca="false">IF(COUNTBLANK(D1297:F1297)=3,"",IF(OR(D1297="Fail",E1297="Fail",F1297="Fail"),"Fail",IF(AND(D1297="Pass",E1297="Pass",F1297="Pass"),"Pass","Incomplete")))</f>
        <v/>
      </c>
      <c r="H1297" s="18"/>
      <c r="I1297" s="18"/>
    </row>
    <row r="1298" customFormat="false" ht="15.75" hidden="false" customHeight="true" outlineLevel="0" collapsed="false">
      <c r="A1298" s="18"/>
      <c r="B1298" s="18"/>
      <c r="C1298" s="19"/>
      <c r="D1298" s="20"/>
      <c r="E1298" s="20"/>
      <c r="F1298" s="20"/>
      <c r="G1298" s="20" t="str">
        <f aca="false">IF(COUNTBLANK(D1298:F1298)=3,"",IF(OR(D1298="Fail",E1298="Fail",F1298="Fail"),"Fail",IF(AND(D1298="Pass",E1298="Pass",F1298="Pass"),"Pass","Incomplete")))</f>
        <v/>
      </c>
      <c r="H1298" s="18"/>
      <c r="I1298" s="18"/>
    </row>
    <row r="1299" customFormat="false" ht="15.75" hidden="false" customHeight="true" outlineLevel="0" collapsed="false">
      <c r="A1299" s="18"/>
      <c r="B1299" s="18"/>
      <c r="C1299" s="19"/>
      <c r="D1299" s="20"/>
      <c r="E1299" s="20"/>
      <c r="F1299" s="20"/>
      <c r="G1299" s="20" t="str">
        <f aca="false">IF(COUNTBLANK(D1299:F1299)=3,"",IF(OR(D1299="Fail",E1299="Fail",F1299="Fail"),"Fail",IF(AND(D1299="Pass",E1299="Pass",F1299="Pass"),"Pass","Incomplete")))</f>
        <v/>
      </c>
      <c r="H1299" s="18"/>
      <c r="I1299" s="18"/>
    </row>
    <row r="1300" customFormat="false" ht="15.75" hidden="false" customHeight="true" outlineLevel="0" collapsed="false">
      <c r="A1300" s="18"/>
      <c r="B1300" s="18"/>
      <c r="C1300" s="19"/>
      <c r="D1300" s="20"/>
      <c r="E1300" s="20"/>
      <c r="F1300" s="20"/>
      <c r="G1300" s="20" t="str">
        <f aca="false">IF(COUNTBLANK(D1300:F1300)=3,"",IF(OR(D1300="Fail",E1300="Fail",F1300="Fail"),"Fail",IF(AND(D1300="Pass",E1300="Pass",F1300="Pass"),"Pass","Incomplete")))</f>
        <v/>
      </c>
      <c r="H1300" s="18"/>
      <c r="I1300" s="18"/>
    </row>
    <row r="1301" customFormat="false" ht="15.75" hidden="false" customHeight="true" outlineLevel="0" collapsed="false">
      <c r="A1301" s="18"/>
      <c r="B1301" s="18"/>
      <c r="C1301" s="19"/>
      <c r="D1301" s="20"/>
      <c r="E1301" s="20"/>
      <c r="F1301" s="20"/>
      <c r="G1301" s="20" t="str">
        <f aca="false">IF(COUNTBLANK(D1301:F1301)=3,"",IF(OR(D1301="Fail",E1301="Fail",F1301="Fail"),"Fail",IF(AND(D1301="Pass",E1301="Pass",F1301="Pass"),"Pass","Incomplete")))</f>
        <v/>
      </c>
      <c r="H1301" s="18"/>
      <c r="I1301" s="18"/>
    </row>
    <row r="1302" customFormat="false" ht="15.75" hidden="false" customHeight="true" outlineLevel="0" collapsed="false">
      <c r="A1302" s="18"/>
      <c r="B1302" s="18"/>
      <c r="C1302" s="19"/>
      <c r="D1302" s="20"/>
      <c r="E1302" s="20"/>
      <c r="F1302" s="20"/>
      <c r="G1302" s="20" t="str">
        <f aca="false">IF(COUNTBLANK(D1302:F1302)=3,"",IF(OR(D1302="Fail",E1302="Fail",F1302="Fail"),"Fail",IF(AND(D1302="Pass",E1302="Pass",F1302="Pass"),"Pass","Incomplete")))</f>
        <v/>
      </c>
      <c r="H1302" s="18"/>
      <c r="I1302" s="18"/>
    </row>
    <row r="1303" customFormat="false" ht="15.75" hidden="false" customHeight="true" outlineLevel="0" collapsed="false">
      <c r="A1303" s="18"/>
      <c r="B1303" s="18"/>
      <c r="C1303" s="19"/>
      <c r="D1303" s="20"/>
      <c r="E1303" s="20"/>
      <c r="F1303" s="20"/>
      <c r="G1303" s="20" t="str">
        <f aca="false">IF(COUNTBLANK(D1303:F1303)=3,"",IF(OR(D1303="Fail",E1303="Fail",F1303="Fail"),"Fail",IF(AND(D1303="Pass",E1303="Pass",F1303="Pass"),"Pass","Incomplete")))</f>
        <v/>
      </c>
      <c r="H1303" s="18"/>
      <c r="I1303" s="18"/>
    </row>
    <row r="1304" customFormat="false" ht="15.75" hidden="false" customHeight="true" outlineLevel="0" collapsed="false">
      <c r="A1304" s="18"/>
      <c r="B1304" s="18"/>
      <c r="C1304" s="19"/>
      <c r="D1304" s="20"/>
      <c r="E1304" s="20"/>
      <c r="F1304" s="20"/>
      <c r="G1304" s="20" t="str">
        <f aca="false">IF(COUNTBLANK(D1304:F1304)=3,"",IF(OR(D1304="Fail",E1304="Fail",F1304="Fail"),"Fail",IF(AND(D1304="Pass",E1304="Pass",F1304="Pass"),"Pass","Incomplete")))</f>
        <v/>
      </c>
      <c r="H1304" s="18"/>
      <c r="I1304" s="18"/>
    </row>
    <row r="1305" customFormat="false" ht="15.75" hidden="false" customHeight="true" outlineLevel="0" collapsed="false">
      <c r="A1305" s="18"/>
      <c r="B1305" s="18"/>
      <c r="C1305" s="19"/>
      <c r="D1305" s="20"/>
      <c r="E1305" s="20"/>
      <c r="F1305" s="20"/>
      <c r="G1305" s="20" t="str">
        <f aca="false">IF(COUNTBLANK(D1305:F1305)=3,"",IF(OR(D1305="Fail",E1305="Fail",F1305="Fail"),"Fail",IF(AND(D1305="Pass",E1305="Pass",F1305="Pass"),"Pass","Incomplete")))</f>
        <v/>
      </c>
      <c r="H1305" s="18"/>
      <c r="I1305" s="18"/>
    </row>
    <row r="1306" customFormat="false" ht="15.75" hidden="false" customHeight="true" outlineLevel="0" collapsed="false">
      <c r="A1306" s="18"/>
      <c r="B1306" s="18"/>
      <c r="C1306" s="19"/>
      <c r="D1306" s="20"/>
      <c r="E1306" s="20"/>
      <c r="F1306" s="20"/>
      <c r="G1306" s="20" t="str">
        <f aca="false">IF(COUNTBLANK(D1306:F1306)=3,"",IF(OR(D1306="Fail",E1306="Fail",F1306="Fail"),"Fail",IF(AND(D1306="Pass",E1306="Pass",F1306="Pass"),"Pass","Incomplete")))</f>
        <v/>
      </c>
      <c r="H1306" s="18"/>
      <c r="I1306" s="18"/>
    </row>
    <row r="1307" customFormat="false" ht="15.75" hidden="false" customHeight="true" outlineLevel="0" collapsed="false">
      <c r="A1307" s="18"/>
      <c r="B1307" s="18"/>
      <c r="C1307" s="19"/>
      <c r="D1307" s="20"/>
      <c r="E1307" s="20"/>
      <c r="F1307" s="20"/>
      <c r="G1307" s="20" t="str">
        <f aca="false">IF(COUNTBLANK(D1307:F1307)=3,"",IF(OR(D1307="Fail",E1307="Fail",F1307="Fail"),"Fail",IF(AND(D1307="Pass",E1307="Pass",F1307="Pass"),"Pass","Incomplete")))</f>
        <v/>
      </c>
      <c r="H1307" s="18"/>
      <c r="I1307" s="18"/>
    </row>
    <row r="1308" customFormat="false" ht="15.75" hidden="false" customHeight="true" outlineLevel="0" collapsed="false">
      <c r="A1308" s="18"/>
      <c r="B1308" s="18"/>
      <c r="C1308" s="19"/>
      <c r="D1308" s="20"/>
      <c r="E1308" s="20"/>
      <c r="F1308" s="20"/>
      <c r="G1308" s="20" t="str">
        <f aca="false">IF(COUNTBLANK(D1308:F1308)=3,"",IF(OR(D1308="Fail",E1308="Fail",F1308="Fail"),"Fail",IF(AND(D1308="Pass",E1308="Pass",F1308="Pass"),"Pass","Incomplete")))</f>
        <v/>
      </c>
      <c r="H1308" s="18"/>
      <c r="I1308" s="18"/>
    </row>
    <row r="1309" customFormat="false" ht="15.75" hidden="false" customHeight="true" outlineLevel="0" collapsed="false">
      <c r="A1309" s="18"/>
      <c r="B1309" s="18"/>
      <c r="C1309" s="19"/>
      <c r="D1309" s="20"/>
      <c r="E1309" s="20"/>
      <c r="F1309" s="20"/>
      <c r="G1309" s="20" t="str">
        <f aca="false">IF(COUNTBLANK(D1309:F1309)=3,"",IF(OR(D1309="Fail",E1309="Fail",F1309="Fail"),"Fail",IF(AND(D1309="Pass",E1309="Pass",F1309="Pass"),"Pass","Incomplete")))</f>
        <v/>
      </c>
      <c r="H1309" s="18"/>
      <c r="I1309" s="18"/>
    </row>
    <row r="1310" customFormat="false" ht="15.75" hidden="false" customHeight="true" outlineLevel="0" collapsed="false">
      <c r="A1310" s="18"/>
      <c r="B1310" s="18"/>
      <c r="C1310" s="19"/>
      <c r="D1310" s="20"/>
      <c r="E1310" s="20"/>
      <c r="F1310" s="20"/>
      <c r="G1310" s="20" t="str">
        <f aca="false">IF(COUNTBLANK(D1310:F1310)=3,"",IF(OR(D1310="Fail",E1310="Fail",F1310="Fail"),"Fail",IF(AND(D1310="Pass",E1310="Pass",F1310="Pass"),"Pass","Incomplete")))</f>
        <v/>
      </c>
      <c r="H1310" s="18"/>
      <c r="I1310" s="18"/>
    </row>
    <row r="1311" customFormat="false" ht="15.75" hidden="false" customHeight="true" outlineLevel="0" collapsed="false">
      <c r="A1311" s="18"/>
      <c r="B1311" s="18"/>
      <c r="C1311" s="19"/>
      <c r="D1311" s="20"/>
      <c r="E1311" s="20"/>
      <c r="F1311" s="20"/>
      <c r="G1311" s="20" t="str">
        <f aca="false">IF(COUNTBLANK(D1311:F1311)=3,"",IF(OR(D1311="Fail",E1311="Fail",F1311="Fail"),"Fail",IF(AND(D1311="Pass",E1311="Pass",F1311="Pass"),"Pass","Incomplete")))</f>
        <v/>
      </c>
      <c r="H1311" s="18"/>
      <c r="I1311" s="18"/>
    </row>
    <row r="1312" customFormat="false" ht="15.75" hidden="false" customHeight="true" outlineLevel="0" collapsed="false">
      <c r="A1312" s="18"/>
      <c r="B1312" s="18"/>
      <c r="C1312" s="19"/>
      <c r="D1312" s="20"/>
      <c r="E1312" s="20"/>
      <c r="F1312" s="20"/>
      <c r="G1312" s="20" t="str">
        <f aca="false">IF(COUNTBLANK(D1312:F1312)=3,"",IF(OR(D1312="Fail",E1312="Fail",F1312="Fail"),"Fail",IF(AND(D1312="Pass",E1312="Pass",F1312="Pass"),"Pass","Incomplete")))</f>
        <v/>
      </c>
      <c r="H1312" s="18"/>
      <c r="I1312" s="18"/>
    </row>
    <row r="1313" customFormat="false" ht="15.75" hidden="false" customHeight="true" outlineLevel="0" collapsed="false">
      <c r="A1313" s="18"/>
      <c r="B1313" s="18"/>
      <c r="C1313" s="19"/>
      <c r="D1313" s="20"/>
      <c r="E1313" s="20"/>
      <c r="F1313" s="20"/>
      <c r="G1313" s="20" t="str">
        <f aca="false">IF(COUNTBLANK(D1313:F1313)=3,"",IF(OR(D1313="Fail",E1313="Fail",F1313="Fail"),"Fail",IF(AND(D1313="Pass",E1313="Pass",F1313="Pass"),"Pass","Incomplete")))</f>
        <v/>
      </c>
      <c r="H1313" s="18"/>
      <c r="I1313" s="18"/>
    </row>
    <row r="1314" customFormat="false" ht="15.75" hidden="false" customHeight="true" outlineLevel="0" collapsed="false">
      <c r="A1314" s="18"/>
      <c r="B1314" s="18"/>
      <c r="C1314" s="19"/>
      <c r="D1314" s="20"/>
      <c r="E1314" s="20"/>
      <c r="F1314" s="20"/>
      <c r="G1314" s="20" t="str">
        <f aca="false">IF(COUNTBLANK(D1314:F1314)=3,"",IF(OR(D1314="Fail",E1314="Fail",F1314="Fail"),"Fail",IF(AND(D1314="Pass",E1314="Pass",F1314="Pass"),"Pass","Incomplete")))</f>
        <v/>
      </c>
      <c r="H1314" s="18"/>
      <c r="I1314" s="18"/>
    </row>
    <row r="1315" customFormat="false" ht="15.75" hidden="false" customHeight="true" outlineLevel="0" collapsed="false">
      <c r="A1315" s="18"/>
      <c r="B1315" s="18"/>
      <c r="C1315" s="19"/>
      <c r="D1315" s="20"/>
      <c r="E1315" s="20"/>
      <c r="F1315" s="20"/>
      <c r="G1315" s="20" t="str">
        <f aca="false">IF(COUNTBLANK(D1315:F1315)=3,"",IF(OR(D1315="Fail",E1315="Fail",F1315="Fail"),"Fail",IF(AND(D1315="Pass",E1315="Pass",F1315="Pass"),"Pass","Incomplete")))</f>
        <v/>
      </c>
      <c r="H1315" s="18"/>
      <c r="I1315" s="18"/>
    </row>
    <row r="1316" customFormat="false" ht="15.75" hidden="false" customHeight="true" outlineLevel="0" collapsed="false">
      <c r="A1316" s="18"/>
      <c r="B1316" s="18"/>
      <c r="C1316" s="19"/>
      <c r="D1316" s="20"/>
      <c r="E1316" s="20"/>
      <c r="F1316" s="20"/>
      <c r="G1316" s="20" t="str">
        <f aca="false">IF(COUNTBLANK(D1316:F1316)=3,"",IF(OR(D1316="Fail",E1316="Fail",F1316="Fail"),"Fail",IF(AND(D1316="Pass",E1316="Pass",F1316="Pass"),"Pass","Incomplete")))</f>
        <v/>
      </c>
      <c r="H1316" s="18"/>
      <c r="I1316" s="18"/>
    </row>
    <row r="1317" customFormat="false" ht="15.75" hidden="false" customHeight="true" outlineLevel="0" collapsed="false">
      <c r="A1317" s="18"/>
      <c r="B1317" s="18"/>
      <c r="C1317" s="19"/>
      <c r="D1317" s="20"/>
      <c r="E1317" s="20"/>
      <c r="F1317" s="20"/>
      <c r="G1317" s="20" t="str">
        <f aca="false">IF(COUNTBLANK(D1317:F1317)=3,"",IF(OR(D1317="Fail",E1317="Fail",F1317="Fail"),"Fail",IF(AND(D1317="Pass",E1317="Pass",F1317="Pass"),"Pass","Incomplete")))</f>
        <v/>
      </c>
      <c r="H1317" s="18"/>
      <c r="I1317" s="18"/>
    </row>
    <row r="1318" customFormat="false" ht="15.75" hidden="false" customHeight="true" outlineLevel="0" collapsed="false">
      <c r="A1318" s="18"/>
      <c r="B1318" s="18"/>
      <c r="C1318" s="19"/>
      <c r="D1318" s="20"/>
      <c r="E1318" s="20"/>
      <c r="F1318" s="20"/>
      <c r="G1318" s="20" t="str">
        <f aca="false">IF(COUNTBLANK(D1318:F1318)=3,"",IF(OR(D1318="Fail",E1318="Fail",F1318="Fail"),"Fail",IF(AND(D1318="Pass",E1318="Pass",F1318="Pass"),"Pass","Incomplete")))</f>
        <v/>
      </c>
      <c r="H1318" s="18"/>
      <c r="I1318" s="18"/>
    </row>
    <row r="1319" customFormat="false" ht="15.75" hidden="false" customHeight="true" outlineLevel="0" collapsed="false">
      <c r="A1319" s="18"/>
      <c r="B1319" s="18"/>
      <c r="C1319" s="19"/>
      <c r="D1319" s="20"/>
      <c r="E1319" s="20"/>
      <c r="F1319" s="20"/>
      <c r="G1319" s="20" t="str">
        <f aca="false">IF(COUNTBLANK(D1319:F1319)=3,"",IF(OR(D1319="Fail",E1319="Fail",F1319="Fail"),"Fail",IF(AND(D1319="Pass",E1319="Pass",F1319="Pass"),"Pass","Incomplete")))</f>
        <v/>
      </c>
      <c r="H1319" s="18"/>
      <c r="I1319" s="18"/>
    </row>
    <row r="1320" customFormat="false" ht="15.75" hidden="false" customHeight="true" outlineLevel="0" collapsed="false">
      <c r="A1320" s="18"/>
      <c r="B1320" s="18"/>
      <c r="C1320" s="19"/>
      <c r="D1320" s="20"/>
      <c r="E1320" s="20"/>
      <c r="F1320" s="20"/>
      <c r="G1320" s="20" t="str">
        <f aca="false">IF(COUNTBLANK(D1320:F1320)=3,"",IF(OR(D1320="Fail",E1320="Fail",F1320="Fail"),"Fail",IF(AND(D1320="Pass",E1320="Pass",F1320="Pass"),"Pass","Incomplete")))</f>
        <v/>
      </c>
      <c r="H1320" s="18"/>
      <c r="I1320" s="18"/>
    </row>
    <row r="1321" customFormat="false" ht="15.75" hidden="false" customHeight="true" outlineLevel="0" collapsed="false">
      <c r="A1321" s="18"/>
      <c r="B1321" s="18"/>
      <c r="C1321" s="19"/>
      <c r="D1321" s="20"/>
      <c r="E1321" s="20"/>
      <c r="F1321" s="20"/>
      <c r="G1321" s="20" t="str">
        <f aca="false">IF(COUNTBLANK(D1321:F1321)=3,"",IF(OR(D1321="Fail",E1321="Fail",F1321="Fail"),"Fail",IF(AND(D1321="Pass",E1321="Pass",F1321="Pass"),"Pass","Incomplete")))</f>
        <v/>
      </c>
      <c r="H1321" s="18"/>
      <c r="I1321" s="18"/>
    </row>
    <row r="1322" customFormat="false" ht="15.75" hidden="false" customHeight="true" outlineLevel="0" collapsed="false">
      <c r="A1322" s="18"/>
      <c r="B1322" s="18"/>
      <c r="C1322" s="19"/>
      <c r="D1322" s="20"/>
      <c r="E1322" s="20"/>
      <c r="F1322" s="20"/>
      <c r="G1322" s="20" t="str">
        <f aca="false">IF(COUNTBLANK(D1322:F1322)=3,"",IF(OR(D1322="Fail",E1322="Fail",F1322="Fail"),"Fail",IF(AND(D1322="Pass",E1322="Pass",F1322="Pass"),"Pass","Incomplete")))</f>
        <v/>
      </c>
      <c r="H1322" s="18"/>
      <c r="I1322" s="18"/>
    </row>
    <row r="1323" customFormat="false" ht="15.75" hidden="false" customHeight="true" outlineLevel="0" collapsed="false">
      <c r="A1323" s="18"/>
      <c r="B1323" s="18"/>
      <c r="C1323" s="19"/>
      <c r="D1323" s="20"/>
      <c r="E1323" s="20"/>
      <c r="F1323" s="20"/>
      <c r="G1323" s="20" t="str">
        <f aca="false">IF(COUNTBLANK(D1323:F1323)=3,"",IF(OR(D1323="Fail",E1323="Fail",F1323="Fail"),"Fail",IF(AND(D1323="Pass",E1323="Pass",F1323="Pass"),"Pass","Incomplete")))</f>
        <v/>
      </c>
      <c r="H1323" s="18"/>
      <c r="I1323" s="18"/>
    </row>
    <row r="1324" customFormat="false" ht="15.75" hidden="false" customHeight="true" outlineLevel="0" collapsed="false">
      <c r="A1324" s="18"/>
      <c r="B1324" s="18"/>
      <c r="C1324" s="19"/>
      <c r="D1324" s="20"/>
      <c r="E1324" s="20"/>
      <c r="F1324" s="20"/>
      <c r="G1324" s="20" t="str">
        <f aca="false">IF(COUNTBLANK(D1324:F1324)=3,"",IF(OR(D1324="Fail",E1324="Fail",F1324="Fail"),"Fail",IF(AND(D1324="Pass",E1324="Pass",F1324="Pass"),"Pass","Incomplete")))</f>
        <v/>
      </c>
      <c r="H1324" s="18"/>
      <c r="I1324" s="18"/>
    </row>
    <row r="1325" customFormat="false" ht="15.75" hidden="false" customHeight="true" outlineLevel="0" collapsed="false">
      <c r="A1325" s="18"/>
      <c r="B1325" s="18"/>
      <c r="C1325" s="19"/>
      <c r="D1325" s="20"/>
      <c r="E1325" s="20"/>
      <c r="F1325" s="20"/>
      <c r="G1325" s="20" t="str">
        <f aca="false">IF(COUNTBLANK(D1325:F1325)=3,"",IF(OR(D1325="Fail",E1325="Fail",F1325="Fail"),"Fail",IF(AND(D1325="Pass",E1325="Pass",F1325="Pass"),"Pass","Incomplete")))</f>
        <v/>
      </c>
      <c r="H1325" s="18"/>
      <c r="I1325" s="18"/>
    </row>
    <row r="1326" customFormat="false" ht="15.75" hidden="false" customHeight="true" outlineLevel="0" collapsed="false">
      <c r="A1326" s="18"/>
      <c r="B1326" s="18"/>
      <c r="C1326" s="19"/>
      <c r="D1326" s="20"/>
      <c r="E1326" s="20"/>
      <c r="F1326" s="20"/>
      <c r="G1326" s="20" t="str">
        <f aca="false">IF(COUNTBLANK(D1326:F1326)=3,"",IF(OR(D1326="Fail",E1326="Fail",F1326="Fail"),"Fail",IF(AND(D1326="Pass",E1326="Pass",F1326="Pass"),"Pass","Incomplete")))</f>
        <v/>
      </c>
      <c r="H1326" s="18"/>
      <c r="I1326" s="18"/>
    </row>
    <row r="1327" customFormat="false" ht="15.75" hidden="false" customHeight="true" outlineLevel="0" collapsed="false">
      <c r="A1327" s="18"/>
      <c r="B1327" s="18"/>
      <c r="C1327" s="19"/>
      <c r="D1327" s="20"/>
      <c r="E1327" s="20"/>
      <c r="F1327" s="20"/>
      <c r="G1327" s="20" t="str">
        <f aca="false">IF(COUNTBLANK(D1327:F1327)=3,"",IF(OR(D1327="Fail",E1327="Fail",F1327="Fail"),"Fail",IF(AND(D1327="Pass",E1327="Pass",F1327="Pass"),"Pass","Incomplete")))</f>
        <v/>
      </c>
      <c r="H1327" s="18"/>
      <c r="I1327" s="18"/>
    </row>
    <row r="1328" customFormat="false" ht="15.75" hidden="false" customHeight="true" outlineLevel="0" collapsed="false">
      <c r="A1328" s="18"/>
      <c r="B1328" s="18"/>
      <c r="C1328" s="19"/>
      <c r="D1328" s="20"/>
      <c r="E1328" s="20"/>
      <c r="F1328" s="20"/>
      <c r="G1328" s="20" t="str">
        <f aca="false">IF(COUNTBLANK(D1328:F1328)=3,"",IF(OR(D1328="Fail",E1328="Fail",F1328="Fail"),"Fail",IF(AND(D1328="Pass",E1328="Pass",F1328="Pass"),"Pass","Incomplete")))</f>
        <v/>
      </c>
      <c r="H1328" s="18"/>
      <c r="I1328" s="18"/>
    </row>
    <row r="1329" customFormat="false" ht="15.75" hidden="false" customHeight="true" outlineLevel="0" collapsed="false">
      <c r="A1329" s="18"/>
      <c r="B1329" s="18"/>
      <c r="C1329" s="19"/>
      <c r="D1329" s="20"/>
      <c r="E1329" s="20"/>
      <c r="F1329" s="20"/>
      <c r="G1329" s="20" t="str">
        <f aca="false">IF(COUNTBLANK(D1329:F1329)=3,"",IF(OR(D1329="Fail",E1329="Fail",F1329="Fail"),"Fail",IF(AND(D1329="Pass",E1329="Pass",F1329="Pass"),"Pass","Incomplete")))</f>
        <v/>
      </c>
      <c r="H1329" s="18"/>
      <c r="I1329" s="18"/>
    </row>
    <row r="1330" customFormat="false" ht="15.75" hidden="false" customHeight="true" outlineLevel="0" collapsed="false">
      <c r="A1330" s="18"/>
      <c r="B1330" s="18"/>
      <c r="C1330" s="19"/>
      <c r="D1330" s="20"/>
      <c r="E1330" s="20"/>
      <c r="F1330" s="20"/>
      <c r="G1330" s="20" t="str">
        <f aca="false">IF(COUNTBLANK(D1330:F1330)=3,"",IF(OR(D1330="Fail",E1330="Fail",F1330="Fail"),"Fail",IF(AND(D1330="Pass",E1330="Pass",F1330="Pass"),"Pass","Incomplete")))</f>
        <v/>
      </c>
      <c r="H1330" s="18"/>
      <c r="I1330" s="18"/>
    </row>
    <row r="1331" customFormat="false" ht="15.75" hidden="false" customHeight="true" outlineLevel="0" collapsed="false">
      <c r="A1331" s="18"/>
      <c r="B1331" s="18"/>
      <c r="C1331" s="19"/>
      <c r="D1331" s="20"/>
      <c r="E1331" s="20"/>
      <c r="F1331" s="20"/>
      <c r="G1331" s="20" t="str">
        <f aca="false">IF(COUNTBLANK(D1331:F1331)=3,"",IF(OR(D1331="Fail",E1331="Fail",F1331="Fail"),"Fail",IF(AND(D1331="Pass",E1331="Pass",F1331="Pass"),"Pass","Incomplete")))</f>
        <v/>
      </c>
      <c r="H1331" s="18"/>
      <c r="I1331" s="18"/>
    </row>
    <row r="1332" customFormat="false" ht="15.75" hidden="false" customHeight="true" outlineLevel="0" collapsed="false">
      <c r="A1332" s="18"/>
      <c r="B1332" s="18"/>
      <c r="C1332" s="19"/>
      <c r="D1332" s="20"/>
      <c r="E1332" s="20"/>
      <c r="F1332" s="20"/>
      <c r="G1332" s="20" t="str">
        <f aca="false">IF(COUNTBLANK(D1332:F1332)=3,"",IF(OR(D1332="Fail",E1332="Fail",F1332="Fail"),"Fail",IF(AND(D1332="Pass",E1332="Pass",F1332="Pass"),"Pass","Incomplete")))</f>
        <v/>
      </c>
      <c r="H1332" s="18"/>
      <c r="I1332" s="18"/>
    </row>
    <row r="1333" customFormat="false" ht="15.75" hidden="false" customHeight="true" outlineLevel="0" collapsed="false">
      <c r="A1333" s="18"/>
      <c r="B1333" s="18"/>
      <c r="C1333" s="19"/>
      <c r="D1333" s="20"/>
      <c r="E1333" s="20"/>
      <c r="F1333" s="20"/>
      <c r="G1333" s="20" t="str">
        <f aca="false">IF(COUNTBLANK(D1333:F1333)=3,"",IF(OR(D1333="Fail",E1333="Fail",F1333="Fail"),"Fail",IF(AND(D1333="Pass",E1333="Pass",F1333="Pass"),"Pass","Incomplete")))</f>
        <v/>
      </c>
      <c r="H1333" s="18"/>
      <c r="I1333" s="18"/>
    </row>
    <row r="1334" customFormat="false" ht="15.75" hidden="false" customHeight="true" outlineLevel="0" collapsed="false">
      <c r="A1334" s="18"/>
      <c r="B1334" s="18"/>
      <c r="C1334" s="19"/>
      <c r="D1334" s="20"/>
      <c r="E1334" s="20"/>
      <c r="F1334" s="20"/>
      <c r="G1334" s="20" t="str">
        <f aca="false">IF(COUNTBLANK(D1334:F1334)=3,"",IF(OR(D1334="Fail",E1334="Fail",F1334="Fail"),"Fail",IF(AND(D1334="Pass",E1334="Pass",F1334="Pass"),"Pass","Incomplete")))</f>
        <v/>
      </c>
      <c r="H1334" s="18"/>
      <c r="I1334" s="18"/>
    </row>
    <row r="1335" customFormat="false" ht="15.75" hidden="false" customHeight="true" outlineLevel="0" collapsed="false">
      <c r="A1335" s="18"/>
      <c r="B1335" s="18"/>
      <c r="C1335" s="19"/>
      <c r="D1335" s="20"/>
      <c r="E1335" s="20"/>
      <c r="F1335" s="20"/>
      <c r="G1335" s="20" t="str">
        <f aca="false">IF(COUNTBLANK(D1335:F1335)=3,"",IF(OR(D1335="Fail",E1335="Fail",F1335="Fail"),"Fail",IF(AND(D1335="Pass",E1335="Pass",F1335="Pass"),"Pass","Incomplete")))</f>
        <v/>
      </c>
      <c r="H1335" s="18"/>
      <c r="I1335" s="18"/>
    </row>
    <row r="1336" customFormat="false" ht="15.75" hidden="false" customHeight="true" outlineLevel="0" collapsed="false">
      <c r="A1336" s="18"/>
      <c r="B1336" s="18"/>
      <c r="C1336" s="19"/>
      <c r="D1336" s="20"/>
      <c r="E1336" s="20"/>
      <c r="F1336" s="20"/>
      <c r="G1336" s="20" t="str">
        <f aca="false">IF(COUNTBLANK(D1336:F1336)=3,"",IF(OR(D1336="Fail",E1336="Fail",F1336="Fail"),"Fail",IF(AND(D1336="Pass",E1336="Pass",F1336="Pass"),"Pass","Incomplete")))</f>
        <v/>
      </c>
      <c r="H1336" s="18"/>
      <c r="I1336" s="18"/>
    </row>
    <row r="1337" customFormat="false" ht="15.75" hidden="false" customHeight="true" outlineLevel="0" collapsed="false">
      <c r="A1337" s="18"/>
      <c r="B1337" s="18"/>
      <c r="C1337" s="19"/>
      <c r="D1337" s="20"/>
      <c r="E1337" s="20"/>
      <c r="F1337" s="20"/>
      <c r="G1337" s="20" t="str">
        <f aca="false">IF(COUNTBLANK(D1337:F1337)=3,"",IF(OR(D1337="Fail",E1337="Fail",F1337="Fail"),"Fail",IF(AND(D1337="Pass",E1337="Pass",F1337="Pass"),"Pass","Incomplete")))</f>
        <v/>
      </c>
      <c r="H1337" s="18"/>
      <c r="I1337" s="18"/>
    </row>
    <row r="1338" customFormat="false" ht="15.75" hidden="false" customHeight="true" outlineLevel="0" collapsed="false">
      <c r="A1338" s="18"/>
      <c r="B1338" s="18"/>
      <c r="C1338" s="19"/>
      <c r="D1338" s="20"/>
      <c r="E1338" s="20"/>
      <c r="F1338" s="20"/>
      <c r="G1338" s="20" t="str">
        <f aca="false">IF(COUNTBLANK(D1338:F1338)=3,"",IF(OR(D1338="Fail",E1338="Fail",F1338="Fail"),"Fail",IF(AND(D1338="Pass",E1338="Pass",F1338="Pass"),"Pass","Incomplete")))</f>
        <v/>
      </c>
      <c r="H1338" s="18"/>
      <c r="I1338" s="18"/>
    </row>
    <row r="1339" customFormat="false" ht="15.75" hidden="false" customHeight="true" outlineLevel="0" collapsed="false">
      <c r="A1339" s="18"/>
      <c r="B1339" s="18"/>
      <c r="C1339" s="19"/>
      <c r="D1339" s="20"/>
      <c r="E1339" s="20"/>
      <c r="F1339" s="20"/>
      <c r="G1339" s="20" t="str">
        <f aca="false">IF(COUNTBLANK(D1339:F1339)=3,"",IF(OR(D1339="Fail",E1339="Fail",F1339="Fail"),"Fail",IF(AND(D1339="Pass",E1339="Pass",F1339="Pass"),"Pass","Incomplete")))</f>
        <v/>
      </c>
      <c r="H1339" s="18"/>
      <c r="I1339" s="18"/>
    </row>
    <row r="1340" customFormat="false" ht="15.75" hidden="false" customHeight="true" outlineLevel="0" collapsed="false">
      <c r="A1340" s="18"/>
      <c r="B1340" s="18"/>
      <c r="C1340" s="19"/>
      <c r="D1340" s="20"/>
      <c r="E1340" s="20"/>
      <c r="F1340" s="20"/>
      <c r="G1340" s="20" t="str">
        <f aca="false">IF(COUNTBLANK(D1340:F1340)=3,"",IF(OR(D1340="Fail",E1340="Fail",F1340="Fail"),"Fail",IF(AND(D1340="Pass",E1340="Pass",F1340="Pass"),"Pass","Incomplete")))</f>
        <v/>
      </c>
      <c r="H1340" s="18"/>
      <c r="I1340" s="18"/>
    </row>
    <row r="1341" customFormat="false" ht="15.75" hidden="false" customHeight="true" outlineLevel="0" collapsed="false">
      <c r="A1341" s="18"/>
      <c r="B1341" s="18"/>
      <c r="C1341" s="19"/>
      <c r="D1341" s="20"/>
      <c r="E1341" s="20"/>
      <c r="F1341" s="20"/>
      <c r="G1341" s="20" t="str">
        <f aca="false">IF(COUNTBLANK(D1341:F1341)=3,"",IF(OR(D1341="Fail",E1341="Fail",F1341="Fail"),"Fail",IF(AND(D1341="Pass",E1341="Pass",F1341="Pass"),"Pass","Incomplete")))</f>
        <v/>
      </c>
      <c r="H1341" s="18"/>
      <c r="I1341" s="18"/>
    </row>
    <row r="1342" customFormat="false" ht="15.75" hidden="false" customHeight="true" outlineLevel="0" collapsed="false">
      <c r="A1342" s="18"/>
      <c r="B1342" s="18"/>
      <c r="C1342" s="19"/>
      <c r="D1342" s="20"/>
      <c r="E1342" s="20"/>
      <c r="F1342" s="20"/>
      <c r="G1342" s="20" t="str">
        <f aca="false">IF(COUNTBLANK(D1342:F1342)=3,"",IF(OR(D1342="Fail",E1342="Fail",F1342="Fail"),"Fail",IF(AND(D1342="Pass",E1342="Pass",F1342="Pass"),"Pass","Incomplete")))</f>
        <v/>
      </c>
      <c r="H1342" s="18"/>
      <c r="I1342" s="18"/>
    </row>
    <row r="1343" customFormat="false" ht="15.75" hidden="false" customHeight="true" outlineLevel="0" collapsed="false">
      <c r="A1343" s="18"/>
      <c r="B1343" s="18"/>
      <c r="C1343" s="19"/>
      <c r="D1343" s="20"/>
      <c r="E1343" s="20"/>
      <c r="F1343" s="20"/>
      <c r="G1343" s="20" t="str">
        <f aca="false">IF(COUNTBLANK(D1343:F1343)=3,"",IF(OR(D1343="Fail",E1343="Fail",F1343="Fail"),"Fail",IF(AND(D1343="Pass",E1343="Pass",F1343="Pass"),"Pass","Incomplete")))</f>
        <v/>
      </c>
      <c r="H1343" s="18"/>
      <c r="I1343" s="18"/>
    </row>
    <row r="1344" customFormat="false" ht="15.75" hidden="false" customHeight="true" outlineLevel="0" collapsed="false">
      <c r="A1344" s="18"/>
      <c r="B1344" s="18"/>
      <c r="C1344" s="19"/>
      <c r="D1344" s="20"/>
      <c r="E1344" s="20"/>
      <c r="F1344" s="20"/>
      <c r="G1344" s="20" t="str">
        <f aca="false">IF(COUNTBLANK(D1344:F1344)=3,"",IF(OR(D1344="Fail",E1344="Fail",F1344="Fail"),"Fail",IF(AND(D1344="Pass",E1344="Pass",F1344="Pass"),"Pass","Incomplete")))</f>
        <v/>
      </c>
      <c r="H1344" s="18"/>
      <c r="I1344" s="18"/>
    </row>
    <row r="1345" customFormat="false" ht="15.75" hidden="false" customHeight="true" outlineLevel="0" collapsed="false">
      <c r="A1345" s="18"/>
      <c r="B1345" s="18"/>
      <c r="C1345" s="19"/>
      <c r="D1345" s="20"/>
      <c r="E1345" s="20"/>
      <c r="F1345" s="20"/>
      <c r="G1345" s="20" t="str">
        <f aca="false">IF(COUNTBLANK(D1345:F1345)=3,"",IF(OR(D1345="Fail",E1345="Fail",F1345="Fail"),"Fail",IF(AND(D1345="Pass",E1345="Pass",F1345="Pass"),"Pass","Incomplete")))</f>
        <v/>
      </c>
      <c r="H1345" s="18"/>
      <c r="I1345" s="18"/>
    </row>
    <row r="1346" customFormat="false" ht="15.75" hidden="false" customHeight="true" outlineLevel="0" collapsed="false">
      <c r="A1346" s="18"/>
      <c r="B1346" s="18"/>
      <c r="C1346" s="19"/>
      <c r="D1346" s="20"/>
      <c r="E1346" s="20"/>
      <c r="F1346" s="20"/>
      <c r="G1346" s="20" t="str">
        <f aca="false">IF(COUNTBLANK(D1346:F1346)=3,"",IF(OR(D1346="Fail",E1346="Fail",F1346="Fail"),"Fail",IF(AND(D1346="Pass",E1346="Pass",F1346="Pass"),"Pass","Incomplete")))</f>
        <v/>
      </c>
      <c r="H1346" s="18"/>
      <c r="I1346" s="18"/>
    </row>
    <row r="1347" customFormat="false" ht="15.75" hidden="false" customHeight="true" outlineLevel="0" collapsed="false">
      <c r="A1347" s="18"/>
      <c r="B1347" s="18"/>
      <c r="C1347" s="19"/>
      <c r="D1347" s="20"/>
      <c r="E1347" s="20"/>
      <c r="F1347" s="20"/>
      <c r="G1347" s="20" t="str">
        <f aca="false">IF(COUNTBLANK(D1347:F1347)=3,"",IF(OR(D1347="Fail",E1347="Fail",F1347="Fail"),"Fail",IF(AND(D1347="Pass",E1347="Pass",F1347="Pass"),"Pass","Incomplete")))</f>
        <v/>
      </c>
      <c r="H1347" s="18"/>
      <c r="I1347" s="18"/>
    </row>
    <row r="1348" customFormat="false" ht="15.75" hidden="false" customHeight="true" outlineLevel="0" collapsed="false">
      <c r="A1348" s="18"/>
      <c r="B1348" s="18"/>
      <c r="C1348" s="19"/>
      <c r="D1348" s="20"/>
      <c r="E1348" s="20"/>
      <c r="F1348" s="20"/>
      <c r="G1348" s="20" t="str">
        <f aca="false">IF(COUNTBLANK(D1348:F1348)=3,"",IF(OR(D1348="Fail",E1348="Fail",F1348="Fail"),"Fail",IF(AND(D1348="Pass",E1348="Pass",F1348="Pass"),"Pass","Incomplete")))</f>
        <v/>
      </c>
      <c r="H1348" s="18"/>
      <c r="I1348" s="18"/>
    </row>
    <row r="1349" customFormat="false" ht="15.75" hidden="false" customHeight="true" outlineLevel="0" collapsed="false">
      <c r="A1349" s="18"/>
      <c r="B1349" s="18"/>
      <c r="C1349" s="19"/>
      <c r="D1349" s="20"/>
      <c r="E1349" s="20"/>
      <c r="F1349" s="20"/>
      <c r="G1349" s="20" t="str">
        <f aca="false">IF(COUNTBLANK(D1349:F1349)=3,"",IF(OR(D1349="Fail",E1349="Fail",F1349="Fail"),"Fail",IF(AND(D1349="Pass",E1349="Pass",F1349="Pass"),"Pass","Incomplete")))</f>
        <v/>
      </c>
      <c r="H1349" s="18"/>
      <c r="I1349" s="18"/>
    </row>
    <row r="1350" customFormat="false" ht="15.75" hidden="false" customHeight="true" outlineLevel="0" collapsed="false">
      <c r="A1350" s="18"/>
      <c r="B1350" s="18"/>
      <c r="C1350" s="19"/>
      <c r="D1350" s="20"/>
      <c r="E1350" s="20"/>
      <c r="F1350" s="20"/>
      <c r="G1350" s="20" t="str">
        <f aca="false">IF(COUNTBLANK(D1350:F1350)=3,"",IF(OR(D1350="Fail",E1350="Fail",F1350="Fail"),"Fail",IF(AND(D1350="Pass",E1350="Pass",F1350="Pass"),"Pass","Incomplete")))</f>
        <v/>
      </c>
      <c r="H1350" s="18"/>
      <c r="I1350" s="18"/>
    </row>
    <row r="1351" customFormat="false" ht="15.75" hidden="false" customHeight="true" outlineLevel="0" collapsed="false">
      <c r="A1351" s="18"/>
      <c r="B1351" s="18"/>
      <c r="C1351" s="19"/>
      <c r="D1351" s="20"/>
      <c r="E1351" s="20"/>
      <c r="F1351" s="20"/>
      <c r="G1351" s="20" t="str">
        <f aca="false">IF(COUNTBLANK(D1351:F1351)=3,"",IF(OR(D1351="Fail",E1351="Fail",F1351="Fail"),"Fail",IF(AND(D1351="Pass",E1351="Pass",F1351="Pass"),"Pass","Incomplete")))</f>
        <v/>
      </c>
      <c r="H1351" s="18"/>
      <c r="I1351" s="18"/>
    </row>
    <row r="1352" customFormat="false" ht="15.75" hidden="false" customHeight="true" outlineLevel="0" collapsed="false">
      <c r="A1352" s="18"/>
      <c r="B1352" s="18"/>
      <c r="C1352" s="19"/>
      <c r="D1352" s="20"/>
      <c r="E1352" s="20"/>
      <c r="F1352" s="20"/>
      <c r="G1352" s="20" t="str">
        <f aca="false">IF(COUNTBLANK(D1352:F1352)=3,"",IF(OR(D1352="Fail",E1352="Fail",F1352="Fail"),"Fail",IF(AND(D1352="Pass",E1352="Pass",F1352="Pass"),"Pass","Incomplete")))</f>
        <v/>
      </c>
      <c r="H1352" s="18"/>
      <c r="I1352" s="18"/>
    </row>
    <row r="1353" customFormat="false" ht="15.75" hidden="false" customHeight="true" outlineLevel="0" collapsed="false">
      <c r="A1353" s="18"/>
      <c r="B1353" s="18"/>
      <c r="C1353" s="19"/>
      <c r="D1353" s="20"/>
      <c r="E1353" s="20"/>
      <c r="F1353" s="20"/>
      <c r="G1353" s="20" t="str">
        <f aca="false">IF(COUNTBLANK(D1353:F1353)=3,"",IF(OR(D1353="Fail",E1353="Fail",F1353="Fail"),"Fail",IF(AND(D1353="Pass",E1353="Pass",F1353="Pass"),"Pass","Incomplete")))</f>
        <v/>
      </c>
      <c r="H1353" s="18"/>
      <c r="I1353" s="18"/>
    </row>
    <row r="1354" customFormat="false" ht="15.75" hidden="false" customHeight="true" outlineLevel="0" collapsed="false">
      <c r="A1354" s="18"/>
      <c r="B1354" s="18"/>
      <c r="C1354" s="19"/>
      <c r="D1354" s="20"/>
      <c r="E1354" s="20"/>
      <c r="F1354" s="20"/>
      <c r="G1354" s="20" t="str">
        <f aca="false">IF(COUNTBLANK(D1354:F1354)=3,"",IF(OR(D1354="Fail",E1354="Fail",F1354="Fail"),"Fail",IF(AND(D1354="Pass",E1354="Pass",F1354="Pass"),"Pass","Incomplete")))</f>
        <v/>
      </c>
      <c r="H1354" s="18"/>
      <c r="I1354" s="18"/>
    </row>
    <row r="1355" customFormat="false" ht="15.75" hidden="false" customHeight="true" outlineLevel="0" collapsed="false">
      <c r="A1355" s="18"/>
      <c r="B1355" s="18"/>
      <c r="C1355" s="19"/>
      <c r="D1355" s="20"/>
      <c r="E1355" s="20"/>
      <c r="F1355" s="20"/>
      <c r="G1355" s="20" t="str">
        <f aca="false">IF(COUNTBLANK(D1355:F1355)=3,"",IF(OR(D1355="Fail",E1355="Fail",F1355="Fail"),"Fail",IF(AND(D1355="Pass",E1355="Pass",F1355="Pass"),"Pass","Incomplete")))</f>
        <v/>
      </c>
      <c r="H1355" s="18"/>
      <c r="I1355" s="18"/>
    </row>
    <row r="1356" customFormat="false" ht="15.75" hidden="false" customHeight="true" outlineLevel="0" collapsed="false">
      <c r="A1356" s="18"/>
      <c r="B1356" s="18"/>
      <c r="C1356" s="19"/>
      <c r="D1356" s="20"/>
      <c r="E1356" s="20"/>
      <c r="F1356" s="20"/>
      <c r="G1356" s="20" t="str">
        <f aca="false">IF(COUNTBLANK(D1356:F1356)=3,"",IF(OR(D1356="Fail",E1356="Fail",F1356="Fail"),"Fail",IF(AND(D1356="Pass",E1356="Pass",F1356="Pass"),"Pass","Incomplete")))</f>
        <v/>
      </c>
      <c r="H1356" s="18"/>
      <c r="I1356" s="18"/>
    </row>
    <row r="1357" customFormat="false" ht="15.75" hidden="false" customHeight="true" outlineLevel="0" collapsed="false">
      <c r="A1357" s="18"/>
      <c r="B1357" s="18"/>
      <c r="C1357" s="19"/>
      <c r="D1357" s="20"/>
      <c r="E1357" s="20"/>
      <c r="F1357" s="20"/>
      <c r="G1357" s="20" t="str">
        <f aca="false">IF(COUNTBLANK(D1357:F1357)=3,"",IF(OR(D1357="Fail",E1357="Fail",F1357="Fail"),"Fail",IF(AND(D1357="Pass",E1357="Pass",F1357="Pass"),"Pass","Incomplete")))</f>
        <v/>
      </c>
      <c r="H1357" s="18"/>
      <c r="I1357" s="18"/>
    </row>
    <row r="1358" customFormat="false" ht="15.75" hidden="false" customHeight="true" outlineLevel="0" collapsed="false">
      <c r="A1358" s="18"/>
      <c r="B1358" s="18"/>
      <c r="C1358" s="19"/>
      <c r="D1358" s="20"/>
      <c r="E1358" s="20"/>
      <c r="F1358" s="20"/>
      <c r="G1358" s="20" t="str">
        <f aca="false">IF(COUNTBLANK(D1358:F1358)=3,"",IF(OR(D1358="Fail",E1358="Fail",F1358="Fail"),"Fail",IF(AND(D1358="Pass",E1358="Pass",F1358="Pass"),"Pass","Incomplete")))</f>
        <v/>
      </c>
      <c r="H1358" s="18"/>
      <c r="I1358" s="18"/>
    </row>
    <row r="1359" customFormat="false" ht="15.75" hidden="false" customHeight="true" outlineLevel="0" collapsed="false">
      <c r="A1359" s="18"/>
      <c r="B1359" s="18"/>
      <c r="C1359" s="19"/>
      <c r="D1359" s="20"/>
      <c r="E1359" s="20"/>
      <c r="F1359" s="20"/>
      <c r="G1359" s="20" t="str">
        <f aca="false">IF(COUNTBLANK(D1359:F1359)=3,"",IF(OR(D1359="Fail",E1359="Fail",F1359="Fail"),"Fail",IF(AND(D1359="Pass",E1359="Pass",F1359="Pass"),"Pass","Incomplete")))</f>
        <v/>
      </c>
      <c r="H1359" s="18"/>
      <c r="I1359" s="18"/>
    </row>
    <row r="1360" customFormat="false" ht="15.75" hidden="false" customHeight="true" outlineLevel="0" collapsed="false">
      <c r="A1360" s="18"/>
      <c r="B1360" s="18"/>
      <c r="C1360" s="19"/>
      <c r="D1360" s="20"/>
      <c r="E1360" s="20"/>
      <c r="F1360" s="20"/>
      <c r="G1360" s="20" t="str">
        <f aca="false">IF(COUNTBLANK(D1360:F1360)=3,"",IF(OR(D1360="Fail",E1360="Fail",F1360="Fail"),"Fail",IF(AND(D1360="Pass",E1360="Pass",F1360="Pass"),"Pass","Incomplete")))</f>
        <v/>
      </c>
      <c r="H1360" s="18"/>
      <c r="I1360" s="18"/>
    </row>
    <row r="1361" customFormat="false" ht="15.75" hidden="false" customHeight="true" outlineLevel="0" collapsed="false">
      <c r="A1361" s="18"/>
      <c r="B1361" s="18"/>
      <c r="C1361" s="19"/>
      <c r="D1361" s="20"/>
      <c r="E1361" s="20"/>
      <c r="F1361" s="20"/>
      <c r="G1361" s="20" t="str">
        <f aca="false">IF(COUNTBLANK(D1361:F1361)=3,"",IF(OR(D1361="Fail",E1361="Fail",F1361="Fail"),"Fail",IF(AND(D1361="Pass",E1361="Pass",F1361="Pass"),"Pass","Incomplete")))</f>
        <v/>
      </c>
      <c r="H1361" s="18"/>
      <c r="I1361" s="18"/>
    </row>
    <row r="1362" customFormat="false" ht="15.75" hidden="false" customHeight="true" outlineLevel="0" collapsed="false">
      <c r="A1362" s="18"/>
      <c r="B1362" s="18"/>
      <c r="C1362" s="19"/>
      <c r="D1362" s="20"/>
      <c r="E1362" s="20"/>
      <c r="F1362" s="20"/>
      <c r="G1362" s="20" t="str">
        <f aca="false">IF(COUNTBLANK(D1362:F1362)=3,"",IF(OR(D1362="Fail",E1362="Fail",F1362="Fail"),"Fail",IF(AND(D1362="Pass",E1362="Pass",F1362="Pass"),"Pass","Incomplete")))</f>
        <v/>
      </c>
      <c r="H1362" s="18"/>
      <c r="I1362" s="18"/>
    </row>
    <row r="1363" customFormat="false" ht="15.75" hidden="false" customHeight="true" outlineLevel="0" collapsed="false">
      <c r="A1363" s="18"/>
      <c r="B1363" s="18"/>
      <c r="C1363" s="19"/>
      <c r="D1363" s="20"/>
      <c r="E1363" s="20"/>
      <c r="F1363" s="20"/>
      <c r="G1363" s="20" t="str">
        <f aca="false">IF(COUNTBLANK(D1363:F1363)=3,"",IF(OR(D1363="Fail",E1363="Fail",F1363="Fail"),"Fail",IF(AND(D1363="Pass",E1363="Pass",F1363="Pass"),"Pass","Incomplete")))</f>
        <v/>
      </c>
      <c r="H1363" s="18"/>
      <c r="I1363" s="18"/>
    </row>
    <row r="1364" customFormat="false" ht="15.75" hidden="false" customHeight="true" outlineLevel="0" collapsed="false">
      <c r="A1364" s="18"/>
      <c r="B1364" s="18"/>
      <c r="C1364" s="19"/>
      <c r="D1364" s="20"/>
      <c r="E1364" s="20"/>
      <c r="F1364" s="20"/>
      <c r="G1364" s="20" t="str">
        <f aca="false">IF(COUNTBLANK(D1364:F1364)=3,"",IF(OR(D1364="Fail",E1364="Fail",F1364="Fail"),"Fail",IF(AND(D1364="Pass",E1364="Pass",F1364="Pass"),"Pass","Incomplete")))</f>
        <v/>
      </c>
      <c r="H1364" s="18"/>
      <c r="I1364" s="18"/>
    </row>
    <row r="1365" customFormat="false" ht="15.75" hidden="false" customHeight="true" outlineLevel="0" collapsed="false">
      <c r="A1365" s="18"/>
      <c r="B1365" s="18"/>
      <c r="C1365" s="19"/>
      <c r="D1365" s="20"/>
      <c r="E1365" s="20"/>
      <c r="F1365" s="20"/>
      <c r="G1365" s="20" t="str">
        <f aca="false">IF(COUNTBLANK(D1365:F1365)=3,"",IF(OR(D1365="Fail",E1365="Fail",F1365="Fail"),"Fail",IF(AND(D1365="Pass",E1365="Pass",F1365="Pass"),"Pass","Incomplete")))</f>
        <v/>
      </c>
      <c r="H1365" s="18"/>
      <c r="I1365" s="18"/>
    </row>
    <row r="1366" customFormat="false" ht="15.75" hidden="false" customHeight="true" outlineLevel="0" collapsed="false">
      <c r="A1366" s="18"/>
      <c r="B1366" s="18"/>
      <c r="C1366" s="19"/>
      <c r="D1366" s="20"/>
      <c r="E1366" s="20"/>
      <c r="F1366" s="20"/>
      <c r="G1366" s="20" t="str">
        <f aca="false">IF(COUNTBLANK(D1366:F1366)=3,"",IF(OR(D1366="Fail",E1366="Fail",F1366="Fail"),"Fail",IF(AND(D1366="Pass",E1366="Pass",F1366="Pass"),"Pass","Incomplete")))</f>
        <v/>
      </c>
      <c r="H1366" s="18"/>
      <c r="I1366" s="18"/>
    </row>
    <row r="1367" customFormat="false" ht="15.75" hidden="false" customHeight="true" outlineLevel="0" collapsed="false">
      <c r="A1367" s="18"/>
      <c r="B1367" s="18"/>
      <c r="C1367" s="19"/>
      <c r="D1367" s="20"/>
      <c r="E1367" s="20"/>
      <c r="F1367" s="20"/>
      <c r="G1367" s="20" t="str">
        <f aca="false">IF(COUNTBLANK(D1367:F1367)=3,"",IF(OR(D1367="Fail",E1367="Fail",F1367="Fail"),"Fail",IF(AND(D1367="Pass",E1367="Pass",F1367="Pass"),"Pass","Incomplete")))</f>
        <v/>
      </c>
      <c r="H1367" s="18"/>
      <c r="I1367" s="18"/>
    </row>
    <row r="1368" customFormat="false" ht="15.75" hidden="false" customHeight="true" outlineLevel="0" collapsed="false">
      <c r="A1368" s="18"/>
      <c r="B1368" s="18"/>
      <c r="C1368" s="19"/>
      <c r="D1368" s="20"/>
      <c r="E1368" s="20"/>
      <c r="F1368" s="20"/>
      <c r="G1368" s="20" t="str">
        <f aca="false">IF(COUNTBLANK(D1368:F1368)=3,"",IF(OR(D1368="Fail",E1368="Fail",F1368="Fail"),"Fail",IF(AND(D1368="Pass",E1368="Pass",F1368="Pass"),"Pass","Incomplete")))</f>
        <v/>
      </c>
      <c r="H1368" s="18"/>
      <c r="I1368" s="18"/>
    </row>
    <row r="1369" customFormat="false" ht="15.75" hidden="false" customHeight="true" outlineLevel="0" collapsed="false">
      <c r="A1369" s="18"/>
      <c r="B1369" s="18"/>
      <c r="C1369" s="19"/>
      <c r="D1369" s="20"/>
      <c r="E1369" s="20"/>
      <c r="F1369" s="20"/>
      <c r="G1369" s="20" t="str">
        <f aca="false">IF(COUNTBLANK(D1369:F1369)=3,"",IF(OR(D1369="Fail",E1369="Fail",F1369="Fail"),"Fail",IF(AND(D1369="Pass",E1369="Pass",F1369="Pass"),"Pass","Incomplete")))</f>
        <v/>
      </c>
      <c r="H1369" s="18"/>
      <c r="I1369" s="18"/>
    </row>
    <row r="1370" customFormat="false" ht="15.75" hidden="false" customHeight="true" outlineLevel="0" collapsed="false">
      <c r="A1370" s="18"/>
      <c r="B1370" s="18"/>
      <c r="C1370" s="19"/>
      <c r="D1370" s="20"/>
      <c r="E1370" s="20"/>
      <c r="F1370" s="20"/>
      <c r="G1370" s="20" t="str">
        <f aca="false">IF(COUNTBLANK(D1370:F1370)=3,"",IF(OR(D1370="Fail",E1370="Fail",F1370="Fail"),"Fail",IF(AND(D1370="Pass",E1370="Pass",F1370="Pass"),"Pass","Incomplete")))</f>
        <v/>
      </c>
      <c r="H1370" s="18"/>
      <c r="I1370" s="18"/>
    </row>
    <row r="1371" customFormat="false" ht="15.75" hidden="false" customHeight="true" outlineLevel="0" collapsed="false">
      <c r="A1371" s="18"/>
      <c r="B1371" s="18"/>
      <c r="C1371" s="19"/>
      <c r="D1371" s="20"/>
      <c r="E1371" s="20"/>
      <c r="F1371" s="20"/>
      <c r="G1371" s="20" t="str">
        <f aca="false">IF(COUNTBLANK(D1371:F1371)=3,"",IF(OR(D1371="Fail",E1371="Fail",F1371="Fail"),"Fail",IF(AND(D1371="Pass",E1371="Pass",F1371="Pass"),"Pass","Incomplete")))</f>
        <v/>
      </c>
      <c r="H1371" s="18"/>
      <c r="I1371" s="18"/>
    </row>
    <row r="1372" customFormat="false" ht="15.75" hidden="false" customHeight="true" outlineLevel="0" collapsed="false">
      <c r="A1372" s="18"/>
      <c r="B1372" s="18"/>
      <c r="C1372" s="19"/>
      <c r="D1372" s="20"/>
      <c r="E1372" s="20"/>
      <c r="F1372" s="20"/>
      <c r="G1372" s="20" t="str">
        <f aca="false">IF(COUNTBLANK(D1372:F1372)=3,"",IF(OR(D1372="Fail",E1372="Fail",F1372="Fail"),"Fail",IF(AND(D1372="Pass",E1372="Pass",F1372="Pass"),"Pass","Incomplete")))</f>
        <v/>
      </c>
      <c r="H1372" s="18"/>
      <c r="I1372" s="18"/>
    </row>
    <row r="1373" customFormat="false" ht="15.75" hidden="false" customHeight="true" outlineLevel="0" collapsed="false">
      <c r="A1373" s="18"/>
      <c r="B1373" s="18"/>
      <c r="C1373" s="19"/>
      <c r="D1373" s="20"/>
      <c r="E1373" s="20"/>
      <c r="F1373" s="20"/>
      <c r="G1373" s="20" t="str">
        <f aca="false">IF(COUNTBLANK(D1373:F1373)=3,"",IF(OR(D1373="Fail",E1373="Fail",F1373="Fail"),"Fail",IF(AND(D1373="Pass",E1373="Pass",F1373="Pass"),"Pass","Incomplete")))</f>
        <v/>
      </c>
      <c r="H1373" s="18"/>
      <c r="I1373" s="18"/>
    </row>
    <row r="1374" customFormat="false" ht="15.75" hidden="false" customHeight="true" outlineLevel="0" collapsed="false">
      <c r="A1374" s="18"/>
      <c r="B1374" s="18"/>
      <c r="C1374" s="19"/>
      <c r="D1374" s="20"/>
      <c r="E1374" s="20"/>
      <c r="F1374" s="20"/>
      <c r="G1374" s="20" t="str">
        <f aca="false">IF(COUNTBLANK(D1374:F1374)=3,"",IF(OR(D1374="Fail",E1374="Fail",F1374="Fail"),"Fail",IF(AND(D1374="Pass",E1374="Pass",F1374="Pass"),"Pass","Incomplete")))</f>
        <v/>
      </c>
      <c r="H1374" s="18"/>
      <c r="I1374" s="18"/>
    </row>
    <row r="1375" customFormat="false" ht="15.75" hidden="false" customHeight="true" outlineLevel="0" collapsed="false">
      <c r="A1375" s="18"/>
      <c r="B1375" s="18"/>
      <c r="C1375" s="19"/>
      <c r="D1375" s="20"/>
      <c r="E1375" s="20"/>
      <c r="F1375" s="20"/>
      <c r="G1375" s="20" t="str">
        <f aca="false">IF(COUNTBLANK(D1375:F1375)=3,"",IF(OR(D1375="Fail",E1375="Fail",F1375="Fail"),"Fail",IF(AND(D1375="Pass",E1375="Pass",F1375="Pass"),"Pass","Incomplete")))</f>
        <v/>
      </c>
      <c r="H1375" s="18"/>
      <c r="I1375" s="18"/>
    </row>
    <row r="1376" customFormat="false" ht="15.75" hidden="false" customHeight="true" outlineLevel="0" collapsed="false">
      <c r="A1376" s="18"/>
      <c r="B1376" s="18"/>
      <c r="C1376" s="19"/>
      <c r="D1376" s="20"/>
      <c r="E1376" s="20"/>
      <c r="F1376" s="20"/>
      <c r="G1376" s="20" t="str">
        <f aca="false">IF(COUNTBLANK(D1376:F1376)=3,"",IF(OR(D1376="Fail",E1376="Fail",F1376="Fail"),"Fail",IF(AND(D1376="Pass",E1376="Pass",F1376="Pass"),"Pass","Incomplete")))</f>
        <v/>
      </c>
      <c r="H1376" s="18"/>
      <c r="I1376" s="18"/>
    </row>
    <row r="1377" customFormat="false" ht="15.75" hidden="false" customHeight="true" outlineLevel="0" collapsed="false">
      <c r="A1377" s="18"/>
      <c r="B1377" s="18"/>
      <c r="C1377" s="19"/>
      <c r="D1377" s="20"/>
      <c r="E1377" s="20"/>
      <c r="F1377" s="20"/>
      <c r="G1377" s="20" t="str">
        <f aca="false">IF(COUNTBLANK(D1377:F1377)=3,"",IF(OR(D1377="Fail",E1377="Fail",F1377="Fail"),"Fail",IF(AND(D1377="Pass",E1377="Pass",F1377="Pass"),"Pass","Incomplete")))</f>
        <v/>
      </c>
      <c r="H1377" s="18"/>
      <c r="I1377" s="18"/>
    </row>
    <row r="1378" customFormat="false" ht="15.75" hidden="false" customHeight="true" outlineLevel="0" collapsed="false">
      <c r="A1378" s="18"/>
      <c r="B1378" s="18"/>
      <c r="C1378" s="19"/>
      <c r="D1378" s="20"/>
      <c r="E1378" s="20"/>
      <c r="F1378" s="20"/>
      <c r="G1378" s="20" t="str">
        <f aca="false">IF(COUNTBLANK(D1378:F1378)=3,"",IF(OR(D1378="Fail",E1378="Fail",F1378="Fail"),"Fail",IF(AND(D1378="Pass",E1378="Pass",F1378="Pass"),"Pass","Incomplete")))</f>
        <v/>
      </c>
      <c r="H1378" s="18"/>
      <c r="I1378" s="18"/>
    </row>
    <row r="1379" customFormat="false" ht="15.75" hidden="false" customHeight="true" outlineLevel="0" collapsed="false">
      <c r="A1379" s="18"/>
      <c r="B1379" s="18"/>
      <c r="C1379" s="19"/>
      <c r="D1379" s="20"/>
      <c r="E1379" s="20"/>
      <c r="F1379" s="20"/>
      <c r="G1379" s="20" t="str">
        <f aca="false">IF(COUNTBLANK(D1379:F1379)=3,"",IF(OR(D1379="Fail",E1379="Fail",F1379="Fail"),"Fail",IF(AND(D1379="Pass",E1379="Pass",F1379="Pass"),"Pass","Incomplete")))</f>
        <v/>
      </c>
      <c r="H1379" s="18"/>
      <c r="I1379" s="18"/>
    </row>
    <row r="1380" customFormat="false" ht="15.75" hidden="false" customHeight="true" outlineLevel="0" collapsed="false">
      <c r="A1380" s="18"/>
      <c r="B1380" s="18"/>
      <c r="C1380" s="19"/>
      <c r="D1380" s="20"/>
      <c r="E1380" s="20"/>
      <c r="F1380" s="20"/>
      <c r="G1380" s="20" t="str">
        <f aca="false">IF(COUNTBLANK(D1380:F1380)=3,"",IF(OR(D1380="Fail",E1380="Fail",F1380="Fail"),"Fail",IF(AND(D1380="Pass",E1380="Pass",F1380="Pass"),"Pass","Incomplete")))</f>
        <v/>
      </c>
      <c r="H1380" s="18"/>
      <c r="I1380" s="18"/>
    </row>
    <row r="1381" customFormat="false" ht="15.75" hidden="false" customHeight="true" outlineLevel="0" collapsed="false">
      <c r="A1381" s="18"/>
      <c r="B1381" s="18"/>
      <c r="C1381" s="19"/>
      <c r="D1381" s="20"/>
      <c r="E1381" s="20"/>
      <c r="F1381" s="20"/>
      <c r="G1381" s="20" t="str">
        <f aca="false">IF(COUNTBLANK(D1381:F1381)=3,"",IF(OR(D1381="Fail",E1381="Fail",F1381="Fail"),"Fail",IF(AND(D1381="Pass",E1381="Pass",F1381="Pass"),"Pass","Incomplete")))</f>
        <v/>
      </c>
      <c r="H1381" s="18"/>
      <c r="I1381" s="18"/>
    </row>
    <row r="1382" customFormat="false" ht="15.75" hidden="false" customHeight="true" outlineLevel="0" collapsed="false">
      <c r="A1382" s="18"/>
      <c r="B1382" s="18"/>
      <c r="C1382" s="19"/>
      <c r="D1382" s="20"/>
      <c r="E1382" s="20"/>
      <c r="F1382" s="20"/>
      <c r="G1382" s="20" t="str">
        <f aca="false">IF(COUNTBLANK(D1382:F1382)=3,"",IF(OR(D1382="Fail",E1382="Fail",F1382="Fail"),"Fail",IF(AND(D1382="Pass",E1382="Pass",F1382="Pass"),"Pass","Incomplete")))</f>
        <v/>
      </c>
      <c r="H1382" s="18"/>
      <c r="I1382" s="18"/>
    </row>
    <row r="1383" customFormat="false" ht="15.75" hidden="false" customHeight="true" outlineLevel="0" collapsed="false">
      <c r="A1383" s="18"/>
      <c r="B1383" s="18"/>
      <c r="C1383" s="19"/>
      <c r="D1383" s="20"/>
      <c r="E1383" s="20"/>
      <c r="F1383" s="20"/>
      <c r="G1383" s="20" t="str">
        <f aca="false">IF(COUNTBLANK(D1383:F1383)=3,"",IF(OR(D1383="Fail",E1383="Fail",F1383="Fail"),"Fail",IF(AND(D1383="Pass",E1383="Pass",F1383="Pass"),"Pass","Incomplete")))</f>
        <v/>
      </c>
      <c r="H1383" s="18"/>
      <c r="I1383" s="18"/>
    </row>
    <row r="1384" customFormat="false" ht="15.75" hidden="false" customHeight="true" outlineLevel="0" collapsed="false">
      <c r="A1384" s="18"/>
      <c r="B1384" s="18"/>
      <c r="C1384" s="19"/>
      <c r="D1384" s="20"/>
      <c r="E1384" s="20"/>
      <c r="F1384" s="20"/>
      <c r="G1384" s="20" t="str">
        <f aca="false">IF(COUNTBLANK(D1384:F1384)=3,"",IF(OR(D1384="Fail",E1384="Fail",F1384="Fail"),"Fail",IF(AND(D1384="Pass",E1384="Pass",F1384="Pass"),"Pass","Incomplete")))</f>
        <v/>
      </c>
      <c r="H1384" s="18"/>
      <c r="I1384" s="18"/>
    </row>
    <row r="1385" customFormat="false" ht="15.75" hidden="false" customHeight="true" outlineLevel="0" collapsed="false">
      <c r="A1385" s="18"/>
      <c r="B1385" s="18"/>
      <c r="C1385" s="19"/>
      <c r="D1385" s="20"/>
      <c r="E1385" s="20"/>
      <c r="F1385" s="20"/>
      <c r="G1385" s="20" t="str">
        <f aca="false">IF(COUNTBLANK(D1385:F1385)=3,"",IF(OR(D1385="Fail",E1385="Fail",F1385="Fail"),"Fail",IF(AND(D1385="Pass",E1385="Pass",F1385="Pass"),"Pass","Incomplete")))</f>
        <v/>
      </c>
      <c r="H1385" s="18"/>
      <c r="I1385" s="18"/>
    </row>
    <row r="1386" customFormat="false" ht="15.75" hidden="false" customHeight="true" outlineLevel="0" collapsed="false">
      <c r="A1386" s="18"/>
      <c r="B1386" s="18"/>
      <c r="C1386" s="19"/>
      <c r="D1386" s="20"/>
      <c r="E1386" s="20"/>
      <c r="F1386" s="20"/>
      <c r="G1386" s="20" t="str">
        <f aca="false">IF(COUNTBLANK(D1386:F1386)=3,"",IF(OR(D1386="Fail",E1386="Fail",F1386="Fail"),"Fail",IF(AND(D1386="Pass",E1386="Pass",F1386="Pass"),"Pass","Incomplete")))</f>
        <v/>
      </c>
      <c r="H1386" s="18"/>
      <c r="I1386" s="18"/>
    </row>
    <row r="1387" customFormat="false" ht="15.75" hidden="false" customHeight="true" outlineLevel="0" collapsed="false">
      <c r="A1387" s="18"/>
      <c r="B1387" s="18"/>
      <c r="C1387" s="19"/>
      <c r="D1387" s="20"/>
      <c r="E1387" s="20"/>
      <c r="F1387" s="20"/>
      <c r="G1387" s="20" t="str">
        <f aca="false">IF(COUNTBLANK(D1387:F1387)=3,"",IF(OR(D1387="Fail",E1387="Fail",F1387="Fail"),"Fail",IF(AND(D1387="Pass",E1387="Pass",F1387="Pass"),"Pass","Incomplete")))</f>
        <v/>
      </c>
      <c r="H1387" s="18"/>
      <c r="I1387" s="18"/>
    </row>
    <row r="1388" customFormat="false" ht="15.75" hidden="false" customHeight="true" outlineLevel="0" collapsed="false">
      <c r="A1388" s="18"/>
      <c r="B1388" s="18"/>
      <c r="C1388" s="19"/>
      <c r="D1388" s="20"/>
      <c r="E1388" s="20"/>
      <c r="F1388" s="20"/>
      <c r="G1388" s="20" t="str">
        <f aca="false">IF(COUNTBLANK(D1388:F1388)=3,"",IF(OR(D1388="Fail",E1388="Fail",F1388="Fail"),"Fail",IF(AND(D1388="Pass",E1388="Pass",F1388="Pass"),"Pass","Incomplete")))</f>
        <v/>
      </c>
      <c r="H1388" s="18"/>
      <c r="I1388" s="18"/>
    </row>
    <row r="1389" customFormat="false" ht="15.75" hidden="false" customHeight="true" outlineLevel="0" collapsed="false">
      <c r="A1389" s="18"/>
      <c r="B1389" s="18"/>
      <c r="C1389" s="19"/>
      <c r="D1389" s="20"/>
      <c r="E1389" s="20"/>
      <c r="F1389" s="20"/>
      <c r="G1389" s="20" t="str">
        <f aca="false">IF(COUNTBLANK(D1389:F1389)=3,"",IF(OR(D1389="Fail",E1389="Fail",F1389="Fail"),"Fail",IF(AND(D1389="Pass",E1389="Pass",F1389="Pass"),"Pass","Incomplete")))</f>
        <v/>
      </c>
      <c r="H1389" s="18"/>
      <c r="I1389" s="18"/>
    </row>
    <row r="1390" customFormat="false" ht="15.75" hidden="false" customHeight="true" outlineLevel="0" collapsed="false">
      <c r="A1390" s="18"/>
      <c r="B1390" s="18"/>
      <c r="C1390" s="19"/>
      <c r="D1390" s="20"/>
      <c r="E1390" s="20"/>
      <c r="F1390" s="20"/>
      <c r="G1390" s="20" t="str">
        <f aca="false">IF(COUNTBLANK(D1390:F1390)=3,"",IF(OR(D1390="Fail",E1390="Fail",F1390="Fail"),"Fail",IF(AND(D1390="Pass",E1390="Pass",F1390="Pass"),"Pass","Incomplete")))</f>
        <v/>
      </c>
      <c r="H1390" s="18"/>
      <c r="I1390" s="18"/>
    </row>
    <row r="1391" customFormat="false" ht="15.75" hidden="false" customHeight="true" outlineLevel="0" collapsed="false">
      <c r="A1391" s="18"/>
      <c r="B1391" s="18"/>
      <c r="C1391" s="19"/>
      <c r="D1391" s="20"/>
      <c r="E1391" s="20"/>
      <c r="F1391" s="20"/>
      <c r="G1391" s="20" t="str">
        <f aca="false">IF(COUNTBLANK(D1391:F1391)=3,"",IF(OR(D1391="Fail",E1391="Fail",F1391="Fail"),"Fail",IF(AND(D1391="Pass",E1391="Pass",F1391="Pass"),"Pass","Incomplete")))</f>
        <v/>
      </c>
      <c r="H1391" s="18"/>
      <c r="I1391" s="18"/>
    </row>
    <row r="1392" customFormat="false" ht="15.75" hidden="false" customHeight="true" outlineLevel="0" collapsed="false">
      <c r="A1392" s="18"/>
      <c r="B1392" s="18"/>
      <c r="C1392" s="19"/>
      <c r="D1392" s="20"/>
      <c r="E1392" s="20"/>
      <c r="F1392" s="20"/>
      <c r="G1392" s="20" t="str">
        <f aca="false">IF(COUNTBLANK(D1392:F1392)=3,"",IF(OR(D1392="Fail",E1392="Fail",F1392="Fail"),"Fail",IF(AND(D1392="Pass",E1392="Pass",F1392="Pass"),"Pass","Incomplete")))</f>
        <v/>
      </c>
      <c r="H1392" s="18"/>
      <c r="I1392" s="18"/>
    </row>
    <row r="1393" customFormat="false" ht="15.75" hidden="false" customHeight="true" outlineLevel="0" collapsed="false">
      <c r="A1393" s="18"/>
      <c r="B1393" s="18"/>
      <c r="C1393" s="19"/>
      <c r="D1393" s="20"/>
      <c r="E1393" s="20"/>
      <c r="F1393" s="20"/>
      <c r="G1393" s="20" t="str">
        <f aca="false">IF(COUNTBLANK(D1393:F1393)=3,"",IF(OR(D1393="Fail",E1393="Fail",F1393="Fail"),"Fail",IF(AND(D1393="Pass",E1393="Pass",F1393="Pass"),"Pass","Incomplete")))</f>
        <v/>
      </c>
      <c r="H1393" s="18"/>
      <c r="I1393" s="18"/>
    </row>
    <row r="1394" customFormat="false" ht="15.75" hidden="false" customHeight="true" outlineLevel="0" collapsed="false">
      <c r="A1394" s="18"/>
      <c r="B1394" s="18"/>
      <c r="C1394" s="19"/>
      <c r="D1394" s="20"/>
      <c r="E1394" s="20"/>
      <c r="F1394" s="20"/>
      <c r="G1394" s="20" t="str">
        <f aca="false">IF(COUNTBLANK(D1394:F1394)=3,"",IF(OR(D1394="Fail",E1394="Fail",F1394="Fail"),"Fail",IF(AND(D1394="Pass",E1394="Pass",F1394="Pass"),"Pass","Incomplete")))</f>
        <v/>
      </c>
      <c r="H1394" s="18"/>
      <c r="I1394" s="18"/>
    </row>
    <row r="1395" customFormat="false" ht="15.75" hidden="false" customHeight="true" outlineLevel="0" collapsed="false">
      <c r="A1395" s="18"/>
      <c r="B1395" s="18"/>
      <c r="C1395" s="19"/>
      <c r="D1395" s="20"/>
      <c r="E1395" s="20"/>
      <c r="F1395" s="20"/>
      <c r="G1395" s="20" t="str">
        <f aca="false">IF(COUNTBLANK(D1395:F1395)=3,"",IF(OR(D1395="Fail",E1395="Fail",F1395="Fail"),"Fail",IF(AND(D1395="Pass",E1395="Pass",F1395="Pass"),"Pass","Incomplete")))</f>
        <v/>
      </c>
      <c r="H1395" s="18"/>
      <c r="I1395" s="18"/>
    </row>
    <row r="1396" customFormat="false" ht="15.75" hidden="false" customHeight="true" outlineLevel="0" collapsed="false">
      <c r="A1396" s="18"/>
      <c r="B1396" s="18"/>
      <c r="C1396" s="19"/>
      <c r="D1396" s="20"/>
      <c r="E1396" s="20"/>
      <c r="F1396" s="20"/>
      <c r="G1396" s="20" t="str">
        <f aca="false">IF(COUNTBLANK(D1396:F1396)=3,"",IF(OR(D1396="Fail",E1396="Fail",F1396="Fail"),"Fail",IF(AND(D1396="Pass",E1396="Pass",F1396="Pass"),"Pass","Incomplete")))</f>
        <v/>
      </c>
      <c r="H1396" s="18"/>
      <c r="I1396" s="18"/>
    </row>
    <row r="1397" customFormat="false" ht="15.75" hidden="false" customHeight="true" outlineLevel="0" collapsed="false">
      <c r="A1397" s="18"/>
      <c r="B1397" s="18"/>
      <c r="C1397" s="19"/>
      <c r="D1397" s="20"/>
      <c r="E1397" s="20"/>
      <c r="F1397" s="20"/>
      <c r="G1397" s="20" t="str">
        <f aca="false">IF(COUNTBLANK(D1397:F1397)=3,"",IF(OR(D1397="Fail",E1397="Fail",F1397="Fail"),"Fail",IF(AND(D1397="Pass",E1397="Pass",F1397="Pass"),"Pass","Incomplete")))</f>
        <v/>
      </c>
      <c r="H1397" s="18"/>
      <c r="I1397" s="18"/>
    </row>
    <row r="1398" customFormat="false" ht="15.75" hidden="false" customHeight="true" outlineLevel="0" collapsed="false">
      <c r="A1398" s="18"/>
      <c r="B1398" s="18"/>
      <c r="C1398" s="19"/>
      <c r="D1398" s="20"/>
      <c r="E1398" s="20"/>
      <c r="F1398" s="20"/>
      <c r="G1398" s="20" t="str">
        <f aca="false">IF(COUNTBLANK(D1398:F1398)=3,"",IF(OR(D1398="Fail",E1398="Fail",F1398="Fail"),"Fail",IF(AND(D1398="Pass",E1398="Pass",F1398="Pass"),"Pass","Incomplete")))</f>
        <v/>
      </c>
      <c r="H1398" s="18"/>
      <c r="I1398" s="18"/>
    </row>
    <row r="1399" customFormat="false" ht="15.75" hidden="false" customHeight="true" outlineLevel="0" collapsed="false">
      <c r="A1399" s="18"/>
      <c r="B1399" s="18"/>
      <c r="C1399" s="19"/>
      <c r="D1399" s="20"/>
      <c r="E1399" s="20"/>
      <c r="F1399" s="20"/>
      <c r="G1399" s="20" t="str">
        <f aca="false">IF(COUNTBLANK(D1399:F1399)=3,"",IF(OR(D1399="Fail",E1399="Fail",F1399="Fail"),"Fail",IF(AND(D1399="Pass",E1399="Pass",F1399="Pass"),"Pass","Incomplete")))</f>
        <v/>
      </c>
      <c r="H1399" s="18"/>
      <c r="I1399" s="18"/>
    </row>
    <row r="1400" customFormat="false" ht="15.75" hidden="false" customHeight="true" outlineLevel="0" collapsed="false">
      <c r="A1400" s="18"/>
      <c r="B1400" s="18"/>
      <c r="C1400" s="19"/>
      <c r="D1400" s="20"/>
      <c r="E1400" s="20"/>
      <c r="F1400" s="20"/>
      <c r="G1400" s="20" t="str">
        <f aca="false">IF(COUNTBLANK(D1400:F1400)=3,"",IF(OR(D1400="Fail",E1400="Fail",F1400="Fail"),"Fail",IF(AND(D1400="Pass",E1400="Pass",F1400="Pass"),"Pass","Incomplete")))</f>
        <v/>
      </c>
      <c r="H1400" s="18"/>
      <c r="I1400" s="18"/>
    </row>
    <row r="1401" customFormat="false" ht="15.75" hidden="false" customHeight="true" outlineLevel="0" collapsed="false">
      <c r="A1401" s="18"/>
      <c r="B1401" s="18"/>
      <c r="C1401" s="19"/>
      <c r="D1401" s="20"/>
      <c r="E1401" s="20"/>
      <c r="F1401" s="20"/>
      <c r="G1401" s="20" t="str">
        <f aca="false">IF(COUNTBLANK(D1401:F1401)=3,"",IF(OR(D1401="Fail",E1401="Fail",F1401="Fail"),"Fail",IF(AND(D1401="Pass",E1401="Pass",F1401="Pass"),"Pass","Incomplete")))</f>
        <v/>
      </c>
      <c r="H1401" s="18"/>
      <c r="I1401" s="18"/>
    </row>
    <row r="1402" customFormat="false" ht="15.75" hidden="false" customHeight="true" outlineLevel="0" collapsed="false">
      <c r="A1402" s="18"/>
      <c r="B1402" s="18"/>
      <c r="C1402" s="19"/>
      <c r="D1402" s="20"/>
      <c r="E1402" s="20"/>
      <c r="F1402" s="20"/>
      <c r="G1402" s="20" t="str">
        <f aca="false">IF(COUNTBLANK(D1402:F1402)=3,"",IF(OR(D1402="Fail",E1402="Fail",F1402="Fail"),"Fail",IF(AND(D1402="Pass",E1402="Pass",F1402="Pass"),"Pass","Incomplete")))</f>
        <v/>
      </c>
      <c r="H1402" s="18"/>
      <c r="I1402" s="18"/>
    </row>
    <row r="1403" customFormat="false" ht="15.75" hidden="false" customHeight="true" outlineLevel="0" collapsed="false">
      <c r="A1403" s="18"/>
      <c r="B1403" s="18"/>
      <c r="C1403" s="19"/>
      <c r="D1403" s="20"/>
      <c r="E1403" s="20"/>
      <c r="F1403" s="20"/>
      <c r="G1403" s="20" t="str">
        <f aca="false">IF(COUNTBLANK(D1403:F1403)=3,"",IF(OR(D1403="Fail",E1403="Fail",F1403="Fail"),"Fail",IF(AND(D1403="Pass",E1403="Pass",F1403="Pass"),"Pass","Incomplete")))</f>
        <v/>
      </c>
      <c r="H1403" s="18"/>
      <c r="I1403" s="18"/>
    </row>
    <row r="1404" customFormat="false" ht="15.75" hidden="false" customHeight="true" outlineLevel="0" collapsed="false">
      <c r="A1404" s="18"/>
      <c r="B1404" s="18"/>
      <c r="C1404" s="19"/>
      <c r="D1404" s="20"/>
      <c r="E1404" s="20"/>
      <c r="F1404" s="20"/>
      <c r="G1404" s="20" t="str">
        <f aca="false">IF(COUNTBLANK(D1404:F1404)=3,"",IF(OR(D1404="Fail",E1404="Fail",F1404="Fail"),"Fail",IF(AND(D1404="Pass",E1404="Pass",F1404="Pass"),"Pass","Incomplete")))</f>
        <v/>
      </c>
      <c r="H1404" s="18"/>
      <c r="I1404" s="18"/>
    </row>
    <row r="1405" customFormat="false" ht="15.75" hidden="false" customHeight="true" outlineLevel="0" collapsed="false">
      <c r="A1405" s="18"/>
      <c r="B1405" s="18"/>
      <c r="C1405" s="19"/>
      <c r="D1405" s="20"/>
      <c r="E1405" s="20"/>
      <c r="F1405" s="20"/>
      <c r="G1405" s="20" t="str">
        <f aca="false">IF(COUNTBLANK(D1405:F1405)=3,"",IF(OR(D1405="Fail",E1405="Fail",F1405="Fail"),"Fail",IF(AND(D1405="Pass",E1405="Pass",F1405="Pass"),"Pass","Incomplete")))</f>
        <v/>
      </c>
      <c r="H1405" s="18"/>
      <c r="I1405" s="18"/>
    </row>
    <row r="1406" customFormat="false" ht="15.75" hidden="false" customHeight="true" outlineLevel="0" collapsed="false">
      <c r="A1406" s="18"/>
      <c r="B1406" s="18"/>
      <c r="C1406" s="19"/>
      <c r="D1406" s="20"/>
      <c r="E1406" s="20"/>
      <c r="F1406" s="20"/>
      <c r="G1406" s="20" t="str">
        <f aca="false">IF(COUNTBLANK(D1406:F1406)=3,"",IF(OR(D1406="Fail",E1406="Fail",F1406="Fail"),"Fail",IF(AND(D1406="Pass",E1406="Pass",F1406="Pass"),"Pass","Incomplete")))</f>
        <v/>
      </c>
      <c r="H1406" s="18"/>
      <c r="I1406" s="18"/>
    </row>
    <row r="1407" customFormat="false" ht="15.75" hidden="false" customHeight="true" outlineLevel="0" collapsed="false">
      <c r="A1407" s="18"/>
      <c r="B1407" s="18"/>
      <c r="C1407" s="19"/>
      <c r="D1407" s="20"/>
      <c r="E1407" s="20"/>
      <c r="F1407" s="20"/>
      <c r="G1407" s="20" t="str">
        <f aca="false">IF(COUNTBLANK(D1407:F1407)=3,"",IF(OR(D1407="Fail",E1407="Fail",F1407="Fail"),"Fail",IF(AND(D1407="Pass",E1407="Pass",F1407="Pass"),"Pass","Incomplete")))</f>
        <v/>
      </c>
      <c r="H1407" s="18"/>
      <c r="I1407" s="18"/>
    </row>
    <row r="1408" customFormat="false" ht="15.75" hidden="false" customHeight="true" outlineLevel="0" collapsed="false">
      <c r="A1408" s="18"/>
      <c r="B1408" s="18"/>
      <c r="C1408" s="19"/>
      <c r="D1408" s="20"/>
      <c r="E1408" s="20"/>
      <c r="F1408" s="20"/>
      <c r="G1408" s="20" t="str">
        <f aca="false">IF(COUNTBLANK(D1408:F1408)=3,"",IF(OR(D1408="Fail",E1408="Fail",F1408="Fail"),"Fail",IF(AND(D1408="Pass",E1408="Pass",F1408="Pass"),"Pass","Incomplete")))</f>
        <v/>
      </c>
      <c r="H1408" s="18"/>
      <c r="I1408" s="18"/>
    </row>
    <row r="1409" customFormat="false" ht="15.75" hidden="false" customHeight="true" outlineLevel="0" collapsed="false">
      <c r="A1409" s="18"/>
      <c r="B1409" s="18"/>
      <c r="C1409" s="19"/>
      <c r="D1409" s="20"/>
      <c r="E1409" s="20"/>
      <c r="F1409" s="20"/>
      <c r="G1409" s="20" t="str">
        <f aca="false">IF(COUNTBLANK(D1409:F1409)=3,"",IF(OR(D1409="Fail",E1409="Fail",F1409="Fail"),"Fail",IF(AND(D1409="Pass",E1409="Pass",F1409="Pass"),"Pass","Incomplete")))</f>
        <v/>
      </c>
      <c r="H1409" s="18"/>
      <c r="I1409" s="18"/>
    </row>
    <row r="1410" customFormat="false" ht="15.75" hidden="false" customHeight="true" outlineLevel="0" collapsed="false">
      <c r="A1410" s="18"/>
      <c r="B1410" s="18"/>
      <c r="C1410" s="19"/>
      <c r="D1410" s="20"/>
      <c r="E1410" s="20"/>
      <c r="F1410" s="20"/>
      <c r="G1410" s="20" t="str">
        <f aca="false">IF(COUNTBLANK(D1410:F1410)=3,"",IF(OR(D1410="Fail",E1410="Fail",F1410="Fail"),"Fail",IF(AND(D1410="Pass",E1410="Pass",F1410="Pass"),"Pass","Incomplete")))</f>
        <v/>
      </c>
      <c r="H1410" s="18"/>
      <c r="I1410" s="18"/>
    </row>
    <row r="1411" customFormat="false" ht="15.75" hidden="false" customHeight="true" outlineLevel="0" collapsed="false">
      <c r="A1411" s="18"/>
      <c r="B1411" s="18"/>
      <c r="C1411" s="19"/>
      <c r="D1411" s="20"/>
      <c r="E1411" s="20"/>
      <c r="F1411" s="20"/>
      <c r="G1411" s="20" t="str">
        <f aca="false">IF(COUNTBLANK(D1411:F1411)=3,"",IF(OR(D1411="Fail",E1411="Fail",F1411="Fail"),"Fail",IF(AND(D1411="Pass",E1411="Pass",F1411="Pass"),"Pass","Incomplete")))</f>
        <v/>
      </c>
      <c r="H1411" s="18"/>
      <c r="I1411" s="18"/>
    </row>
    <row r="1412" customFormat="false" ht="15.75" hidden="false" customHeight="true" outlineLevel="0" collapsed="false">
      <c r="A1412" s="18"/>
      <c r="B1412" s="18"/>
      <c r="C1412" s="19"/>
      <c r="D1412" s="20"/>
      <c r="E1412" s="20"/>
      <c r="F1412" s="20"/>
      <c r="G1412" s="20" t="str">
        <f aca="false">IF(COUNTBLANK(D1412:F1412)=3,"",IF(OR(D1412="Fail",E1412="Fail",F1412="Fail"),"Fail",IF(AND(D1412="Pass",E1412="Pass",F1412="Pass"),"Pass","Incomplete")))</f>
        <v/>
      </c>
      <c r="H1412" s="18"/>
      <c r="I1412" s="18"/>
    </row>
    <row r="1413" customFormat="false" ht="15.75" hidden="false" customHeight="true" outlineLevel="0" collapsed="false">
      <c r="A1413" s="18"/>
      <c r="B1413" s="18"/>
      <c r="C1413" s="19"/>
      <c r="D1413" s="20"/>
      <c r="E1413" s="20"/>
      <c r="F1413" s="20"/>
      <c r="G1413" s="20" t="str">
        <f aca="false">IF(COUNTBLANK(D1413:F1413)=3,"",IF(OR(D1413="Fail",E1413="Fail",F1413="Fail"),"Fail",IF(AND(D1413="Pass",E1413="Pass",F1413="Pass"),"Pass","Incomplete")))</f>
        <v/>
      </c>
      <c r="H1413" s="18"/>
      <c r="I1413" s="18"/>
    </row>
    <row r="1414" customFormat="false" ht="15.75" hidden="false" customHeight="true" outlineLevel="0" collapsed="false">
      <c r="A1414" s="18"/>
      <c r="B1414" s="18"/>
      <c r="C1414" s="19"/>
      <c r="D1414" s="20"/>
      <c r="E1414" s="20"/>
      <c r="F1414" s="20"/>
      <c r="G1414" s="20" t="str">
        <f aca="false">IF(COUNTBLANK(D1414:F1414)=3,"",IF(OR(D1414="Fail",E1414="Fail",F1414="Fail"),"Fail",IF(AND(D1414="Pass",E1414="Pass",F1414="Pass"),"Pass","Incomplete")))</f>
        <v/>
      </c>
      <c r="H1414" s="18"/>
      <c r="I1414" s="18"/>
    </row>
    <row r="1415" customFormat="false" ht="15.75" hidden="false" customHeight="true" outlineLevel="0" collapsed="false">
      <c r="A1415" s="18"/>
      <c r="B1415" s="18"/>
      <c r="C1415" s="19"/>
      <c r="D1415" s="20"/>
      <c r="E1415" s="20"/>
      <c r="F1415" s="20"/>
      <c r="G1415" s="20" t="str">
        <f aca="false">IF(COUNTBLANK(D1415:F1415)=3,"",IF(OR(D1415="Fail",E1415="Fail",F1415="Fail"),"Fail",IF(AND(D1415="Pass",E1415="Pass",F1415="Pass"),"Pass","Incomplete")))</f>
        <v/>
      </c>
      <c r="H1415" s="18"/>
      <c r="I1415" s="18"/>
    </row>
    <row r="1416" customFormat="false" ht="15.75" hidden="false" customHeight="true" outlineLevel="0" collapsed="false">
      <c r="A1416" s="18"/>
      <c r="B1416" s="18"/>
      <c r="C1416" s="19"/>
      <c r="D1416" s="20"/>
      <c r="E1416" s="20"/>
      <c r="F1416" s="20"/>
      <c r="G1416" s="20" t="str">
        <f aca="false">IF(COUNTBLANK(D1416:F1416)=3,"",IF(OR(D1416="Fail",E1416="Fail",F1416="Fail"),"Fail",IF(AND(D1416="Pass",E1416="Pass",F1416="Pass"),"Pass","Incomplete")))</f>
        <v/>
      </c>
      <c r="H1416" s="18"/>
      <c r="I1416" s="18"/>
    </row>
    <row r="1417" customFormat="false" ht="15.75" hidden="false" customHeight="true" outlineLevel="0" collapsed="false">
      <c r="A1417" s="18"/>
      <c r="B1417" s="18"/>
      <c r="C1417" s="19"/>
      <c r="D1417" s="20"/>
      <c r="E1417" s="20"/>
      <c r="F1417" s="20"/>
      <c r="G1417" s="20" t="str">
        <f aca="false">IF(COUNTBLANK(D1417:F1417)=3,"",IF(OR(D1417="Fail",E1417="Fail",F1417="Fail"),"Fail",IF(AND(D1417="Pass",E1417="Pass",F1417="Pass"),"Pass","Incomplete")))</f>
        <v/>
      </c>
      <c r="H1417" s="18"/>
      <c r="I1417" s="18"/>
    </row>
    <row r="1418" customFormat="false" ht="15.75" hidden="false" customHeight="true" outlineLevel="0" collapsed="false">
      <c r="A1418" s="18"/>
      <c r="B1418" s="18"/>
      <c r="C1418" s="19"/>
      <c r="D1418" s="20"/>
      <c r="E1418" s="20"/>
      <c r="F1418" s="20"/>
      <c r="G1418" s="20" t="str">
        <f aca="false">IF(COUNTBLANK(D1418:F1418)=3,"",IF(OR(D1418="Fail",E1418="Fail",F1418="Fail"),"Fail",IF(AND(D1418="Pass",E1418="Pass",F1418="Pass"),"Pass","Incomplete")))</f>
        <v/>
      </c>
      <c r="H1418" s="18"/>
      <c r="I1418" s="18"/>
    </row>
    <row r="1419" customFormat="false" ht="15.75" hidden="false" customHeight="true" outlineLevel="0" collapsed="false">
      <c r="A1419" s="18"/>
      <c r="B1419" s="18"/>
      <c r="C1419" s="19"/>
      <c r="D1419" s="20"/>
      <c r="E1419" s="20"/>
      <c r="F1419" s="20"/>
      <c r="G1419" s="20" t="str">
        <f aca="false">IF(COUNTBLANK(D1419:F1419)=3,"",IF(OR(D1419="Fail",E1419="Fail",F1419="Fail"),"Fail",IF(AND(D1419="Pass",E1419="Pass",F1419="Pass"),"Pass","Incomplete")))</f>
        <v/>
      </c>
      <c r="H1419" s="18"/>
      <c r="I1419" s="18"/>
    </row>
    <row r="1420" customFormat="false" ht="15.75" hidden="false" customHeight="true" outlineLevel="0" collapsed="false">
      <c r="A1420" s="18"/>
      <c r="B1420" s="18"/>
      <c r="C1420" s="19"/>
      <c r="D1420" s="20"/>
      <c r="E1420" s="20"/>
      <c r="F1420" s="20"/>
      <c r="G1420" s="20" t="str">
        <f aca="false">IF(COUNTBLANK(D1420:F1420)=3,"",IF(OR(D1420="Fail",E1420="Fail",F1420="Fail"),"Fail",IF(AND(D1420="Pass",E1420="Pass",F1420="Pass"),"Pass","Incomplete")))</f>
        <v/>
      </c>
      <c r="H1420" s="18"/>
      <c r="I1420" s="18"/>
    </row>
    <row r="1421" customFormat="false" ht="15.75" hidden="false" customHeight="true" outlineLevel="0" collapsed="false">
      <c r="A1421" s="18"/>
      <c r="B1421" s="18"/>
      <c r="C1421" s="19"/>
      <c r="D1421" s="20"/>
      <c r="E1421" s="20"/>
      <c r="F1421" s="20"/>
      <c r="G1421" s="20" t="str">
        <f aca="false">IF(COUNTBLANK(D1421:F1421)=3,"",IF(OR(D1421="Fail",E1421="Fail",F1421="Fail"),"Fail",IF(AND(D1421="Pass",E1421="Pass",F1421="Pass"),"Pass","Incomplete")))</f>
        <v/>
      </c>
      <c r="H1421" s="18"/>
      <c r="I1421" s="18"/>
    </row>
    <row r="1422" customFormat="false" ht="15.75" hidden="false" customHeight="true" outlineLevel="0" collapsed="false">
      <c r="A1422" s="18"/>
      <c r="B1422" s="18"/>
      <c r="C1422" s="19"/>
      <c r="D1422" s="20"/>
      <c r="E1422" s="20"/>
      <c r="F1422" s="20"/>
      <c r="G1422" s="20" t="str">
        <f aca="false">IF(COUNTBLANK(D1422:F1422)=3,"",IF(OR(D1422="Fail",E1422="Fail",F1422="Fail"),"Fail",IF(AND(D1422="Pass",E1422="Pass",F1422="Pass"),"Pass","Incomplete")))</f>
        <v/>
      </c>
      <c r="H1422" s="18"/>
      <c r="I1422" s="18"/>
    </row>
    <row r="1423" customFormat="false" ht="15.75" hidden="false" customHeight="true" outlineLevel="0" collapsed="false">
      <c r="A1423" s="18"/>
      <c r="B1423" s="18"/>
      <c r="C1423" s="19"/>
      <c r="D1423" s="20"/>
      <c r="E1423" s="20"/>
      <c r="F1423" s="20"/>
      <c r="G1423" s="20" t="str">
        <f aca="false">IF(COUNTBLANK(D1423:F1423)=3,"",IF(OR(D1423="Fail",E1423="Fail",F1423="Fail"),"Fail",IF(AND(D1423="Pass",E1423="Pass",F1423="Pass"),"Pass","Incomplete")))</f>
        <v/>
      </c>
      <c r="H1423" s="18"/>
      <c r="I1423" s="18"/>
    </row>
    <row r="1424" customFormat="false" ht="15.75" hidden="false" customHeight="true" outlineLevel="0" collapsed="false">
      <c r="A1424" s="18"/>
      <c r="B1424" s="18"/>
      <c r="C1424" s="19"/>
      <c r="D1424" s="20"/>
      <c r="E1424" s="20"/>
      <c r="F1424" s="20"/>
      <c r="G1424" s="20" t="str">
        <f aca="false">IF(COUNTBLANK(D1424:F1424)=3,"",IF(OR(D1424="Fail",E1424="Fail",F1424="Fail"),"Fail",IF(AND(D1424="Pass",E1424="Pass",F1424="Pass"),"Pass","Incomplete")))</f>
        <v/>
      </c>
      <c r="H1424" s="18"/>
      <c r="I1424" s="18"/>
    </row>
    <row r="1425" customFormat="false" ht="15.75" hidden="false" customHeight="true" outlineLevel="0" collapsed="false">
      <c r="A1425" s="18"/>
      <c r="B1425" s="18"/>
      <c r="C1425" s="19"/>
      <c r="D1425" s="20"/>
      <c r="E1425" s="20"/>
      <c r="F1425" s="20"/>
      <c r="G1425" s="20" t="str">
        <f aca="false">IF(COUNTBLANK(D1425:F1425)=3,"",IF(OR(D1425="Fail",E1425="Fail",F1425="Fail"),"Fail",IF(AND(D1425="Pass",E1425="Pass",F1425="Pass"),"Pass","Incomplete")))</f>
        <v/>
      </c>
      <c r="H1425" s="18"/>
      <c r="I1425" s="18"/>
    </row>
    <row r="1426" customFormat="false" ht="15.75" hidden="false" customHeight="true" outlineLevel="0" collapsed="false">
      <c r="A1426" s="18"/>
      <c r="B1426" s="18"/>
      <c r="C1426" s="19"/>
      <c r="D1426" s="20"/>
      <c r="E1426" s="20"/>
      <c r="F1426" s="20"/>
      <c r="G1426" s="20" t="str">
        <f aca="false">IF(COUNTBLANK(D1426:F1426)=3,"",IF(OR(D1426="Fail",E1426="Fail",F1426="Fail"),"Fail",IF(AND(D1426="Pass",E1426="Pass",F1426="Pass"),"Pass","Incomplete")))</f>
        <v/>
      </c>
      <c r="H1426" s="18"/>
      <c r="I1426" s="18"/>
    </row>
    <row r="1427" customFormat="false" ht="15.75" hidden="false" customHeight="true" outlineLevel="0" collapsed="false">
      <c r="A1427" s="18"/>
      <c r="B1427" s="18"/>
      <c r="C1427" s="19"/>
      <c r="D1427" s="20"/>
      <c r="E1427" s="20"/>
      <c r="F1427" s="20"/>
      <c r="G1427" s="20" t="str">
        <f aca="false">IF(COUNTBLANK(D1427:F1427)=3,"",IF(OR(D1427="Fail",E1427="Fail",F1427="Fail"),"Fail",IF(AND(D1427="Pass",E1427="Pass",F1427="Pass"),"Pass","Incomplete")))</f>
        <v/>
      </c>
      <c r="H1427" s="18"/>
      <c r="I1427" s="18"/>
    </row>
    <row r="1428" customFormat="false" ht="15.75" hidden="false" customHeight="true" outlineLevel="0" collapsed="false">
      <c r="A1428" s="18"/>
      <c r="B1428" s="18"/>
      <c r="C1428" s="19"/>
      <c r="D1428" s="20"/>
      <c r="E1428" s="20"/>
      <c r="F1428" s="20"/>
      <c r="G1428" s="20" t="str">
        <f aca="false">IF(COUNTBLANK(D1428:F1428)=3,"",IF(OR(D1428="Fail",E1428="Fail",F1428="Fail"),"Fail",IF(AND(D1428="Pass",E1428="Pass",F1428="Pass"),"Pass","Incomplete")))</f>
        <v/>
      </c>
      <c r="H1428" s="18"/>
      <c r="I1428" s="18"/>
    </row>
    <row r="1429" customFormat="false" ht="15.75" hidden="false" customHeight="true" outlineLevel="0" collapsed="false">
      <c r="A1429" s="18"/>
      <c r="B1429" s="18"/>
      <c r="C1429" s="19"/>
      <c r="D1429" s="20"/>
      <c r="E1429" s="20"/>
      <c r="F1429" s="20"/>
      <c r="G1429" s="20" t="str">
        <f aca="false">IF(COUNTBLANK(D1429:F1429)=3,"",IF(OR(D1429="Fail",E1429="Fail",F1429="Fail"),"Fail",IF(AND(D1429="Pass",E1429="Pass",F1429="Pass"),"Pass","Incomplete")))</f>
        <v/>
      </c>
      <c r="H1429" s="18"/>
      <c r="I1429" s="18"/>
    </row>
    <row r="1430" customFormat="false" ht="15.75" hidden="false" customHeight="true" outlineLevel="0" collapsed="false">
      <c r="A1430" s="18"/>
      <c r="B1430" s="18"/>
      <c r="C1430" s="19"/>
      <c r="D1430" s="20"/>
      <c r="E1430" s="20"/>
      <c r="F1430" s="20"/>
      <c r="G1430" s="20" t="str">
        <f aca="false">IF(COUNTBLANK(D1430:F1430)=3,"",IF(OR(D1430="Fail",E1430="Fail",F1430="Fail"),"Fail",IF(AND(D1430="Pass",E1430="Pass",F1430="Pass"),"Pass","Incomplete")))</f>
        <v/>
      </c>
      <c r="H1430" s="18"/>
      <c r="I1430" s="18"/>
    </row>
    <row r="1431" customFormat="false" ht="15.75" hidden="false" customHeight="true" outlineLevel="0" collapsed="false">
      <c r="A1431" s="18"/>
      <c r="B1431" s="18"/>
      <c r="C1431" s="19"/>
      <c r="D1431" s="20"/>
      <c r="E1431" s="20"/>
      <c r="F1431" s="20"/>
      <c r="G1431" s="20" t="str">
        <f aca="false">IF(COUNTBLANK(D1431:F1431)=3,"",IF(OR(D1431="Fail",E1431="Fail",F1431="Fail"),"Fail",IF(AND(D1431="Pass",E1431="Pass",F1431="Pass"),"Pass","Incomplete")))</f>
        <v/>
      </c>
      <c r="H1431" s="18"/>
      <c r="I1431" s="18"/>
    </row>
    <row r="1432" customFormat="false" ht="15.75" hidden="false" customHeight="true" outlineLevel="0" collapsed="false">
      <c r="A1432" s="18"/>
      <c r="B1432" s="18"/>
      <c r="C1432" s="19"/>
      <c r="D1432" s="20"/>
      <c r="E1432" s="20"/>
      <c r="F1432" s="20"/>
      <c r="G1432" s="20" t="str">
        <f aca="false">IF(COUNTBLANK(D1432:F1432)=3,"",IF(OR(D1432="Fail",E1432="Fail",F1432="Fail"),"Fail",IF(AND(D1432="Pass",E1432="Pass",F1432="Pass"),"Pass","Incomplete")))</f>
        <v/>
      </c>
      <c r="H1432" s="18"/>
      <c r="I1432" s="18"/>
    </row>
    <row r="1433" customFormat="false" ht="15.75" hidden="false" customHeight="true" outlineLevel="0" collapsed="false">
      <c r="A1433" s="18"/>
      <c r="B1433" s="18"/>
      <c r="C1433" s="19"/>
      <c r="D1433" s="20"/>
      <c r="E1433" s="20"/>
      <c r="F1433" s="20"/>
      <c r="G1433" s="20" t="str">
        <f aca="false">IF(COUNTBLANK(D1433:F1433)=3,"",IF(OR(D1433="Fail",E1433="Fail",F1433="Fail"),"Fail",IF(AND(D1433="Pass",E1433="Pass",F1433="Pass"),"Pass","Incomplete")))</f>
        <v/>
      </c>
      <c r="H1433" s="18"/>
      <c r="I1433" s="18"/>
    </row>
    <row r="1434" customFormat="false" ht="15.75" hidden="false" customHeight="true" outlineLevel="0" collapsed="false">
      <c r="A1434" s="18"/>
      <c r="B1434" s="18"/>
      <c r="C1434" s="19"/>
      <c r="D1434" s="20"/>
      <c r="E1434" s="20"/>
      <c r="F1434" s="20"/>
      <c r="G1434" s="20" t="str">
        <f aca="false">IF(COUNTBLANK(D1434:F1434)=3,"",IF(OR(D1434="Fail",E1434="Fail",F1434="Fail"),"Fail",IF(AND(D1434="Pass",E1434="Pass",F1434="Pass"),"Pass","Incomplete")))</f>
        <v/>
      </c>
      <c r="H1434" s="18"/>
      <c r="I1434" s="18"/>
    </row>
    <row r="1435" customFormat="false" ht="15.75" hidden="false" customHeight="true" outlineLevel="0" collapsed="false">
      <c r="A1435" s="18"/>
      <c r="B1435" s="18"/>
      <c r="C1435" s="19"/>
      <c r="D1435" s="20"/>
      <c r="E1435" s="20"/>
      <c r="F1435" s="20"/>
      <c r="G1435" s="20" t="str">
        <f aca="false">IF(COUNTBLANK(D1435:F1435)=3,"",IF(OR(D1435="Fail",E1435="Fail",F1435="Fail"),"Fail",IF(AND(D1435="Pass",E1435="Pass",F1435="Pass"),"Pass","Incomplete")))</f>
        <v/>
      </c>
      <c r="H1435" s="18"/>
      <c r="I1435" s="18"/>
    </row>
    <row r="1436" customFormat="false" ht="15.75" hidden="false" customHeight="true" outlineLevel="0" collapsed="false">
      <c r="A1436" s="18"/>
      <c r="B1436" s="18"/>
      <c r="C1436" s="19"/>
      <c r="D1436" s="20"/>
      <c r="E1436" s="20"/>
      <c r="F1436" s="20"/>
      <c r="G1436" s="20" t="str">
        <f aca="false">IF(COUNTBLANK(D1436:F1436)=3,"",IF(OR(D1436="Fail",E1436="Fail",F1436="Fail"),"Fail",IF(AND(D1436="Pass",E1436="Pass",F1436="Pass"),"Pass","Incomplete")))</f>
        <v/>
      </c>
      <c r="H1436" s="18"/>
      <c r="I1436" s="18"/>
    </row>
    <row r="1437" customFormat="false" ht="15.75" hidden="false" customHeight="true" outlineLevel="0" collapsed="false">
      <c r="A1437" s="18"/>
      <c r="B1437" s="18"/>
      <c r="C1437" s="19"/>
      <c r="D1437" s="20"/>
      <c r="E1437" s="20"/>
      <c r="F1437" s="20"/>
      <c r="G1437" s="20" t="str">
        <f aca="false">IF(COUNTBLANK(D1437:F1437)=3,"",IF(OR(D1437="Fail",E1437="Fail",F1437="Fail"),"Fail",IF(AND(D1437="Pass",E1437="Pass",F1437="Pass"),"Pass","Incomplete")))</f>
        <v/>
      </c>
      <c r="H1437" s="18"/>
      <c r="I1437" s="18"/>
    </row>
    <row r="1438" customFormat="false" ht="15.75" hidden="false" customHeight="true" outlineLevel="0" collapsed="false">
      <c r="A1438" s="18"/>
      <c r="B1438" s="18"/>
      <c r="C1438" s="19"/>
      <c r="D1438" s="20"/>
      <c r="E1438" s="20"/>
      <c r="F1438" s="20"/>
      <c r="G1438" s="20" t="str">
        <f aca="false">IF(COUNTBLANK(D1438:F1438)=3,"",IF(OR(D1438="Fail",E1438="Fail",F1438="Fail"),"Fail",IF(AND(D1438="Pass",E1438="Pass",F1438="Pass"),"Pass","Incomplete")))</f>
        <v/>
      </c>
      <c r="H1438" s="18"/>
      <c r="I1438" s="18"/>
    </row>
    <row r="1439" customFormat="false" ht="15.75" hidden="false" customHeight="true" outlineLevel="0" collapsed="false">
      <c r="A1439" s="18"/>
      <c r="B1439" s="18"/>
      <c r="C1439" s="19"/>
      <c r="D1439" s="20"/>
      <c r="E1439" s="20"/>
      <c r="F1439" s="20"/>
      <c r="G1439" s="20" t="str">
        <f aca="false">IF(COUNTBLANK(D1439:F1439)=3,"",IF(OR(D1439="Fail",E1439="Fail",F1439="Fail"),"Fail",IF(AND(D1439="Pass",E1439="Pass",F1439="Pass"),"Pass","Incomplete")))</f>
        <v/>
      </c>
      <c r="H1439" s="18"/>
      <c r="I1439" s="18"/>
    </row>
    <row r="1440" customFormat="false" ht="15.75" hidden="false" customHeight="true" outlineLevel="0" collapsed="false">
      <c r="A1440" s="18"/>
      <c r="B1440" s="18"/>
      <c r="C1440" s="19"/>
      <c r="D1440" s="20"/>
      <c r="E1440" s="20"/>
      <c r="F1440" s="20"/>
      <c r="G1440" s="20" t="str">
        <f aca="false">IF(COUNTBLANK(D1440:F1440)=3,"",IF(OR(D1440="Fail",E1440="Fail",F1440="Fail"),"Fail",IF(AND(D1440="Pass",E1440="Pass",F1440="Pass"),"Pass","Incomplete")))</f>
        <v/>
      </c>
      <c r="H1440" s="18"/>
      <c r="I1440" s="18"/>
    </row>
    <row r="1441" customFormat="false" ht="15.75" hidden="false" customHeight="true" outlineLevel="0" collapsed="false">
      <c r="A1441" s="18"/>
      <c r="B1441" s="18"/>
      <c r="C1441" s="19"/>
      <c r="D1441" s="20"/>
      <c r="E1441" s="20"/>
      <c r="F1441" s="20"/>
      <c r="G1441" s="20" t="str">
        <f aca="false">IF(COUNTBLANK(D1441:F1441)=3,"",IF(OR(D1441="Fail",E1441="Fail",F1441="Fail"),"Fail",IF(AND(D1441="Pass",E1441="Pass",F1441="Pass"),"Pass","Incomplete")))</f>
        <v/>
      </c>
      <c r="H1441" s="18"/>
      <c r="I1441" s="18"/>
    </row>
    <row r="1442" customFormat="false" ht="15.75" hidden="false" customHeight="true" outlineLevel="0" collapsed="false">
      <c r="A1442" s="18"/>
      <c r="B1442" s="18"/>
      <c r="C1442" s="19"/>
      <c r="D1442" s="20"/>
      <c r="E1442" s="20"/>
      <c r="F1442" s="20"/>
      <c r="G1442" s="20" t="str">
        <f aca="false">IF(COUNTBLANK(D1442:F1442)=3,"",IF(OR(D1442="Fail",E1442="Fail",F1442="Fail"),"Fail",IF(AND(D1442="Pass",E1442="Pass",F1442="Pass"),"Pass","Incomplete")))</f>
        <v/>
      </c>
      <c r="H1442" s="18"/>
      <c r="I1442" s="18"/>
    </row>
    <row r="1443" customFormat="false" ht="15.75" hidden="false" customHeight="true" outlineLevel="0" collapsed="false">
      <c r="A1443" s="18"/>
      <c r="B1443" s="18"/>
      <c r="C1443" s="19"/>
      <c r="D1443" s="20"/>
      <c r="E1443" s="20"/>
      <c r="F1443" s="20"/>
      <c r="G1443" s="20" t="str">
        <f aca="false">IF(COUNTBLANK(D1443:F1443)=3,"",IF(OR(D1443="Fail",E1443="Fail",F1443="Fail"),"Fail",IF(AND(D1443="Pass",E1443="Pass",F1443="Pass"),"Pass","Incomplete")))</f>
        <v/>
      </c>
      <c r="H1443" s="18"/>
      <c r="I1443" s="18"/>
    </row>
    <row r="1444" customFormat="false" ht="15.75" hidden="false" customHeight="true" outlineLevel="0" collapsed="false">
      <c r="A1444" s="18"/>
      <c r="B1444" s="18"/>
      <c r="C1444" s="19"/>
      <c r="D1444" s="20"/>
      <c r="E1444" s="20"/>
      <c r="F1444" s="20"/>
      <c r="G1444" s="20" t="str">
        <f aca="false">IF(COUNTBLANK(D1444:F1444)=3,"",IF(OR(D1444="Fail",E1444="Fail",F1444="Fail"),"Fail",IF(AND(D1444="Pass",E1444="Pass",F1444="Pass"),"Pass","Incomplete")))</f>
        <v/>
      </c>
      <c r="H1444" s="18"/>
      <c r="I1444" s="18"/>
    </row>
    <row r="1445" customFormat="false" ht="15.75" hidden="false" customHeight="true" outlineLevel="0" collapsed="false">
      <c r="A1445" s="18"/>
      <c r="B1445" s="18"/>
      <c r="C1445" s="19"/>
      <c r="D1445" s="20"/>
      <c r="E1445" s="20"/>
      <c r="F1445" s="20"/>
      <c r="G1445" s="20" t="str">
        <f aca="false">IF(COUNTBLANK(D1445:F1445)=3,"",IF(OR(D1445="Fail",E1445="Fail",F1445="Fail"),"Fail",IF(AND(D1445="Pass",E1445="Pass",F1445="Pass"),"Pass","Incomplete")))</f>
        <v/>
      </c>
      <c r="H1445" s="18"/>
      <c r="I1445" s="18"/>
    </row>
    <row r="1446" customFormat="false" ht="15.75" hidden="false" customHeight="true" outlineLevel="0" collapsed="false">
      <c r="A1446" s="18"/>
      <c r="B1446" s="18"/>
      <c r="C1446" s="19"/>
      <c r="D1446" s="20"/>
      <c r="E1446" s="20"/>
      <c r="F1446" s="20"/>
      <c r="G1446" s="20" t="str">
        <f aca="false">IF(COUNTBLANK(D1446:F1446)=3,"",IF(OR(D1446="Fail",E1446="Fail",F1446="Fail"),"Fail",IF(AND(D1446="Pass",E1446="Pass",F1446="Pass"),"Pass","Incomplete")))</f>
        <v/>
      </c>
      <c r="H1446" s="18"/>
      <c r="I1446" s="18"/>
    </row>
    <row r="1447" customFormat="false" ht="15.75" hidden="false" customHeight="true" outlineLevel="0" collapsed="false">
      <c r="A1447" s="18"/>
      <c r="B1447" s="18"/>
      <c r="C1447" s="19"/>
      <c r="D1447" s="20"/>
      <c r="E1447" s="20"/>
      <c r="F1447" s="20"/>
      <c r="G1447" s="20" t="str">
        <f aca="false">IF(COUNTBLANK(D1447:F1447)=3,"",IF(OR(D1447="Fail",E1447="Fail",F1447="Fail"),"Fail",IF(AND(D1447="Pass",E1447="Pass",F1447="Pass"),"Pass","Incomplete")))</f>
        <v/>
      </c>
      <c r="H1447" s="18"/>
      <c r="I1447" s="18"/>
    </row>
    <row r="1448" customFormat="false" ht="15.75" hidden="false" customHeight="true" outlineLevel="0" collapsed="false">
      <c r="A1448" s="18"/>
      <c r="B1448" s="18"/>
      <c r="C1448" s="19"/>
      <c r="D1448" s="20"/>
      <c r="E1448" s="20"/>
      <c r="F1448" s="20"/>
      <c r="G1448" s="20" t="str">
        <f aca="false">IF(COUNTBLANK(D1448:F1448)=3,"",IF(OR(D1448="Fail",E1448="Fail",F1448="Fail"),"Fail",IF(AND(D1448="Pass",E1448="Pass",F1448="Pass"),"Pass","Incomplete")))</f>
        <v/>
      </c>
      <c r="H1448" s="18"/>
      <c r="I1448" s="18"/>
    </row>
    <row r="1449" customFormat="false" ht="15.75" hidden="false" customHeight="true" outlineLevel="0" collapsed="false">
      <c r="A1449" s="18"/>
      <c r="B1449" s="18"/>
      <c r="C1449" s="19"/>
      <c r="D1449" s="20"/>
      <c r="E1449" s="20"/>
      <c r="F1449" s="20"/>
      <c r="G1449" s="20" t="str">
        <f aca="false">IF(COUNTBLANK(D1449:F1449)=3,"",IF(OR(D1449="Fail",E1449="Fail",F1449="Fail"),"Fail",IF(AND(D1449="Pass",E1449="Pass",F1449="Pass"),"Pass","Incomplete")))</f>
        <v/>
      </c>
      <c r="H1449" s="18"/>
      <c r="I1449" s="18"/>
    </row>
    <row r="1450" customFormat="false" ht="15.75" hidden="false" customHeight="true" outlineLevel="0" collapsed="false">
      <c r="A1450" s="18"/>
      <c r="B1450" s="18"/>
      <c r="C1450" s="19"/>
      <c r="D1450" s="20"/>
      <c r="E1450" s="20"/>
      <c r="F1450" s="20"/>
      <c r="G1450" s="20" t="str">
        <f aca="false">IF(COUNTBLANK(D1450:F1450)=3,"",IF(OR(D1450="Fail",E1450="Fail",F1450="Fail"),"Fail",IF(AND(D1450="Pass",E1450="Pass",F1450="Pass"),"Pass","Incomplete")))</f>
        <v/>
      </c>
      <c r="H1450" s="18"/>
      <c r="I1450" s="18"/>
    </row>
    <row r="1451" customFormat="false" ht="15.75" hidden="false" customHeight="true" outlineLevel="0" collapsed="false">
      <c r="A1451" s="18"/>
      <c r="B1451" s="18"/>
      <c r="C1451" s="19"/>
      <c r="D1451" s="20"/>
      <c r="E1451" s="20"/>
      <c r="F1451" s="20"/>
      <c r="G1451" s="20" t="str">
        <f aca="false">IF(COUNTBLANK(D1451:F1451)=3,"",IF(OR(D1451="Fail",E1451="Fail",F1451="Fail"),"Fail",IF(AND(D1451="Pass",E1451="Pass",F1451="Pass"),"Pass","Incomplete")))</f>
        <v/>
      </c>
      <c r="H1451" s="18"/>
      <c r="I1451" s="18"/>
    </row>
    <row r="1452" customFormat="false" ht="15.75" hidden="false" customHeight="true" outlineLevel="0" collapsed="false">
      <c r="A1452" s="18"/>
      <c r="B1452" s="18"/>
      <c r="C1452" s="19"/>
      <c r="D1452" s="20"/>
      <c r="E1452" s="20"/>
      <c r="F1452" s="20"/>
      <c r="G1452" s="20" t="str">
        <f aca="false">IF(COUNTBLANK(D1452:F1452)=3,"",IF(OR(D1452="Fail",E1452="Fail",F1452="Fail"),"Fail",IF(AND(D1452="Pass",E1452="Pass",F1452="Pass"),"Pass","Incomplete")))</f>
        <v/>
      </c>
      <c r="H1452" s="18"/>
      <c r="I1452" s="18"/>
    </row>
    <row r="1453" customFormat="false" ht="15.75" hidden="false" customHeight="true" outlineLevel="0" collapsed="false">
      <c r="A1453" s="18"/>
      <c r="B1453" s="18"/>
      <c r="C1453" s="19"/>
      <c r="D1453" s="20"/>
      <c r="E1453" s="20"/>
      <c r="F1453" s="20"/>
      <c r="G1453" s="20" t="str">
        <f aca="false">IF(COUNTBLANK(D1453:F1453)=3,"",IF(OR(D1453="Fail",E1453="Fail",F1453="Fail"),"Fail",IF(AND(D1453="Pass",E1453="Pass",F1453="Pass"),"Pass","Incomplete")))</f>
        <v/>
      </c>
      <c r="H1453" s="18"/>
      <c r="I1453" s="18"/>
    </row>
    <row r="1454" customFormat="false" ht="15.75" hidden="false" customHeight="true" outlineLevel="0" collapsed="false">
      <c r="A1454" s="18"/>
      <c r="B1454" s="18"/>
      <c r="C1454" s="19"/>
      <c r="D1454" s="20"/>
      <c r="E1454" s="20"/>
      <c r="F1454" s="20"/>
      <c r="G1454" s="20" t="str">
        <f aca="false">IF(COUNTBLANK(D1454:F1454)=3,"",IF(OR(D1454="Fail",E1454="Fail",F1454="Fail"),"Fail",IF(AND(D1454="Pass",E1454="Pass",F1454="Pass"),"Pass","Incomplete")))</f>
        <v/>
      </c>
      <c r="H1454" s="18"/>
      <c r="I1454" s="18"/>
    </row>
    <row r="1455" customFormat="false" ht="15.75" hidden="false" customHeight="true" outlineLevel="0" collapsed="false">
      <c r="A1455" s="18"/>
      <c r="B1455" s="18"/>
      <c r="C1455" s="19"/>
      <c r="D1455" s="20"/>
      <c r="E1455" s="20"/>
      <c r="F1455" s="20"/>
      <c r="G1455" s="20" t="str">
        <f aca="false">IF(COUNTBLANK(D1455:F1455)=3,"",IF(OR(D1455="Fail",E1455="Fail",F1455="Fail"),"Fail",IF(AND(D1455="Pass",E1455="Pass",F1455="Pass"),"Pass","Incomplete")))</f>
        <v/>
      </c>
      <c r="H1455" s="18"/>
      <c r="I1455" s="18"/>
    </row>
    <row r="1456" customFormat="false" ht="15.75" hidden="false" customHeight="true" outlineLevel="0" collapsed="false">
      <c r="A1456" s="18"/>
      <c r="B1456" s="18"/>
      <c r="C1456" s="19"/>
      <c r="D1456" s="20"/>
      <c r="E1456" s="20"/>
      <c r="F1456" s="20"/>
      <c r="G1456" s="20" t="str">
        <f aca="false">IF(COUNTBLANK(D1456:F1456)=3,"",IF(OR(D1456="Fail",E1456="Fail",F1456="Fail"),"Fail",IF(AND(D1456="Pass",E1456="Pass",F1456="Pass"),"Pass","Incomplete")))</f>
        <v/>
      </c>
      <c r="H1456" s="18"/>
      <c r="I1456" s="18"/>
    </row>
    <row r="1457" customFormat="false" ht="15.75" hidden="false" customHeight="true" outlineLevel="0" collapsed="false">
      <c r="A1457" s="18"/>
      <c r="B1457" s="18"/>
      <c r="C1457" s="19"/>
      <c r="D1457" s="20"/>
      <c r="E1457" s="20"/>
      <c r="F1457" s="20"/>
      <c r="G1457" s="20" t="str">
        <f aca="false">IF(COUNTBLANK(D1457:F1457)=3,"",IF(OR(D1457="Fail",E1457="Fail",F1457="Fail"),"Fail",IF(AND(D1457="Pass",E1457="Pass",F1457="Pass"),"Pass","Incomplete")))</f>
        <v/>
      </c>
      <c r="H1457" s="18"/>
      <c r="I1457" s="18"/>
    </row>
    <row r="1458" customFormat="false" ht="15.75" hidden="false" customHeight="true" outlineLevel="0" collapsed="false">
      <c r="A1458" s="18"/>
      <c r="B1458" s="18"/>
      <c r="C1458" s="19"/>
      <c r="D1458" s="20"/>
      <c r="E1458" s="20"/>
      <c r="F1458" s="20"/>
      <c r="G1458" s="20" t="str">
        <f aca="false">IF(COUNTBLANK(D1458:F1458)=3,"",IF(OR(D1458="Fail",E1458="Fail",F1458="Fail"),"Fail",IF(AND(D1458="Pass",E1458="Pass",F1458="Pass"),"Pass","Incomplete")))</f>
        <v/>
      </c>
      <c r="H1458" s="18"/>
      <c r="I1458" s="18"/>
    </row>
    <row r="1459" customFormat="false" ht="15.75" hidden="false" customHeight="true" outlineLevel="0" collapsed="false">
      <c r="A1459" s="18"/>
      <c r="B1459" s="18"/>
      <c r="C1459" s="19"/>
      <c r="D1459" s="20"/>
      <c r="E1459" s="20"/>
      <c r="F1459" s="20"/>
      <c r="G1459" s="20" t="str">
        <f aca="false">IF(COUNTBLANK(D1459:F1459)=3,"",IF(OR(D1459="Fail",E1459="Fail",F1459="Fail"),"Fail",IF(AND(D1459="Pass",E1459="Pass",F1459="Pass"),"Pass","Incomplete")))</f>
        <v/>
      </c>
      <c r="H1459" s="18"/>
      <c r="I1459" s="18"/>
    </row>
    <row r="1460" customFormat="false" ht="15.75" hidden="false" customHeight="true" outlineLevel="0" collapsed="false">
      <c r="A1460" s="18"/>
      <c r="B1460" s="18"/>
      <c r="C1460" s="19"/>
      <c r="D1460" s="20"/>
      <c r="E1460" s="20"/>
      <c r="F1460" s="20"/>
      <c r="G1460" s="20" t="str">
        <f aca="false">IF(COUNTBLANK(D1460:F1460)=3,"",IF(OR(D1460="Fail",E1460="Fail",F1460="Fail"),"Fail",IF(AND(D1460="Pass",E1460="Pass",F1460="Pass"),"Pass","Incomplete")))</f>
        <v/>
      </c>
      <c r="H1460" s="18"/>
      <c r="I1460" s="18"/>
    </row>
    <row r="1461" customFormat="false" ht="15.75" hidden="false" customHeight="true" outlineLevel="0" collapsed="false">
      <c r="A1461" s="18"/>
      <c r="B1461" s="18"/>
      <c r="C1461" s="19"/>
      <c r="D1461" s="20"/>
      <c r="E1461" s="20"/>
      <c r="F1461" s="20"/>
      <c r="G1461" s="20" t="str">
        <f aca="false">IF(COUNTBLANK(D1461:F1461)=3,"",IF(OR(D1461="Fail",E1461="Fail",F1461="Fail"),"Fail",IF(AND(D1461="Pass",E1461="Pass",F1461="Pass"),"Pass","Incomplete")))</f>
        <v/>
      </c>
      <c r="H1461" s="18"/>
      <c r="I1461" s="18"/>
    </row>
    <row r="1462" customFormat="false" ht="15.75" hidden="false" customHeight="true" outlineLevel="0" collapsed="false">
      <c r="A1462" s="18"/>
      <c r="B1462" s="18"/>
      <c r="C1462" s="19"/>
      <c r="D1462" s="20"/>
      <c r="E1462" s="20"/>
      <c r="F1462" s="20"/>
      <c r="G1462" s="20" t="str">
        <f aca="false">IF(COUNTBLANK(D1462:F1462)=3,"",IF(OR(D1462="Fail",E1462="Fail",F1462="Fail"),"Fail",IF(AND(D1462="Pass",E1462="Pass",F1462="Pass"),"Pass","Incomplete")))</f>
        <v/>
      </c>
      <c r="H1462" s="18"/>
      <c r="I1462" s="18"/>
    </row>
    <row r="1463" customFormat="false" ht="15.75" hidden="false" customHeight="true" outlineLevel="0" collapsed="false">
      <c r="A1463" s="18"/>
      <c r="B1463" s="18"/>
      <c r="C1463" s="19"/>
      <c r="D1463" s="20"/>
      <c r="E1463" s="20"/>
      <c r="F1463" s="20"/>
      <c r="G1463" s="20" t="str">
        <f aca="false">IF(COUNTBLANK(D1463:F1463)=3,"",IF(OR(D1463="Fail",E1463="Fail",F1463="Fail"),"Fail",IF(AND(D1463="Pass",E1463="Pass",F1463="Pass"),"Pass","Incomplete")))</f>
        <v/>
      </c>
      <c r="H1463" s="18"/>
      <c r="I1463" s="18"/>
    </row>
    <row r="1464" customFormat="false" ht="15.75" hidden="false" customHeight="true" outlineLevel="0" collapsed="false">
      <c r="A1464" s="18"/>
      <c r="B1464" s="18"/>
      <c r="C1464" s="19"/>
      <c r="D1464" s="20"/>
      <c r="E1464" s="20"/>
      <c r="F1464" s="20"/>
      <c r="G1464" s="20" t="str">
        <f aca="false">IF(COUNTBLANK(D1464:F1464)=3,"",IF(OR(D1464="Fail",E1464="Fail",F1464="Fail"),"Fail",IF(AND(D1464="Pass",E1464="Pass",F1464="Pass"),"Pass","Incomplete")))</f>
        <v/>
      </c>
      <c r="H1464" s="18"/>
      <c r="I1464" s="18"/>
    </row>
    <row r="1465" customFormat="false" ht="15.75" hidden="false" customHeight="true" outlineLevel="0" collapsed="false">
      <c r="A1465" s="18"/>
      <c r="B1465" s="18"/>
      <c r="C1465" s="19"/>
      <c r="D1465" s="20"/>
      <c r="E1465" s="20"/>
      <c r="F1465" s="20"/>
      <c r="G1465" s="20" t="str">
        <f aca="false">IF(COUNTBLANK(D1465:F1465)=3,"",IF(OR(D1465="Fail",E1465="Fail",F1465="Fail"),"Fail",IF(AND(D1465="Pass",E1465="Pass",F1465="Pass"),"Pass","Incomplete")))</f>
        <v/>
      </c>
      <c r="H1465" s="18"/>
      <c r="I1465" s="18"/>
    </row>
    <row r="1466" customFormat="false" ht="15.75" hidden="false" customHeight="true" outlineLevel="0" collapsed="false">
      <c r="A1466" s="18"/>
      <c r="B1466" s="18"/>
      <c r="C1466" s="19"/>
      <c r="D1466" s="20"/>
      <c r="E1466" s="20"/>
      <c r="F1466" s="20"/>
      <c r="G1466" s="20" t="str">
        <f aca="false">IF(COUNTBLANK(D1466:F1466)=3,"",IF(OR(D1466="Fail",E1466="Fail",F1466="Fail"),"Fail",IF(AND(D1466="Pass",E1466="Pass",F1466="Pass"),"Pass","Incomplete")))</f>
        <v/>
      </c>
      <c r="H1466" s="18"/>
      <c r="I1466" s="18"/>
    </row>
    <row r="1467" customFormat="false" ht="15.75" hidden="false" customHeight="true" outlineLevel="0" collapsed="false">
      <c r="A1467" s="18"/>
      <c r="B1467" s="18"/>
      <c r="C1467" s="19"/>
      <c r="D1467" s="20"/>
      <c r="E1467" s="20"/>
      <c r="F1467" s="20"/>
      <c r="G1467" s="20" t="str">
        <f aca="false">IF(COUNTBLANK(D1467:F1467)=3,"",IF(OR(D1467="Fail",E1467="Fail",F1467="Fail"),"Fail",IF(AND(D1467="Pass",E1467="Pass",F1467="Pass"),"Pass","Incomplete")))</f>
        <v/>
      </c>
      <c r="H1467" s="18"/>
      <c r="I1467" s="18"/>
    </row>
    <row r="1468" customFormat="false" ht="15.75" hidden="false" customHeight="true" outlineLevel="0" collapsed="false">
      <c r="A1468" s="18"/>
      <c r="B1468" s="18"/>
      <c r="C1468" s="19"/>
      <c r="D1468" s="20"/>
      <c r="E1468" s="20"/>
      <c r="F1468" s="20"/>
      <c r="G1468" s="20" t="str">
        <f aca="false">IF(COUNTBLANK(D1468:F1468)=3,"",IF(OR(D1468="Fail",E1468="Fail",F1468="Fail"),"Fail",IF(AND(D1468="Pass",E1468="Pass",F1468="Pass"),"Pass","Incomplete")))</f>
        <v/>
      </c>
      <c r="H1468" s="18"/>
      <c r="I1468" s="18"/>
    </row>
    <row r="1469" customFormat="false" ht="15.75" hidden="false" customHeight="true" outlineLevel="0" collapsed="false">
      <c r="A1469" s="18"/>
      <c r="B1469" s="18"/>
      <c r="C1469" s="19"/>
      <c r="D1469" s="20"/>
      <c r="E1469" s="20"/>
      <c r="F1469" s="20"/>
      <c r="G1469" s="20" t="str">
        <f aca="false">IF(COUNTBLANK(D1469:F1469)=3,"",IF(OR(D1469="Fail",E1469="Fail",F1469="Fail"),"Fail",IF(AND(D1469="Pass",E1469="Pass",F1469="Pass"),"Pass","Incomplete")))</f>
        <v/>
      </c>
      <c r="H1469" s="18"/>
      <c r="I1469" s="18"/>
    </row>
    <row r="1470" customFormat="false" ht="15.75" hidden="false" customHeight="true" outlineLevel="0" collapsed="false">
      <c r="A1470" s="18"/>
      <c r="B1470" s="18"/>
      <c r="C1470" s="19"/>
      <c r="D1470" s="20"/>
      <c r="E1470" s="20"/>
      <c r="F1470" s="20"/>
      <c r="G1470" s="20" t="str">
        <f aca="false">IF(COUNTBLANK(D1470:F1470)=3,"",IF(OR(D1470="Fail",E1470="Fail",F1470="Fail"),"Fail",IF(AND(D1470="Pass",E1470="Pass",F1470="Pass"),"Pass","Incomplete")))</f>
        <v/>
      </c>
      <c r="H1470" s="18"/>
      <c r="I1470" s="18"/>
    </row>
    <row r="1471" customFormat="false" ht="15.75" hidden="false" customHeight="true" outlineLevel="0" collapsed="false">
      <c r="A1471" s="18"/>
      <c r="B1471" s="18"/>
      <c r="C1471" s="19"/>
      <c r="D1471" s="20"/>
      <c r="E1471" s="20"/>
      <c r="F1471" s="20"/>
      <c r="G1471" s="20" t="str">
        <f aca="false">IF(COUNTBLANK(D1471:F1471)=3,"",IF(OR(D1471="Fail",E1471="Fail",F1471="Fail"),"Fail",IF(AND(D1471="Pass",E1471="Pass",F1471="Pass"),"Pass","Incomplete")))</f>
        <v/>
      </c>
      <c r="H1471" s="18"/>
      <c r="I1471" s="18"/>
    </row>
    <row r="1472" customFormat="false" ht="15.75" hidden="false" customHeight="true" outlineLevel="0" collapsed="false">
      <c r="A1472" s="18"/>
      <c r="B1472" s="18"/>
      <c r="C1472" s="19"/>
      <c r="D1472" s="20"/>
      <c r="E1472" s="20"/>
      <c r="F1472" s="20"/>
      <c r="G1472" s="20" t="str">
        <f aca="false">IF(COUNTBLANK(D1472:F1472)=3,"",IF(OR(D1472="Fail",E1472="Fail",F1472="Fail"),"Fail",IF(AND(D1472="Pass",E1472="Pass",F1472="Pass"),"Pass","Incomplete")))</f>
        <v/>
      </c>
      <c r="H1472" s="18"/>
      <c r="I1472" s="18"/>
    </row>
    <row r="1473" customFormat="false" ht="15.75" hidden="false" customHeight="true" outlineLevel="0" collapsed="false">
      <c r="A1473" s="18"/>
      <c r="B1473" s="18"/>
      <c r="C1473" s="19"/>
      <c r="D1473" s="20"/>
      <c r="E1473" s="20"/>
      <c r="F1473" s="20"/>
      <c r="G1473" s="20" t="str">
        <f aca="false">IF(COUNTBLANK(D1473:F1473)=3,"",IF(OR(D1473="Fail",E1473="Fail",F1473="Fail"),"Fail",IF(AND(D1473="Pass",E1473="Pass",F1473="Pass"),"Pass","Incomplete")))</f>
        <v/>
      </c>
      <c r="H1473" s="18"/>
      <c r="I1473" s="18"/>
    </row>
    <row r="1474" customFormat="false" ht="15.75" hidden="false" customHeight="true" outlineLevel="0" collapsed="false">
      <c r="A1474" s="18"/>
      <c r="B1474" s="18"/>
      <c r="C1474" s="19"/>
      <c r="D1474" s="20"/>
      <c r="E1474" s="20"/>
      <c r="F1474" s="20"/>
      <c r="G1474" s="20" t="str">
        <f aca="false">IF(COUNTBLANK(D1474:F1474)=3,"",IF(OR(D1474="Fail",E1474="Fail",F1474="Fail"),"Fail",IF(AND(D1474="Pass",E1474="Pass",F1474="Pass"),"Pass","Incomplete")))</f>
        <v/>
      </c>
      <c r="H1474" s="18"/>
      <c r="I1474" s="18"/>
    </row>
    <row r="1475" customFormat="false" ht="15.75" hidden="false" customHeight="true" outlineLevel="0" collapsed="false">
      <c r="A1475" s="18"/>
      <c r="B1475" s="18"/>
      <c r="C1475" s="19"/>
      <c r="D1475" s="20"/>
      <c r="E1475" s="20"/>
      <c r="F1475" s="20"/>
      <c r="G1475" s="20" t="str">
        <f aca="false">IF(COUNTBLANK(D1475:F1475)=3,"",IF(OR(D1475="Fail",E1475="Fail",F1475="Fail"),"Fail",IF(AND(D1475="Pass",E1475="Pass",F1475="Pass"),"Pass","Incomplete")))</f>
        <v/>
      </c>
      <c r="H1475" s="18"/>
      <c r="I1475" s="18"/>
    </row>
    <row r="1476" customFormat="false" ht="15.75" hidden="false" customHeight="true" outlineLevel="0" collapsed="false">
      <c r="A1476" s="18"/>
      <c r="B1476" s="18"/>
      <c r="C1476" s="19"/>
      <c r="D1476" s="20"/>
      <c r="E1476" s="20"/>
      <c r="F1476" s="20"/>
      <c r="G1476" s="20" t="str">
        <f aca="false">IF(COUNTBLANK(D1476:F1476)=3,"",IF(OR(D1476="Fail",E1476="Fail",F1476="Fail"),"Fail",IF(AND(D1476="Pass",E1476="Pass",F1476="Pass"),"Pass","Incomplete")))</f>
        <v/>
      </c>
      <c r="H1476" s="18"/>
      <c r="I1476" s="18"/>
    </row>
    <row r="1477" customFormat="false" ht="15.75" hidden="false" customHeight="true" outlineLevel="0" collapsed="false">
      <c r="A1477" s="18"/>
      <c r="B1477" s="18"/>
      <c r="C1477" s="19"/>
      <c r="D1477" s="20"/>
      <c r="E1477" s="20"/>
      <c r="F1477" s="20"/>
      <c r="G1477" s="20" t="str">
        <f aca="false">IF(COUNTBLANK(D1477:F1477)=3,"",IF(OR(D1477="Fail",E1477="Fail",F1477="Fail"),"Fail",IF(AND(D1477="Pass",E1477="Pass",F1477="Pass"),"Pass","Incomplete")))</f>
        <v/>
      </c>
      <c r="H1477" s="18"/>
      <c r="I1477" s="18"/>
    </row>
    <row r="1478" customFormat="false" ht="15.75" hidden="false" customHeight="true" outlineLevel="0" collapsed="false">
      <c r="A1478" s="18"/>
      <c r="B1478" s="18"/>
      <c r="C1478" s="19"/>
      <c r="D1478" s="20"/>
      <c r="E1478" s="20"/>
      <c r="F1478" s="20"/>
      <c r="G1478" s="20" t="str">
        <f aca="false">IF(COUNTBLANK(D1478:F1478)=3,"",IF(OR(D1478="Fail",E1478="Fail",F1478="Fail"),"Fail",IF(AND(D1478="Pass",E1478="Pass",F1478="Pass"),"Pass","Incomplete")))</f>
        <v/>
      </c>
      <c r="H1478" s="18"/>
      <c r="I1478" s="18"/>
    </row>
    <row r="1479" customFormat="false" ht="15.75" hidden="false" customHeight="true" outlineLevel="0" collapsed="false">
      <c r="A1479" s="18"/>
      <c r="B1479" s="18"/>
      <c r="C1479" s="19"/>
      <c r="D1479" s="20"/>
      <c r="E1479" s="20"/>
      <c r="F1479" s="20"/>
      <c r="G1479" s="20" t="str">
        <f aca="false">IF(COUNTBLANK(D1479:F1479)=3,"",IF(OR(D1479="Fail",E1479="Fail",F1479="Fail"),"Fail",IF(AND(D1479="Pass",E1479="Pass",F1479="Pass"),"Pass","Incomplete")))</f>
        <v/>
      </c>
      <c r="H1479" s="18"/>
      <c r="I1479" s="18"/>
    </row>
    <row r="1480" customFormat="false" ht="15.75" hidden="false" customHeight="true" outlineLevel="0" collapsed="false">
      <c r="A1480" s="18"/>
      <c r="B1480" s="18"/>
      <c r="C1480" s="19"/>
      <c r="D1480" s="20"/>
      <c r="E1480" s="20"/>
      <c r="F1480" s="20"/>
      <c r="G1480" s="20" t="str">
        <f aca="false">IF(COUNTBLANK(D1480:F1480)=3,"",IF(OR(D1480="Fail",E1480="Fail",F1480="Fail"),"Fail",IF(AND(D1480="Pass",E1480="Pass",F1480="Pass"),"Pass","Incomplete")))</f>
        <v/>
      </c>
      <c r="H1480" s="18"/>
      <c r="I1480" s="18"/>
    </row>
    <row r="1481" customFormat="false" ht="15.75" hidden="false" customHeight="true" outlineLevel="0" collapsed="false">
      <c r="A1481" s="18"/>
      <c r="B1481" s="18"/>
      <c r="C1481" s="19"/>
      <c r="D1481" s="20"/>
      <c r="E1481" s="20"/>
      <c r="F1481" s="20"/>
      <c r="G1481" s="20" t="str">
        <f aca="false">IF(COUNTBLANK(D1481:F1481)=3,"",IF(OR(D1481="Fail",E1481="Fail",F1481="Fail"),"Fail",IF(AND(D1481="Pass",E1481="Pass",F1481="Pass"),"Pass","Incomplete")))</f>
        <v/>
      </c>
      <c r="H1481" s="18"/>
      <c r="I1481" s="18"/>
    </row>
    <row r="1482" customFormat="false" ht="15.75" hidden="false" customHeight="true" outlineLevel="0" collapsed="false">
      <c r="A1482" s="18"/>
      <c r="B1482" s="18"/>
      <c r="C1482" s="19"/>
      <c r="D1482" s="20"/>
      <c r="E1482" s="20"/>
      <c r="F1482" s="20"/>
      <c r="G1482" s="20" t="str">
        <f aca="false">IF(COUNTBLANK(D1482:F1482)=3,"",IF(OR(D1482="Fail",E1482="Fail",F1482="Fail"),"Fail",IF(AND(D1482="Pass",E1482="Pass",F1482="Pass"),"Pass","Incomplete")))</f>
        <v/>
      </c>
      <c r="H1482" s="18"/>
      <c r="I1482" s="18"/>
    </row>
    <row r="1483" customFormat="false" ht="15.75" hidden="false" customHeight="true" outlineLevel="0" collapsed="false">
      <c r="A1483" s="18"/>
      <c r="B1483" s="18"/>
      <c r="C1483" s="19"/>
      <c r="D1483" s="20"/>
      <c r="E1483" s="20"/>
      <c r="F1483" s="20"/>
      <c r="G1483" s="20" t="str">
        <f aca="false">IF(COUNTBLANK(D1483:F1483)=3,"",IF(OR(D1483="Fail",E1483="Fail",F1483="Fail"),"Fail",IF(AND(D1483="Pass",E1483="Pass",F1483="Pass"),"Pass","Incomplete")))</f>
        <v/>
      </c>
      <c r="H1483" s="18"/>
      <c r="I1483" s="18"/>
    </row>
    <row r="1484" customFormat="false" ht="15.75" hidden="false" customHeight="true" outlineLevel="0" collapsed="false">
      <c r="A1484" s="18"/>
      <c r="B1484" s="18"/>
      <c r="C1484" s="19"/>
      <c r="D1484" s="20"/>
      <c r="E1484" s="20"/>
      <c r="F1484" s="20"/>
      <c r="G1484" s="20" t="str">
        <f aca="false">IF(COUNTBLANK(D1484:F1484)=3,"",IF(OR(D1484="Fail",E1484="Fail",F1484="Fail"),"Fail",IF(AND(D1484="Pass",E1484="Pass",F1484="Pass"),"Pass","Incomplete")))</f>
        <v/>
      </c>
      <c r="H1484" s="18"/>
      <c r="I1484" s="18"/>
    </row>
    <row r="1485" customFormat="false" ht="15.75" hidden="false" customHeight="true" outlineLevel="0" collapsed="false">
      <c r="A1485" s="18"/>
      <c r="B1485" s="18"/>
      <c r="C1485" s="19"/>
      <c r="D1485" s="20"/>
      <c r="E1485" s="20"/>
      <c r="F1485" s="20"/>
      <c r="G1485" s="20" t="str">
        <f aca="false">IF(COUNTBLANK(D1485:F1485)=3,"",IF(OR(D1485="Fail",E1485="Fail",F1485="Fail"),"Fail",IF(AND(D1485="Pass",E1485="Pass",F1485="Pass"),"Pass","Incomplete")))</f>
        <v/>
      </c>
      <c r="H1485" s="18"/>
      <c r="I1485" s="18"/>
    </row>
    <row r="1486" customFormat="false" ht="15.75" hidden="false" customHeight="true" outlineLevel="0" collapsed="false">
      <c r="A1486" s="18"/>
      <c r="B1486" s="18"/>
      <c r="C1486" s="19"/>
      <c r="D1486" s="20"/>
      <c r="E1486" s="20"/>
      <c r="F1486" s="20"/>
      <c r="G1486" s="20" t="str">
        <f aca="false">IF(COUNTBLANK(D1486:F1486)=3,"",IF(OR(D1486="Fail",E1486="Fail",F1486="Fail"),"Fail",IF(AND(D1486="Pass",E1486="Pass",F1486="Pass"),"Pass","Incomplete")))</f>
        <v/>
      </c>
      <c r="H1486" s="18"/>
      <c r="I1486" s="18"/>
    </row>
    <row r="1487" customFormat="false" ht="15.75" hidden="false" customHeight="true" outlineLevel="0" collapsed="false">
      <c r="A1487" s="18"/>
      <c r="B1487" s="18"/>
      <c r="C1487" s="19"/>
      <c r="D1487" s="20"/>
      <c r="E1487" s="20"/>
      <c r="F1487" s="20"/>
      <c r="G1487" s="20" t="str">
        <f aca="false">IF(COUNTBLANK(D1487:F1487)=3,"",IF(OR(D1487="Fail",E1487="Fail",F1487="Fail"),"Fail",IF(AND(D1487="Pass",E1487="Pass",F1487="Pass"),"Pass","Incomplete")))</f>
        <v/>
      </c>
      <c r="H1487" s="18"/>
      <c r="I1487" s="18"/>
    </row>
    <row r="1488" customFormat="false" ht="15.75" hidden="false" customHeight="true" outlineLevel="0" collapsed="false">
      <c r="A1488" s="18"/>
      <c r="B1488" s="18"/>
      <c r="C1488" s="19"/>
      <c r="D1488" s="20"/>
      <c r="E1488" s="20"/>
      <c r="F1488" s="20"/>
      <c r="G1488" s="20" t="str">
        <f aca="false">IF(COUNTBLANK(D1488:F1488)=3,"",IF(OR(D1488="Fail",E1488="Fail",F1488="Fail"),"Fail",IF(AND(D1488="Pass",E1488="Pass",F1488="Pass"),"Pass","Incomplete")))</f>
        <v/>
      </c>
      <c r="H1488" s="18"/>
      <c r="I1488" s="18"/>
    </row>
    <row r="1489" customFormat="false" ht="15.75" hidden="false" customHeight="true" outlineLevel="0" collapsed="false">
      <c r="A1489" s="18"/>
      <c r="B1489" s="18"/>
      <c r="C1489" s="19"/>
      <c r="D1489" s="20"/>
      <c r="E1489" s="20"/>
      <c r="F1489" s="20"/>
      <c r="G1489" s="20" t="str">
        <f aca="false">IF(COUNTBLANK(D1489:F1489)=3,"",IF(OR(D1489="Fail",E1489="Fail",F1489="Fail"),"Fail",IF(AND(D1489="Pass",E1489="Pass",F1489="Pass"),"Pass","Incomplete")))</f>
        <v/>
      </c>
      <c r="H1489" s="18"/>
      <c r="I1489" s="18"/>
    </row>
    <row r="1490" customFormat="false" ht="15.75" hidden="false" customHeight="true" outlineLevel="0" collapsed="false">
      <c r="A1490" s="18"/>
      <c r="B1490" s="18"/>
      <c r="C1490" s="19"/>
      <c r="D1490" s="20"/>
      <c r="E1490" s="20"/>
      <c r="F1490" s="20"/>
      <c r="G1490" s="20" t="str">
        <f aca="false">IF(COUNTBLANK(D1490:F1490)=3,"",IF(OR(D1490="Fail",E1490="Fail",F1490="Fail"),"Fail",IF(AND(D1490="Pass",E1490="Pass",F1490="Pass"),"Pass","Incomplete")))</f>
        <v/>
      </c>
      <c r="H1490" s="18"/>
      <c r="I1490" s="18"/>
    </row>
    <row r="1491" customFormat="false" ht="15.75" hidden="false" customHeight="true" outlineLevel="0" collapsed="false">
      <c r="A1491" s="18"/>
      <c r="B1491" s="18"/>
      <c r="C1491" s="19"/>
      <c r="D1491" s="20"/>
      <c r="E1491" s="20"/>
      <c r="F1491" s="20"/>
      <c r="G1491" s="20" t="str">
        <f aca="false">IF(COUNTBLANK(D1491:F1491)=3,"",IF(OR(D1491="Fail",E1491="Fail",F1491="Fail"),"Fail",IF(AND(D1491="Pass",E1491="Pass",F1491="Pass"),"Pass","Incomplete")))</f>
        <v/>
      </c>
      <c r="H1491" s="18"/>
      <c r="I1491" s="18"/>
    </row>
    <row r="1492" customFormat="false" ht="15.75" hidden="false" customHeight="true" outlineLevel="0" collapsed="false">
      <c r="A1492" s="18"/>
      <c r="B1492" s="18"/>
      <c r="C1492" s="19"/>
      <c r="D1492" s="20"/>
      <c r="E1492" s="20"/>
      <c r="F1492" s="20"/>
      <c r="G1492" s="20" t="str">
        <f aca="false">IF(COUNTBLANK(D1492:F1492)=3,"",IF(OR(D1492="Fail",E1492="Fail",F1492="Fail"),"Fail",IF(AND(D1492="Pass",E1492="Pass",F1492="Pass"),"Pass","Incomplete")))</f>
        <v/>
      </c>
      <c r="H1492" s="18"/>
      <c r="I1492" s="18"/>
    </row>
    <row r="1493" customFormat="false" ht="15.75" hidden="false" customHeight="true" outlineLevel="0" collapsed="false">
      <c r="A1493" s="18"/>
      <c r="B1493" s="18"/>
      <c r="C1493" s="19"/>
      <c r="D1493" s="20"/>
      <c r="E1493" s="20"/>
      <c r="F1493" s="20"/>
      <c r="G1493" s="20" t="str">
        <f aca="false">IF(COUNTBLANK(D1493:F1493)=3,"",IF(OR(D1493="Fail",E1493="Fail",F1493="Fail"),"Fail",IF(AND(D1493="Pass",E1493="Pass",F1493="Pass"),"Pass","Incomplete")))</f>
        <v/>
      </c>
      <c r="H1493" s="18"/>
      <c r="I1493" s="18"/>
    </row>
    <row r="1494" customFormat="false" ht="15.75" hidden="false" customHeight="true" outlineLevel="0" collapsed="false">
      <c r="A1494" s="18"/>
      <c r="B1494" s="18"/>
      <c r="C1494" s="19"/>
      <c r="D1494" s="20"/>
      <c r="E1494" s="20"/>
      <c r="F1494" s="20"/>
      <c r="G1494" s="20" t="str">
        <f aca="false">IF(COUNTBLANK(D1494:F1494)=3,"",IF(OR(D1494="Fail",E1494="Fail",F1494="Fail"),"Fail",IF(AND(D1494="Pass",E1494="Pass",F1494="Pass"),"Pass","Incomplete")))</f>
        <v/>
      </c>
      <c r="H1494" s="18"/>
      <c r="I1494" s="18"/>
    </row>
    <row r="1495" customFormat="false" ht="15.75" hidden="false" customHeight="true" outlineLevel="0" collapsed="false">
      <c r="A1495" s="18"/>
      <c r="B1495" s="18"/>
      <c r="C1495" s="19"/>
      <c r="D1495" s="20"/>
      <c r="E1495" s="20"/>
      <c r="F1495" s="20"/>
      <c r="G1495" s="20" t="str">
        <f aca="false">IF(COUNTBLANK(D1495:F1495)=3,"",IF(OR(D1495="Fail",E1495="Fail",F1495="Fail"),"Fail",IF(AND(D1495="Pass",E1495="Pass",F1495="Pass"),"Pass","Incomplete")))</f>
        <v/>
      </c>
      <c r="H1495" s="18"/>
      <c r="I1495" s="18"/>
    </row>
    <row r="1496" customFormat="false" ht="15.75" hidden="false" customHeight="true" outlineLevel="0" collapsed="false">
      <c r="A1496" s="18"/>
      <c r="B1496" s="18"/>
      <c r="C1496" s="19"/>
      <c r="D1496" s="20"/>
      <c r="E1496" s="20"/>
      <c r="F1496" s="20"/>
      <c r="G1496" s="20" t="str">
        <f aca="false">IF(COUNTBLANK(D1496:F1496)=3,"",IF(OR(D1496="Fail",E1496="Fail",F1496="Fail"),"Fail",IF(AND(D1496="Pass",E1496="Pass",F1496="Pass"),"Pass","Incomplete")))</f>
        <v/>
      </c>
      <c r="H1496" s="18"/>
      <c r="I1496" s="18"/>
    </row>
    <row r="1497" customFormat="false" ht="15.75" hidden="false" customHeight="true" outlineLevel="0" collapsed="false">
      <c r="A1497" s="18"/>
      <c r="B1497" s="18"/>
      <c r="C1497" s="19"/>
      <c r="D1497" s="20"/>
      <c r="E1497" s="20"/>
      <c r="F1497" s="20"/>
      <c r="G1497" s="20" t="str">
        <f aca="false">IF(COUNTBLANK(D1497:F1497)=3,"",IF(OR(D1497="Fail",E1497="Fail",F1497="Fail"),"Fail",IF(AND(D1497="Pass",E1497="Pass",F1497="Pass"),"Pass","Incomplete")))</f>
        <v/>
      </c>
      <c r="H1497" s="18"/>
      <c r="I1497" s="18"/>
    </row>
    <row r="1498" customFormat="false" ht="15.75" hidden="false" customHeight="true" outlineLevel="0" collapsed="false">
      <c r="A1498" s="18"/>
      <c r="B1498" s="18"/>
      <c r="C1498" s="19"/>
      <c r="D1498" s="20"/>
      <c r="E1498" s="20"/>
      <c r="F1498" s="20"/>
      <c r="G1498" s="20" t="str">
        <f aca="false">IF(COUNTBLANK(D1498:F1498)=3,"",IF(OR(D1498="Fail",E1498="Fail",F1498="Fail"),"Fail",IF(AND(D1498="Pass",E1498="Pass",F1498="Pass"),"Pass","Incomplete")))</f>
        <v/>
      </c>
      <c r="H1498" s="18"/>
      <c r="I1498" s="18"/>
    </row>
    <row r="1499" customFormat="false" ht="15.75" hidden="false" customHeight="true" outlineLevel="0" collapsed="false">
      <c r="A1499" s="18"/>
      <c r="B1499" s="18"/>
      <c r="C1499" s="19"/>
      <c r="D1499" s="20"/>
      <c r="E1499" s="20"/>
      <c r="F1499" s="20"/>
      <c r="G1499" s="20" t="str">
        <f aca="false">IF(COUNTBLANK(D1499:F1499)=3,"",IF(OR(D1499="Fail",E1499="Fail",F1499="Fail"),"Fail",IF(AND(D1499="Pass",E1499="Pass",F1499="Pass"),"Pass","Incomplete")))</f>
        <v/>
      </c>
      <c r="H1499" s="18"/>
      <c r="I1499" s="18"/>
    </row>
    <row r="1500" customFormat="false" ht="15.75" hidden="false" customHeight="true" outlineLevel="0" collapsed="false">
      <c r="A1500" s="18"/>
      <c r="B1500" s="18"/>
      <c r="C1500" s="19"/>
      <c r="D1500" s="20"/>
      <c r="E1500" s="20"/>
      <c r="F1500" s="20"/>
      <c r="G1500" s="20" t="str">
        <f aca="false">IF(COUNTBLANK(D1500:F1500)=3,"",IF(OR(D1500="Fail",E1500="Fail",F1500="Fail"),"Fail",IF(AND(D1500="Pass",E1500="Pass",F1500="Pass"),"Pass","Incomplete")))</f>
        <v/>
      </c>
      <c r="H1500" s="18"/>
      <c r="I1500" s="18"/>
    </row>
    <row r="1501" customFormat="false" ht="15.75" hidden="false" customHeight="true" outlineLevel="0" collapsed="false">
      <c r="A1501" s="18"/>
      <c r="B1501" s="18"/>
      <c r="C1501" s="19"/>
      <c r="D1501" s="20"/>
      <c r="E1501" s="20"/>
      <c r="F1501" s="20"/>
      <c r="G1501" s="20" t="str">
        <f aca="false">IF(COUNTBLANK(D1501:F1501)=3,"",IF(OR(D1501="Fail",E1501="Fail",F1501="Fail"),"Fail",IF(AND(D1501="Pass",E1501="Pass",F1501="Pass"),"Pass","Incomplete")))</f>
        <v/>
      </c>
      <c r="H1501" s="18"/>
      <c r="I1501" s="18"/>
    </row>
    <row r="1502" customFormat="false" ht="15.75" hidden="false" customHeight="true" outlineLevel="0" collapsed="false">
      <c r="A1502" s="18"/>
      <c r="B1502" s="18"/>
      <c r="C1502" s="19"/>
      <c r="D1502" s="20"/>
      <c r="E1502" s="20"/>
      <c r="F1502" s="20"/>
      <c r="G1502" s="20" t="str">
        <f aca="false">IF(COUNTBLANK(D1502:F1502)=3,"",IF(OR(D1502="Fail",E1502="Fail",F1502="Fail"),"Fail",IF(AND(D1502="Pass",E1502="Pass",F1502="Pass"),"Pass","Incomplete")))</f>
        <v/>
      </c>
      <c r="H1502" s="18"/>
      <c r="I1502" s="18"/>
    </row>
    <row r="1503" customFormat="false" ht="15.75" hidden="false" customHeight="true" outlineLevel="0" collapsed="false">
      <c r="A1503" s="18"/>
      <c r="B1503" s="18"/>
      <c r="C1503" s="19"/>
      <c r="D1503" s="20"/>
      <c r="E1503" s="20"/>
      <c r="F1503" s="20"/>
      <c r="G1503" s="20" t="str">
        <f aca="false">IF(COUNTBLANK(D1503:F1503)=3,"",IF(OR(D1503="Fail",E1503="Fail",F1503="Fail"),"Fail",IF(AND(D1503="Pass",E1503="Pass",F1503="Pass"),"Pass","Incomplete")))</f>
        <v/>
      </c>
      <c r="H1503" s="18"/>
      <c r="I1503" s="18"/>
    </row>
    <row r="1504" customFormat="false" ht="15.75" hidden="false" customHeight="true" outlineLevel="0" collapsed="false">
      <c r="A1504" s="18"/>
      <c r="B1504" s="18"/>
      <c r="C1504" s="19"/>
      <c r="D1504" s="20"/>
      <c r="E1504" s="20"/>
      <c r="F1504" s="20"/>
      <c r="G1504" s="20" t="str">
        <f aca="false">IF(COUNTBLANK(D1504:F1504)=3,"",IF(OR(D1504="Fail",E1504="Fail",F1504="Fail"),"Fail",IF(AND(D1504="Pass",E1504="Pass",F1504="Pass"),"Pass","Incomplete")))</f>
        <v/>
      </c>
      <c r="H1504" s="18"/>
      <c r="I1504" s="18"/>
    </row>
    <row r="1505" customFormat="false" ht="15.75" hidden="false" customHeight="true" outlineLevel="0" collapsed="false">
      <c r="A1505" s="18"/>
      <c r="B1505" s="18"/>
      <c r="C1505" s="19"/>
      <c r="D1505" s="20"/>
      <c r="E1505" s="20"/>
      <c r="F1505" s="20"/>
      <c r="G1505" s="20" t="str">
        <f aca="false">IF(COUNTBLANK(D1505:F1505)=3,"",IF(OR(D1505="Fail",E1505="Fail",F1505="Fail"),"Fail",IF(AND(D1505="Pass",E1505="Pass",F1505="Pass"),"Pass","Incomplete")))</f>
        <v/>
      </c>
      <c r="H1505" s="18"/>
      <c r="I1505" s="18"/>
    </row>
    <row r="1506" customFormat="false" ht="15.75" hidden="false" customHeight="true" outlineLevel="0" collapsed="false">
      <c r="A1506" s="18"/>
      <c r="B1506" s="18"/>
      <c r="C1506" s="19"/>
      <c r="D1506" s="20"/>
      <c r="E1506" s="20"/>
      <c r="F1506" s="20"/>
      <c r="G1506" s="20" t="str">
        <f aca="false">IF(COUNTBLANK(D1506:F1506)=3,"",IF(OR(D1506="Fail",E1506="Fail",F1506="Fail"),"Fail",IF(AND(D1506="Pass",E1506="Pass",F1506="Pass"),"Pass","Incomplete")))</f>
        <v/>
      </c>
      <c r="H1506" s="18"/>
      <c r="I1506" s="18"/>
    </row>
    <row r="1507" customFormat="false" ht="15.75" hidden="false" customHeight="true" outlineLevel="0" collapsed="false">
      <c r="A1507" s="18"/>
      <c r="B1507" s="18"/>
      <c r="C1507" s="19"/>
      <c r="D1507" s="20"/>
      <c r="E1507" s="20"/>
      <c r="F1507" s="20"/>
      <c r="G1507" s="20" t="str">
        <f aca="false">IF(COUNTBLANK(D1507:F1507)=3,"",IF(OR(D1507="Fail",E1507="Fail",F1507="Fail"),"Fail",IF(AND(D1507="Pass",E1507="Pass",F1507="Pass"),"Pass","Incomplete")))</f>
        <v/>
      </c>
      <c r="H1507" s="18"/>
      <c r="I1507" s="18"/>
    </row>
    <row r="1508" customFormat="false" ht="15.75" hidden="false" customHeight="true" outlineLevel="0" collapsed="false">
      <c r="A1508" s="18"/>
      <c r="B1508" s="18"/>
      <c r="C1508" s="19"/>
      <c r="D1508" s="20"/>
      <c r="E1508" s="20"/>
      <c r="F1508" s="20"/>
      <c r="G1508" s="20" t="str">
        <f aca="false">IF(COUNTBLANK(D1508:F1508)=3,"",IF(OR(D1508="Fail",E1508="Fail",F1508="Fail"),"Fail",IF(AND(D1508="Pass",E1508="Pass",F1508="Pass"),"Pass","Incomplete")))</f>
        <v/>
      </c>
      <c r="H1508" s="18"/>
      <c r="I1508" s="18"/>
    </row>
    <row r="1509" customFormat="false" ht="15.75" hidden="false" customHeight="true" outlineLevel="0" collapsed="false">
      <c r="A1509" s="18"/>
      <c r="B1509" s="18"/>
      <c r="C1509" s="19"/>
      <c r="D1509" s="20"/>
      <c r="E1509" s="20"/>
      <c r="F1509" s="20"/>
      <c r="G1509" s="20" t="str">
        <f aca="false">IF(COUNTBLANK(D1509:F1509)=3,"",IF(OR(D1509="Fail",E1509="Fail",F1509="Fail"),"Fail",IF(AND(D1509="Pass",E1509="Pass",F1509="Pass"),"Pass","Incomplete")))</f>
        <v/>
      </c>
      <c r="H1509" s="18"/>
      <c r="I1509" s="18"/>
    </row>
    <row r="1510" customFormat="false" ht="15.75" hidden="false" customHeight="true" outlineLevel="0" collapsed="false">
      <c r="A1510" s="18"/>
      <c r="B1510" s="18"/>
      <c r="C1510" s="19"/>
      <c r="D1510" s="20"/>
      <c r="E1510" s="20"/>
      <c r="F1510" s="20"/>
      <c r="G1510" s="20" t="str">
        <f aca="false">IF(COUNTBLANK(D1510:F1510)=3,"",IF(OR(D1510="Fail",E1510="Fail",F1510="Fail"),"Fail",IF(AND(D1510="Pass",E1510="Pass",F1510="Pass"),"Pass","Incomplete")))</f>
        <v/>
      </c>
      <c r="H1510" s="18"/>
      <c r="I1510" s="18"/>
    </row>
    <row r="1511" customFormat="false" ht="15.75" hidden="false" customHeight="true" outlineLevel="0" collapsed="false">
      <c r="A1511" s="18"/>
      <c r="B1511" s="18"/>
      <c r="C1511" s="19"/>
      <c r="D1511" s="20"/>
      <c r="E1511" s="20"/>
      <c r="F1511" s="20"/>
      <c r="G1511" s="20" t="str">
        <f aca="false">IF(COUNTBLANK(D1511:F1511)=3,"",IF(OR(D1511="Fail",E1511="Fail",F1511="Fail"),"Fail",IF(AND(D1511="Pass",E1511="Pass",F1511="Pass"),"Pass","Incomplete")))</f>
        <v/>
      </c>
      <c r="H1511" s="18"/>
      <c r="I1511" s="18"/>
    </row>
    <row r="1512" customFormat="false" ht="15.75" hidden="false" customHeight="true" outlineLevel="0" collapsed="false">
      <c r="A1512" s="18"/>
      <c r="B1512" s="18"/>
      <c r="C1512" s="19"/>
      <c r="D1512" s="20"/>
      <c r="E1512" s="20"/>
      <c r="F1512" s="20"/>
      <c r="G1512" s="20" t="str">
        <f aca="false">IF(COUNTBLANK(D1512:F1512)=3,"",IF(OR(D1512="Fail",E1512="Fail",F1512="Fail"),"Fail",IF(AND(D1512="Pass",E1512="Pass",F1512="Pass"),"Pass","Incomplete")))</f>
        <v/>
      </c>
      <c r="H1512" s="18"/>
      <c r="I1512" s="18"/>
    </row>
    <row r="1513" customFormat="false" ht="15.75" hidden="false" customHeight="true" outlineLevel="0" collapsed="false">
      <c r="A1513" s="18"/>
      <c r="B1513" s="18"/>
      <c r="C1513" s="19"/>
      <c r="D1513" s="20"/>
      <c r="E1513" s="20"/>
      <c r="F1513" s="20"/>
      <c r="G1513" s="20" t="str">
        <f aca="false">IF(COUNTBLANK(D1513:F1513)=3,"",IF(OR(D1513="Fail",E1513="Fail",F1513="Fail"),"Fail",IF(AND(D1513="Pass",E1513="Pass",F1513="Pass"),"Pass","Incomplete")))</f>
        <v/>
      </c>
      <c r="H1513" s="18"/>
      <c r="I1513" s="18"/>
    </row>
    <row r="1514" customFormat="false" ht="15.75" hidden="false" customHeight="true" outlineLevel="0" collapsed="false">
      <c r="A1514" s="18"/>
      <c r="B1514" s="18"/>
      <c r="C1514" s="19"/>
      <c r="D1514" s="20"/>
      <c r="E1514" s="20"/>
      <c r="F1514" s="20"/>
      <c r="G1514" s="20" t="str">
        <f aca="false">IF(COUNTBLANK(D1514:F1514)=3,"",IF(OR(D1514="Fail",E1514="Fail",F1514="Fail"),"Fail",IF(AND(D1514="Pass",E1514="Pass",F1514="Pass"),"Pass","Incomplete")))</f>
        <v/>
      </c>
      <c r="H1514" s="18"/>
      <c r="I1514" s="18"/>
    </row>
    <row r="1515" customFormat="false" ht="15.75" hidden="false" customHeight="true" outlineLevel="0" collapsed="false">
      <c r="A1515" s="18"/>
      <c r="B1515" s="18"/>
      <c r="C1515" s="19"/>
      <c r="D1515" s="20"/>
      <c r="E1515" s="20"/>
      <c r="F1515" s="20"/>
      <c r="G1515" s="20" t="str">
        <f aca="false">IF(COUNTBLANK(D1515:F1515)=3,"",IF(OR(D1515="Fail",E1515="Fail",F1515="Fail"),"Fail",IF(AND(D1515="Pass",E1515="Pass",F1515="Pass"),"Pass","Incomplete")))</f>
        <v/>
      </c>
      <c r="H1515" s="18"/>
      <c r="I1515" s="18"/>
    </row>
    <row r="1516" customFormat="false" ht="15.75" hidden="false" customHeight="true" outlineLevel="0" collapsed="false">
      <c r="A1516" s="18"/>
      <c r="B1516" s="18"/>
      <c r="C1516" s="19"/>
      <c r="D1516" s="20"/>
      <c r="E1516" s="20"/>
      <c r="F1516" s="20"/>
      <c r="G1516" s="20" t="str">
        <f aca="false">IF(COUNTBLANK(D1516:F1516)=3,"",IF(OR(D1516="Fail",E1516="Fail",F1516="Fail"),"Fail",IF(AND(D1516="Pass",E1516="Pass",F1516="Pass"),"Pass","Incomplete")))</f>
        <v/>
      </c>
      <c r="H1516" s="18"/>
      <c r="I1516" s="18"/>
    </row>
    <row r="1517" customFormat="false" ht="15.75" hidden="false" customHeight="true" outlineLevel="0" collapsed="false">
      <c r="A1517" s="18"/>
      <c r="B1517" s="18"/>
      <c r="C1517" s="19"/>
      <c r="D1517" s="20"/>
      <c r="E1517" s="20"/>
      <c r="F1517" s="20"/>
      <c r="G1517" s="20" t="str">
        <f aca="false">IF(COUNTBLANK(D1517:F1517)=3,"",IF(OR(D1517="Fail",E1517="Fail",F1517="Fail"),"Fail",IF(AND(D1517="Pass",E1517="Pass",F1517="Pass"),"Pass","Incomplete")))</f>
        <v/>
      </c>
      <c r="H1517" s="18"/>
      <c r="I1517" s="18"/>
    </row>
    <row r="1518" customFormat="false" ht="15.75" hidden="false" customHeight="true" outlineLevel="0" collapsed="false">
      <c r="A1518" s="18"/>
      <c r="B1518" s="18"/>
      <c r="C1518" s="19"/>
      <c r="D1518" s="20"/>
      <c r="E1518" s="20"/>
      <c r="F1518" s="20"/>
      <c r="G1518" s="20" t="str">
        <f aca="false">IF(COUNTBLANK(D1518:F1518)=3,"",IF(OR(D1518="Fail",E1518="Fail",F1518="Fail"),"Fail",IF(AND(D1518="Pass",E1518="Pass",F1518="Pass"),"Pass","Incomplete")))</f>
        <v/>
      </c>
      <c r="H1518" s="18"/>
      <c r="I1518" s="18"/>
    </row>
    <row r="1519" customFormat="false" ht="15.75" hidden="false" customHeight="true" outlineLevel="0" collapsed="false">
      <c r="A1519" s="18"/>
      <c r="B1519" s="18"/>
      <c r="C1519" s="19"/>
      <c r="D1519" s="20"/>
      <c r="E1519" s="20"/>
      <c r="F1519" s="20"/>
      <c r="G1519" s="20" t="str">
        <f aca="false">IF(COUNTBLANK(D1519:F1519)=3,"",IF(OR(D1519="Fail",E1519="Fail",F1519="Fail"),"Fail",IF(AND(D1519="Pass",E1519="Pass",F1519="Pass"),"Pass","Incomplete")))</f>
        <v/>
      </c>
      <c r="H1519" s="18"/>
      <c r="I1519" s="18"/>
    </row>
    <row r="1520" customFormat="false" ht="15.75" hidden="false" customHeight="true" outlineLevel="0" collapsed="false">
      <c r="A1520" s="18"/>
      <c r="B1520" s="18"/>
      <c r="C1520" s="19"/>
      <c r="D1520" s="20"/>
      <c r="E1520" s="20"/>
      <c r="F1520" s="20"/>
      <c r="G1520" s="20" t="str">
        <f aca="false">IF(COUNTBLANK(D1520:F1520)=3,"",IF(OR(D1520="Fail",E1520="Fail",F1520="Fail"),"Fail",IF(AND(D1520="Pass",E1520="Pass",F1520="Pass"),"Pass","Incomplete")))</f>
        <v/>
      </c>
      <c r="H1520" s="18"/>
      <c r="I1520" s="18"/>
    </row>
    <row r="1521" customFormat="false" ht="15.75" hidden="false" customHeight="true" outlineLevel="0" collapsed="false">
      <c r="A1521" s="18"/>
      <c r="B1521" s="18"/>
      <c r="C1521" s="19"/>
      <c r="D1521" s="20"/>
      <c r="E1521" s="20"/>
      <c r="F1521" s="20"/>
      <c r="G1521" s="20" t="str">
        <f aca="false">IF(COUNTBLANK(D1521:F1521)=3,"",IF(OR(D1521="Fail",E1521="Fail",F1521="Fail"),"Fail",IF(AND(D1521="Pass",E1521="Pass",F1521="Pass"),"Pass","Incomplete")))</f>
        <v/>
      </c>
      <c r="H1521" s="18"/>
      <c r="I1521" s="18"/>
    </row>
    <row r="1522" customFormat="false" ht="15.75" hidden="false" customHeight="true" outlineLevel="0" collapsed="false">
      <c r="A1522" s="18"/>
      <c r="B1522" s="18"/>
      <c r="C1522" s="19"/>
      <c r="D1522" s="20"/>
      <c r="E1522" s="20"/>
      <c r="F1522" s="20"/>
      <c r="G1522" s="20" t="str">
        <f aca="false">IF(COUNTBLANK(D1522:F1522)=3,"",IF(OR(D1522="Fail",E1522="Fail",F1522="Fail"),"Fail",IF(AND(D1522="Pass",E1522="Pass",F1522="Pass"),"Pass","Incomplete")))</f>
        <v/>
      </c>
      <c r="H1522" s="18"/>
      <c r="I1522" s="18"/>
    </row>
    <row r="1523" customFormat="false" ht="15.75" hidden="false" customHeight="true" outlineLevel="0" collapsed="false">
      <c r="A1523" s="18"/>
      <c r="B1523" s="18"/>
      <c r="C1523" s="19"/>
      <c r="D1523" s="20"/>
      <c r="E1523" s="20"/>
      <c r="F1523" s="20"/>
      <c r="G1523" s="20" t="str">
        <f aca="false">IF(COUNTBLANK(D1523:F1523)=3,"",IF(OR(D1523="Fail",E1523="Fail",F1523="Fail"),"Fail",IF(AND(D1523="Pass",E1523="Pass",F1523="Pass"),"Pass","Incomplete")))</f>
        <v/>
      </c>
      <c r="H1523" s="18"/>
      <c r="I1523" s="18"/>
    </row>
    <row r="1524" customFormat="false" ht="15.75" hidden="false" customHeight="true" outlineLevel="0" collapsed="false">
      <c r="A1524" s="18"/>
      <c r="B1524" s="18"/>
      <c r="C1524" s="19"/>
      <c r="D1524" s="20"/>
      <c r="E1524" s="20"/>
      <c r="F1524" s="20"/>
      <c r="G1524" s="20" t="str">
        <f aca="false">IF(COUNTBLANK(D1524:F1524)=3,"",IF(OR(D1524="Fail",E1524="Fail",F1524="Fail"),"Fail",IF(AND(D1524="Pass",E1524="Pass",F1524="Pass"),"Pass","Incomplete")))</f>
        <v/>
      </c>
      <c r="H1524" s="18"/>
      <c r="I1524" s="18"/>
    </row>
    <row r="1525" customFormat="false" ht="15.75" hidden="false" customHeight="true" outlineLevel="0" collapsed="false">
      <c r="A1525" s="18"/>
      <c r="B1525" s="18"/>
      <c r="C1525" s="19"/>
      <c r="D1525" s="20"/>
      <c r="E1525" s="20"/>
      <c r="F1525" s="20"/>
      <c r="G1525" s="20" t="str">
        <f aca="false">IF(COUNTBLANK(D1525:F1525)=3,"",IF(OR(D1525="Fail",E1525="Fail",F1525="Fail"),"Fail",IF(AND(D1525="Pass",E1525="Pass",F1525="Pass"),"Pass","Incomplete")))</f>
        <v/>
      </c>
      <c r="H1525" s="18"/>
      <c r="I1525" s="18"/>
    </row>
    <row r="1526" customFormat="false" ht="15.75" hidden="false" customHeight="true" outlineLevel="0" collapsed="false">
      <c r="A1526" s="18"/>
      <c r="B1526" s="18"/>
      <c r="C1526" s="19"/>
      <c r="D1526" s="20"/>
      <c r="E1526" s="20"/>
      <c r="F1526" s="20"/>
      <c r="G1526" s="20" t="str">
        <f aca="false">IF(COUNTBLANK(D1526:F1526)=3,"",IF(OR(D1526="Fail",E1526="Fail",F1526="Fail"),"Fail",IF(AND(D1526="Pass",E1526="Pass",F1526="Pass"),"Pass","Incomplete")))</f>
        <v/>
      </c>
      <c r="H1526" s="18"/>
      <c r="I1526" s="18"/>
    </row>
    <row r="1527" customFormat="false" ht="15.75" hidden="false" customHeight="true" outlineLevel="0" collapsed="false">
      <c r="A1527" s="18"/>
      <c r="B1527" s="18"/>
      <c r="C1527" s="19"/>
      <c r="D1527" s="20"/>
      <c r="E1527" s="20"/>
      <c r="F1527" s="20"/>
      <c r="G1527" s="20" t="str">
        <f aca="false">IF(COUNTBLANK(D1527:F1527)=3,"",IF(OR(D1527="Fail",E1527="Fail",F1527="Fail"),"Fail",IF(AND(D1527="Pass",E1527="Pass",F1527="Pass"),"Pass","Incomplete")))</f>
        <v/>
      </c>
      <c r="H1527" s="18"/>
      <c r="I1527" s="18"/>
    </row>
    <row r="1528" customFormat="false" ht="15.75" hidden="false" customHeight="true" outlineLevel="0" collapsed="false">
      <c r="A1528" s="18"/>
      <c r="B1528" s="18"/>
      <c r="C1528" s="19"/>
      <c r="D1528" s="20"/>
      <c r="E1528" s="20"/>
      <c r="F1528" s="20"/>
      <c r="G1528" s="20" t="str">
        <f aca="false">IF(COUNTBLANK(D1528:F1528)=3,"",IF(OR(D1528="Fail",E1528="Fail",F1528="Fail"),"Fail",IF(AND(D1528="Pass",E1528="Pass",F1528="Pass"),"Pass","Incomplete")))</f>
        <v/>
      </c>
      <c r="H1528" s="18"/>
      <c r="I1528" s="18"/>
    </row>
    <row r="1529" customFormat="false" ht="15.75" hidden="false" customHeight="true" outlineLevel="0" collapsed="false">
      <c r="A1529" s="18"/>
      <c r="B1529" s="18"/>
      <c r="C1529" s="19"/>
      <c r="D1529" s="20"/>
      <c r="E1529" s="20"/>
      <c r="F1529" s="20"/>
      <c r="G1529" s="20" t="str">
        <f aca="false">IF(COUNTBLANK(D1529:F1529)=3,"",IF(OR(D1529="Fail",E1529="Fail",F1529="Fail"),"Fail",IF(AND(D1529="Pass",E1529="Pass",F1529="Pass"),"Pass","Incomplete")))</f>
        <v/>
      </c>
      <c r="H1529" s="18"/>
      <c r="I1529" s="18"/>
    </row>
    <row r="1530" customFormat="false" ht="15.75" hidden="false" customHeight="true" outlineLevel="0" collapsed="false">
      <c r="A1530" s="18"/>
      <c r="B1530" s="18"/>
      <c r="C1530" s="19"/>
      <c r="D1530" s="20"/>
      <c r="E1530" s="20"/>
      <c r="F1530" s="20"/>
      <c r="G1530" s="20" t="str">
        <f aca="false">IF(COUNTBLANK(D1530:F1530)=3,"",IF(OR(D1530="Fail",E1530="Fail",F1530="Fail"),"Fail",IF(AND(D1530="Pass",E1530="Pass",F1530="Pass"),"Pass","Incomplete")))</f>
        <v/>
      </c>
      <c r="H1530" s="18"/>
      <c r="I1530" s="18"/>
    </row>
    <row r="1531" customFormat="false" ht="15.75" hidden="false" customHeight="true" outlineLevel="0" collapsed="false">
      <c r="A1531" s="18"/>
      <c r="B1531" s="18"/>
      <c r="C1531" s="19"/>
      <c r="D1531" s="20"/>
      <c r="E1531" s="20"/>
      <c r="F1531" s="20"/>
      <c r="G1531" s="20" t="str">
        <f aca="false">IF(COUNTBLANK(D1531:F1531)=3,"",IF(OR(D1531="Fail",E1531="Fail",F1531="Fail"),"Fail",IF(AND(D1531="Pass",E1531="Pass",F1531="Pass"),"Pass","Incomplete")))</f>
        <v/>
      </c>
      <c r="H1531" s="18"/>
      <c r="I1531" s="18"/>
    </row>
    <row r="1532" customFormat="false" ht="15.75" hidden="false" customHeight="true" outlineLevel="0" collapsed="false">
      <c r="A1532" s="18"/>
      <c r="B1532" s="18"/>
      <c r="C1532" s="19"/>
      <c r="D1532" s="20"/>
      <c r="E1532" s="20"/>
      <c r="F1532" s="20"/>
      <c r="G1532" s="20" t="str">
        <f aca="false">IF(COUNTBLANK(D1532:F1532)=3,"",IF(OR(D1532="Fail",E1532="Fail",F1532="Fail"),"Fail",IF(AND(D1532="Pass",E1532="Pass",F1532="Pass"),"Pass","Incomplete")))</f>
        <v/>
      </c>
      <c r="H1532" s="18"/>
      <c r="I1532" s="18"/>
    </row>
    <row r="1533" customFormat="false" ht="15.75" hidden="false" customHeight="true" outlineLevel="0" collapsed="false">
      <c r="A1533" s="18"/>
      <c r="B1533" s="18"/>
      <c r="C1533" s="19"/>
      <c r="D1533" s="20"/>
      <c r="E1533" s="20"/>
      <c r="F1533" s="20"/>
      <c r="G1533" s="20" t="str">
        <f aca="false">IF(COUNTBLANK(D1533:F1533)=3,"",IF(OR(D1533="Fail",E1533="Fail",F1533="Fail"),"Fail",IF(AND(D1533="Pass",E1533="Pass",F1533="Pass"),"Pass","Incomplete")))</f>
        <v/>
      </c>
      <c r="H1533" s="18"/>
      <c r="I1533" s="18"/>
    </row>
    <row r="1534" customFormat="false" ht="15.75" hidden="false" customHeight="true" outlineLevel="0" collapsed="false">
      <c r="A1534" s="18"/>
      <c r="B1534" s="18"/>
      <c r="C1534" s="19"/>
      <c r="D1534" s="20"/>
      <c r="E1534" s="20"/>
      <c r="F1534" s="20"/>
      <c r="G1534" s="20" t="str">
        <f aca="false">IF(COUNTBLANK(D1534:F1534)=3,"",IF(OR(D1534="Fail",E1534="Fail",F1534="Fail"),"Fail",IF(AND(D1534="Pass",E1534="Pass",F1534="Pass"),"Pass","Incomplete")))</f>
        <v/>
      </c>
      <c r="H1534" s="18"/>
      <c r="I1534" s="18"/>
    </row>
    <row r="1535" customFormat="false" ht="15.75" hidden="false" customHeight="true" outlineLevel="0" collapsed="false">
      <c r="A1535" s="18"/>
      <c r="B1535" s="18"/>
      <c r="C1535" s="19"/>
      <c r="D1535" s="20"/>
      <c r="E1535" s="20"/>
      <c r="F1535" s="20"/>
      <c r="G1535" s="20" t="str">
        <f aca="false">IF(COUNTBLANK(D1535:F1535)=3,"",IF(OR(D1535="Fail",E1535="Fail",F1535="Fail"),"Fail",IF(AND(D1535="Pass",E1535="Pass",F1535="Pass"),"Pass","Incomplete")))</f>
        <v/>
      </c>
      <c r="H1535" s="18"/>
      <c r="I1535" s="18"/>
    </row>
    <row r="1536" customFormat="false" ht="15.75" hidden="false" customHeight="true" outlineLevel="0" collapsed="false">
      <c r="A1536" s="18"/>
      <c r="B1536" s="18"/>
      <c r="C1536" s="19"/>
      <c r="D1536" s="20"/>
      <c r="E1536" s="20"/>
      <c r="F1536" s="20"/>
      <c r="G1536" s="20" t="str">
        <f aca="false">IF(COUNTBLANK(D1536:F1536)=3,"",IF(OR(D1536="Fail",E1536="Fail",F1536="Fail"),"Fail",IF(AND(D1536="Pass",E1536="Pass",F1536="Pass"),"Pass","Incomplete")))</f>
        <v/>
      </c>
      <c r="H1536" s="18"/>
      <c r="I1536" s="18"/>
    </row>
    <row r="1537" customFormat="false" ht="15.75" hidden="false" customHeight="true" outlineLevel="0" collapsed="false">
      <c r="A1537" s="18"/>
      <c r="B1537" s="18"/>
      <c r="C1537" s="19"/>
      <c r="D1537" s="20"/>
      <c r="E1537" s="20"/>
      <c r="F1537" s="20"/>
      <c r="G1537" s="20" t="str">
        <f aca="false">IF(COUNTBLANK(D1537:F1537)=3,"",IF(OR(D1537="Fail",E1537="Fail",F1537="Fail"),"Fail",IF(AND(D1537="Pass",E1537="Pass",F1537="Pass"),"Pass","Incomplete")))</f>
        <v/>
      </c>
      <c r="H1537" s="18"/>
      <c r="I1537" s="18"/>
    </row>
    <row r="1538" customFormat="false" ht="15.75" hidden="false" customHeight="true" outlineLevel="0" collapsed="false">
      <c r="A1538" s="18"/>
      <c r="B1538" s="18"/>
      <c r="C1538" s="19"/>
      <c r="D1538" s="20"/>
      <c r="E1538" s="20"/>
      <c r="F1538" s="20"/>
      <c r="G1538" s="20" t="str">
        <f aca="false">IF(COUNTBLANK(D1538:F1538)=3,"",IF(OR(D1538="Fail",E1538="Fail",F1538="Fail"),"Fail",IF(AND(D1538="Pass",E1538="Pass",F1538="Pass"),"Pass","Incomplete")))</f>
        <v/>
      </c>
      <c r="H1538" s="18"/>
      <c r="I1538" s="18"/>
    </row>
    <row r="1539" customFormat="false" ht="15.75" hidden="false" customHeight="true" outlineLevel="0" collapsed="false">
      <c r="A1539" s="18"/>
      <c r="B1539" s="18"/>
      <c r="C1539" s="19"/>
      <c r="D1539" s="20"/>
      <c r="E1539" s="20"/>
      <c r="F1539" s="20"/>
      <c r="G1539" s="20" t="str">
        <f aca="false">IF(COUNTBLANK(D1539:F1539)=3,"",IF(OR(D1539="Fail",E1539="Fail",F1539="Fail"),"Fail",IF(AND(D1539="Pass",E1539="Pass",F1539="Pass"),"Pass","Incomplete")))</f>
        <v/>
      </c>
      <c r="H1539" s="18"/>
      <c r="I1539" s="18"/>
    </row>
    <row r="1540" customFormat="false" ht="15.75" hidden="false" customHeight="true" outlineLevel="0" collapsed="false">
      <c r="A1540" s="18"/>
      <c r="B1540" s="18"/>
      <c r="C1540" s="19"/>
      <c r="D1540" s="20"/>
      <c r="E1540" s="20"/>
      <c r="F1540" s="20"/>
      <c r="G1540" s="20" t="str">
        <f aca="false">IF(COUNTBLANK(D1540:F1540)=3,"",IF(OR(D1540="Fail",E1540="Fail",F1540="Fail"),"Fail",IF(AND(D1540="Pass",E1540="Pass",F1540="Pass"),"Pass","Incomplete")))</f>
        <v/>
      </c>
      <c r="H1540" s="18"/>
      <c r="I1540" s="18"/>
    </row>
    <row r="1541" customFormat="false" ht="15.75" hidden="false" customHeight="true" outlineLevel="0" collapsed="false">
      <c r="A1541" s="18"/>
      <c r="B1541" s="18"/>
      <c r="C1541" s="19"/>
      <c r="D1541" s="20"/>
      <c r="E1541" s="20"/>
      <c r="F1541" s="20"/>
      <c r="G1541" s="20" t="str">
        <f aca="false">IF(COUNTBLANK(D1541:F1541)=3,"",IF(OR(D1541="Fail",E1541="Fail",F1541="Fail"),"Fail",IF(AND(D1541="Pass",E1541="Pass",F1541="Pass"),"Pass","Incomplete")))</f>
        <v/>
      </c>
      <c r="H1541" s="18"/>
      <c r="I1541" s="18"/>
    </row>
    <row r="1542" customFormat="false" ht="15.75" hidden="false" customHeight="true" outlineLevel="0" collapsed="false">
      <c r="A1542" s="18"/>
      <c r="B1542" s="18"/>
      <c r="C1542" s="19"/>
      <c r="D1542" s="20"/>
      <c r="E1542" s="20"/>
      <c r="F1542" s="20"/>
      <c r="G1542" s="20" t="str">
        <f aca="false">IF(COUNTBLANK(D1542:F1542)=3,"",IF(OR(D1542="Fail",E1542="Fail",F1542="Fail"),"Fail",IF(AND(D1542="Pass",E1542="Pass",F1542="Pass"),"Pass","Incomplete")))</f>
        <v/>
      </c>
      <c r="H1542" s="18"/>
      <c r="I1542" s="18"/>
    </row>
    <row r="1543" customFormat="false" ht="15.75" hidden="false" customHeight="true" outlineLevel="0" collapsed="false">
      <c r="A1543" s="18"/>
      <c r="B1543" s="18"/>
      <c r="C1543" s="19"/>
      <c r="D1543" s="20"/>
      <c r="E1543" s="20"/>
      <c r="F1543" s="20"/>
      <c r="G1543" s="20" t="str">
        <f aca="false">IF(COUNTBLANK(D1543:F1543)=3,"",IF(OR(D1543="Fail",E1543="Fail",F1543="Fail"),"Fail",IF(AND(D1543="Pass",E1543="Pass",F1543="Pass"),"Pass","Incomplete")))</f>
        <v/>
      </c>
      <c r="H1543" s="18"/>
      <c r="I1543" s="18"/>
    </row>
    <row r="1544" customFormat="false" ht="15.75" hidden="false" customHeight="true" outlineLevel="0" collapsed="false">
      <c r="A1544" s="18"/>
      <c r="B1544" s="18"/>
      <c r="C1544" s="19"/>
      <c r="D1544" s="20"/>
      <c r="E1544" s="20"/>
      <c r="F1544" s="20"/>
      <c r="G1544" s="20" t="str">
        <f aca="false">IF(COUNTBLANK(D1544:F1544)=3,"",IF(OR(D1544="Fail",E1544="Fail",F1544="Fail"),"Fail",IF(AND(D1544="Pass",E1544="Pass",F1544="Pass"),"Pass","Incomplete")))</f>
        <v/>
      </c>
      <c r="H1544" s="18"/>
      <c r="I1544" s="18"/>
    </row>
    <row r="1545" customFormat="false" ht="15.75" hidden="false" customHeight="true" outlineLevel="0" collapsed="false">
      <c r="A1545" s="18"/>
      <c r="B1545" s="18"/>
      <c r="C1545" s="19"/>
      <c r="D1545" s="20"/>
      <c r="E1545" s="20"/>
      <c r="F1545" s="20"/>
      <c r="G1545" s="20" t="str">
        <f aca="false">IF(COUNTBLANK(D1545:F1545)=3,"",IF(OR(D1545="Fail",E1545="Fail",F1545="Fail"),"Fail",IF(AND(D1545="Pass",E1545="Pass",F1545="Pass"),"Pass","Incomplete")))</f>
        <v/>
      </c>
      <c r="H1545" s="18"/>
      <c r="I1545" s="18"/>
    </row>
    <row r="1546" customFormat="false" ht="15.75" hidden="false" customHeight="true" outlineLevel="0" collapsed="false">
      <c r="A1546" s="18"/>
      <c r="B1546" s="18"/>
      <c r="C1546" s="19"/>
      <c r="D1546" s="20"/>
      <c r="E1546" s="20"/>
      <c r="F1546" s="20"/>
      <c r="G1546" s="20" t="str">
        <f aca="false">IF(COUNTBLANK(D1546:F1546)=3,"",IF(OR(D1546="Fail",E1546="Fail",F1546="Fail"),"Fail",IF(AND(D1546="Pass",E1546="Pass",F1546="Pass"),"Pass","Incomplete")))</f>
        <v/>
      </c>
      <c r="H1546" s="18"/>
      <c r="I1546" s="18"/>
    </row>
    <row r="1547" customFormat="false" ht="15.75" hidden="false" customHeight="true" outlineLevel="0" collapsed="false">
      <c r="A1547" s="18"/>
      <c r="B1547" s="18"/>
      <c r="C1547" s="19"/>
      <c r="D1547" s="20"/>
      <c r="E1547" s="20"/>
      <c r="F1547" s="20"/>
      <c r="G1547" s="20" t="str">
        <f aca="false">IF(COUNTBLANK(D1547:F1547)=3,"",IF(OR(D1547="Fail",E1547="Fail",F1547="Fail"),"Fail",IF(AND(D1547="Pass",E1547="Pass",F1547="Pass"),"Pass","Incomplete")))</f>
        <v/>
      </c>
      <c r="H1547" s="18"/>
      <c r="I1547" s="18"/>
    </row>
    <row r="1548" customFormat="false" ht="15.75" hidden="false" customHeight="true" outlineLevel="0" collapsed="false">
      <c r="A1548" s="18"/>
      <c r="B1548" s="18"/>
      <c r="C1548" s="19"/>
      <c r="D1548" s="20"/>
      <c r="E1548" s="20"/>
      <c r="F1548" s="20"/>
      <c r="G1548" s="20" t="str">
        <f aca="false">IF(COUNTBLANK(D1548:F1548)=3,"",IF(OR(D1548="Fail",E1548="Fail",F1548="Fail"),"Fail",IF(AND(D1548="Pass",E1548="Pass",F1548="Pass"),"Pass","Incomplete")))</f>
        <v/>
      </c>
      <c r="H1548" s="18"/>
      <c r="I1548" s="18"/>
    </row>
    <row r="1549" customFormat="false" ht="15.75" hidden="false" customHeight="true" outlineLevel="0" collapsed="false">
      <c r="A1549" s="18"/>
      <c r="B1549" s="18"/>
      <c r="C1549" s="19"/>
      <c r="D1549" s="20"/>
      <c r="E1549" s="20"/>
      <c r="F1549" s="20"/>
      <c r="G1549" s="20" t="str">
        <f aca="false">IF(COUNTBLANK(D1549:F1549)=3,"",IF(OR(D1549="Fail",E1549="Fail",F1549="Fail"),"Fail",IF(AND(D1549="Pass",E1549="Pass",F1549="Pass"),"Pass","Incomplete")))</f>
        <v/>
      </c>
      <c r="H1549" s="18"/>
      <c r="I1549" s="18"/>
    </row>
    <row r="1550" customFormat="false" ht="15.75" hidden="false" customHeight="true" outlineLevel="0" collapsed="false">
      <c r="A1550" s="18"/>
      <c r="B1550" s="18"/>
      <c r="C1550" s="19"/>
      <c r="D1550" s="20"/>
      <c r="E1550" s="20"/>
      <c r="F1550" s="20"/>
      <c r="G1550" s="20" t="str">
        <f aca="false">IF(COUNTBLANK(D1550:F1550)=3,"",IF(OR(D1550="Fail",E1550="Fail",F1550="Fail"),"Fail",IF(AND(D1550="Pass",E1550="Pass",F1550="Pass"),"Pass","Incomplete")))</f>
        <v/>
      </c>
      <c r="H1550" s="18"/>
      <c r="I1550" s="18"/>
    </row>
    <row r="1551" customFormat="false" ht="15.75" hidden="false" customHeight="true" outlineLevel="0" collapsed="false">
      <c r="A1551" s="18"/>
      <c r="B1551" s="18"/>
      <c r="C1551" s="19"/>
      <c r="D1551" s="20"/>
      <c r="E1551" s="20"/>
      <c r="F1551" s="20"/>
      <c r="G1551" s="20" t="str">
        <f aca="false">IF(COUNTBLANK(D1551:F1551)=3,"",IF(OR(D1551="Fail",E1551="Fail",F1551="Fail"),"Fail",IF(AND(D1551="Pass",E1551="Pass",F1551="Pass"),"Pass","Incomplete")))</f>
        <v/>
      </c>
      <c r="H1551" s="18"/>
      <c r="I1551" s="18"/>
    </row>
    <row r="1552" customFormat="false" ht="15.75" hidden="false" customHeight="true" outlineLevel="0" collapsed="false">
      <c r="A1552" s="18"/>
      <c r="B1552" s="18"/>
      <c r="C1552" s="19"/>
      <c r="D1552" s="20"/>
      <c r="E1552" s="20"/>
      <c r="F1552" s="20"/>
      <c r="G1552" s="20" t="str">
        <f aca="false">IF(COUNTBLANK(D1552:F1552)=3,"",IF(OR(D1552="Fail",E1552="Fail",F1552="Fail"),"Fail",IF(AND(D1552="Pass",E1552="Pass",F1552="Pass"),"Pass","Incomplete")))</f>
        <v/>
      </c>
      <c r="H1552" s="18"/>
      <c r="I1552" s="18"/>
    </row>
    <row r="1553" customFormat="false" ht="15.75" hidden="false" customHeight="true" outlineLevel="0" collapsed="false">
      <c r="A1553" s="18"/>
      <c r="B1553" s="18"/>
      <c r="C1553" s="19"/>
      <c r="D1553" s="20"/>
      <c r="E1553" s="20"/>
      <c r="F1553" s="20"/>
      <c r="G1553" s="20" t="str">
        <f aca="false">IF(COUNTBLANK(D1553:F1553)=3,"",IF(OR(D1553="Fail",E1553="Fail",F1553="Fail"),"Fail",IF(AND(D1553="Pass",E1553="Pass",F1553="Pass"),"Pass","Incomplete")))</f>
        <v/>
      </c>
      <c r="H1553" s="18"/>
      <c r="I1553" s="18"/>
    </row>
    <row r="1554" customFormat="false" ht="15.75" hidden="false" customHeight="true" outlineLevel="0" collapsed="false">
      <c r="A1554" s="18"/>
      <c r="B1554" s="18"/>
      <c r="C1554" s="19"/>
      <c r="D1554" s="20"/>
      <c r="E1554" s="20"/>
      <c r="F1554" s="20"/>
      <c r="G1554" s="20" t="str">
        <f aca="false">IF(COUNTBLANK(D1554:F1554)=3,"",IF(OR(D1554="Fail",E1554="Fail",F1554="Fail"),"Fail",IF(AND(D1554="Pass",E1554="Pass",F1554="Pass"),"Pass","Incomplete")))</f>
        <v/>
      </c>
      <c r="H1554" s="18"/>
      <c r="I1554" s="18"/>
    </row>
    <row r="1555" customFormat="false" ht="15.75" hidden="false" customHeight="true" outlineLevel="0" collapsed="false">
      <c r="A1555" s="18"/>
      <c r="B1555" s="18"/>
      <c r="C1555" s="19"/>
      <c r="D1555" s="20"/>
      <c r="E1555" s="20"/>
      <c r="F1555" s="20"/>
      <c r="G1555" s="20" t="str">
        <f aca="false">IF(COUNTBLANK(D1555:F1555)=3,"",IF(OR(D1555="Fail",E1555="Fail",F1555="Fail"),"Fail",IF(AND(D1555="Pass",E1555="Pass",F1555="Pass"),"Pass","Incomplete")))</f>
        <v/>
      </c>
      <c r="H1555" s="18"/>
      <c r="I1555" s="18"/>
    </row>
    <row r="1556" customFormat="false" ht="15.75" hidden="false" customHeight="true" outlineLevel="0" collapsed="false">
      <c r="A1556" s="18"/>
      <c r="B1556" s="18"/>
      <c r="C1556" s="19"/>
      <c r="D1556" s="20"/>
      <c r="E1556" s="20"/>
      <c r="F1556" s="20"/>
      <c r="G1556" s="20" t="str">
        <f aca="false">IF(COUNTBLANK(D1556:F1556)=3,"",IF(OR(D1556="Fail",E1556="Fail",F1556="Fail"),"Fail",IF(AND(D1556="Pass",E1556="Pass",F1556="Pass"),"Pass","Incomplete")))</f>
        <v/>
      </c>
      <c r="H1556" s="18"/>
      <c r="I1556" s="18"/>
    </row>
    <row r="1557" customFormat="false" ht="15.75" hidden="false" customHeight="true" outlineLevel="0" collapsed="false">
      <c r="A1557" s="18"/>
      <c r="B1557" s="18"/>
      <c r="C1557" s="19"/>
      <c r="D1557" s="20"/>
      <c r="E1557" s="20"/>
      <c r="F1557" s="20"/>
      <c r="G1557" s="20" t="str">
        <f aca="false">IF(COUNTBLANK(D1557:F1557)=3,"",IF(OR(D1557="Fail",E1557="Fail",F1557="Fail"),"Fail",IF(AND(D1557="Pass",E1557="Pass",F1557="Pass"),"Pass","Incomplete")))</f>
        <v/>
      </c>
      <c r="H1557" s="18"/>
      <c r="I1557" s="18"/>
    </row>
    <row r="1558" customFormat="false" ht="15.75" hidden="false" customHeight="true" outlineLevel="0" collapsed="false">
      <c r="A1558" s="18"/>
      <c r="B1558" s="18"/>
      <c r="C1558" s="19"/>
      <c r="D1558" s="20"/>
      <c r="E1558" s="20"/>
      <c r="F1558" s="20"/>
      <c r="G1558" s="20" t="str">
        <f aca="false">IF(COUNTBLANK(D1558:F1558)=3,"",IF(OR(D1558="Fail",E1558="Fail",F1558="Fail"),"Fail",IF(AND(D1558="Pass",E1558="Pass",F1558="Pass"),"Pass","Incomplete")))</f>
        <v/>
      </c>
      <c r="H1558" s="18"/>
      <c r="I1558" s="18"/>
    </row>
    <row r="1559" customFormat="false" ht="15.75" hidden="false" customHeight="true" outlineLevel="0" collapsed="false">
      <c r="A1559" s="18"/>
      <c r="B1559" s="18"/>
      <c r="C1559" s="19"/>
      <c r="D1559" s="20"/>
      <c r="E1559" s="20"/>
      <c r="F1559" s="20"/>
      <c r="G1559" s="20" t="str">
        <f aca="false">IF(COUNTBLANK(D1559:F1559)=3,"",IF(OR(D1559="Fail",E1559="Fail",F1559="Fail"),"Fail",IF(AND(D1559="Pass",E1559="Pass",F1559="Pass"),"Pass","Incomplete")))</f>
        <v/>
      </c>
      <c r="H1559" s="18"/>
      <c r="I1559" s="18"/>
    </row>
    <row r="1560" customFormat="false" ht="15.75" hidden="false" customHeight="true" outlineLevel="0" collapsed="false">
      <c r="A1560" s="18"/>
      <c r="B1560" s="18"/>
      <c r="C1560" s="19"/>
      <c r="D1560" s="20"/>
      <c r="E1560" s="20"/>
      <c r="F1560" s="20"/>
      <c r="G1560" s="20" t="str">
        <f aca="false">IF(COUNTBLANK(D1560:F1560)=3,"",IF(OR(D1560="Fail",E1560="Fail",F1560="Fail"),"Fail",IF(AND(D1560="Pass",E1560="Pass",F1560="Pass"),"Pass","Incomplete")))</f>
        <v/>
      </c>
      <c r="H1560" s="18"/>
      <c r="I1560" s="18"/>
    </row>
    <row r="1561" customFormat="false" ht="15.75" hidden="false" customHeight="true" outlineLevel="0" collapsed="false">
      <c r="A1561" s="18"/>
      <c r="B1561" s="18"/>
      <c r="C1561" s="19"/>
      <c r="D1561" s="20"/>
      <c r="E1561" s="20"/>
      <c r="F1561" s="20"/>
      <c r="G1561" s="20" t="str">
        <f aca="false">IF(COUNTBLANK(D1561:F1561)=3,"",IF(OR(D1561="Fail",E1561="Fail",F1561="Fail"),"Fail",IF(AND(D1561="Pass",E1561="Pass",F1561="Pass"),"Pass","Incomplete")))</f>
        <v/>
      </c>
      <c r="H1561" s="18"/>
      <c r="I1561" s="18"/>
    </row>
    <row r="1562" customFormat="false" ht="15.75" hidden="false" customHeight="true" outlineLevel="0" collapsed="false">
      <c r="A1562" s="18"/>
      <c r="B1562" s="18"/>
      <c r="C1562" s="19"/>
      <c r="D1562" s="20"/>
      <c r="E1562" s="20"/>
      <c r="F1562" s="20"/>
      <c r="G1562" s="20" t="str">
        <f aca="false">IF(COUNTBLANK(D1562:F1562)=3,"",IF(OR(D1562="Fail",E1562="Fail",F1562="Fail"),"Fail",IF(AND(D1562="Pass",E1562="Pass",F1562="Pass"),"Pass","Incomplete")))</f>
        <v/>
      </c>
      <c r="H1562" s="18"/>
      <c r="I1562" s="18"/>
    </row>
    <row r="1563" customFormat="false" ht="15.75" hidden="false" customHeight="true" outlineLevel="0" collapsed="false">
      <c r="A1563" s="18"/>
      <c r="B1563" s="18"/>
      <c r="C1563" s="19"/>
      <c r="D1563" s="20"/>
      <c r="E1563" s="20"/>
      <c r="F1563" s="20"/>
      <c r="G1563" s="20" t="str">
        <f aca="false">IF(COUNTBLANK(D1563:F1563)=3,"",IF(OR(D1563="Fail",E1563="Fail",F1563="Fail"),"Fail",IF(AND(D1563="Pass",E1563="Pass",F1563="Pass"),"Pass","Incomplete")))</f>
        <v/>
      </c>
      <c r="H1563" s="18"/>
      <c r="I1563" s="18"/>
    </row>
    <row r="1564" customFormat="false" ht="15.75" hidden="false" customHeight="true" outlineLevel="0" collapsed="false">
      <c r="A1564" s="18"/>
      <c r="B1564" s="18"/>
      <c r="C1564" s="19"/>
      <c r="D1564" s="20"/>
      <c r="E1564" s="20"/>
      <c r="F1564" s="20"/>
      <c r="G1564" s="20" t="str">
        <f aca="false">IF(COUNTBLANK(D1564:F1564)=3,"",IF(OR(D1564="Fail",E1564="Fail",F1564="Fail"),"Fail",IF(AND(D1564="Pass",E1564="Pass",F1564="Pass"),"Pass","Incomplete")))</f>
        <v/>
      </c>
      <c r="H1564" s="18"/>
      <c r="I1564" s="18"/>
    </row>
    <row r="1565" customFormat="false" ht="15.75" hidden="false" customHeight="true" outlineLevel="0" collapsed="false">
      <c r="A1565" s="18"/>
      <c r="B1565" s="18"/>
      <c r="C1565" s="19"/>
      <c r="D1565" s="20"/>
      <c r="E1565" s="20"/>
      <c r="F1565" s="20"/>
      <c r="G1565" s="20" t="str">
        <f aca="false">IF(COUNTBLANK(D1565:F1565)=3,"",IF(OR(D1565="Fail",E1565="Fail",F1565="Fail"),"Fail",IF(AND(D1565="Pass",E1565="Pass",F1565="Pass"),"Pass","Incomplete")))</f>
        <v/>
      </c>
      <c r="H1565" s="18"/>
      <c r="I1565" s="18"/>
    </row>
    <row r="1566" customFormat="false" ht="15.75" hidden="false" customHeight="true" outlineLevel="0" collapsed="false">
      <c r="A1566" s="18"/>
      <c r="B1566" s="18"/>
      <c r="C1566" s="19"/>
      <c r="D1566" s="20"/>
      <c r="E1566" s="20"/>
      <c r="F1566" s="20"/>
      <c r="G1566" s="20" t="str">
        <f aca="false">IF(COUNTBLANK(D1566:F1566)=3,"",IF(OR(D1566="Fail",E1566="Fail",F1566="Fail"),"Fail",IF(AND(D1566="Pass",E1566="Pass",F1566="Pass"),"Pass","Incomplete")))</f>
        <v/>
      </c>
      <c r="H1566" s="18"/>
      <c r="I1566" s="18"/>
    </row>
    <row r="1567" customFormat="false" ht="15.75" hidden="false" customHeight="true" outlineLevel="0" collapsed="false">
      <c r="A1567" s="18"/>
      <c r="B1567" s="18"/>
      <c r="C1567" s="19"/>
      <c r="D1567" s="20"/>
      <c r="E1567" s="20"/>
      <c r="F1567" s="20"/>
      <c r="G1567" s="20" t="str">
        <f aca="false">IF(COUNTBLANK(D1567:F1567)=3,"",IF(OR(D1567="Fail",E1567="Fail",F1567="Fail"),"Fail",IF(AND(D1567="Pass",E1567="Pass",F1567="Pass"),"Pass","Incomplete")))</f>
        <v/>
      </c>
      <c r="H1567" s="18"/>
      <c r="I1567" s="18"/>
    </row>
    <row r="1568" customFormat="false" ht="15.75" hidden="false" customHeight="true" outlineLevel="0" collapsed="false">
      <c r="A1568" s="18"/>
      <c r="B1568" s="18"/>
      <c r="C1568" s="19"/>
      <c r="D1568" s="20"/>
      <c r="E1568" s="20"/>
      <c r="F1568" s="20"/>
      <c r="G1568" s="20" t="str">
        <f aca="false">IF(COUNTBLANK(D1568:F1568)=3,"",IF(OR(D1568="Fail",E1568="Fail",F1568="Fail"),"Fail",IF(AND(D1568="Pass",E1568="Pass",F1568="Pass"),"Pass","Incomplete")))</f>
        <v/>
      </c>
      <c r="H1568" s="18"/>
      <c r="I1568" s="18"/>
    </row>
    <row r="1569" customFormat="false" ht="15.75" hidden="false" customHeight="true" outlineLevel="0" collapsed="false">
      <c r="A1569" s="18"/>
      <c r="B1569" s="18"/>
      <c r="C1569" s="19"/>
      <c r="D1569" s="20"/>
      <c r="E1569" s="20"/>
      <c r="F1569" s="20"/>
      <c r="G1569" s="20" t="str">
        <f aca="false">IF(COUNTBLANK(D1569:F1569)=3,"",IF(OR(D1569="Fail",E1569="Fail",F1569="Fail"),"Fail",IF(AND(D1569="Pass",E1569="Pass",F1569="Pass"),"Pass","Incomplete")))</f>
        <v/>
      </c>
      <c r="H1569" s="18"/>
      <c r="I1569" s="18"/>
    </row>
    <row r="1570" customFormat="false" ht="15.75" hidden="false" customHeight="true" outlineLevel="0" collapsed="false">
      <c r="A1570" s="18"/>
      <c r="B1570" s="18"/>
      <c r="C1570" s="19"/>
      <c r="D1570" s="20"/>
      <c r="E1570" s="20"/>
      <c r="F1570" s="20"/>
      <c r="G1570" s="20" t="str">
        <f aca="false">IF(COUNTBLANK(D1570:F1570)=3,"",IF(OR(D1570="Fail",E1570="Fail",F1570="Fail"),"Fail",IF(AND(D1570="Pass",E1570="Pass",F1570="Pass"),"Pass","Incomplete")))</f>
        <v/>
      </c>
      <c r="H1570" s="18"/>
      <c r="I1570" s="18"/>
    </row>
    <row r="1571" customFormat="false" ht="15.75" hidden="false" customHeight="true" outlineLevel="0" collapsed="false">
      <c r="A1571" s="18"/>
      <c r="B1571" s="18"/>
      <c r="C1571" s="19"/>
      <c r="D1571" s="20"/>
      <c r="E1571" s="20"/>
      <c r="F1571" s="20"/>
      <c r="G1571" s="20" t="str">
        <f aca="false">IF(COUNTBLANK(D1571:F1571)=3,"",IF(OR(D1571="Fail",E1571="Fail",F1571="Fail"),"Fail",IF(AND(D1571="Pass",E1571="Pass",F1571="Pass"),"Pass","Incomplete")))</f>
        <v/>
      </c>
      <c r="H1571" s="18"/>
      <c r="I1571" s="18"/>
    </row>
    <row r="1572" customFormat="false" ht="15.75" hidden="false" customHeight="true" outlineLevel="0" collapsed="false">
      <c r="A1572" s="18"/>
      <c r="B1572" s="18"/>
      <c r="C1572" s="19"/>
      <c r="D1572" s="20"/>
      <c r="E1572" s="20"/>
      <c r="F1572" s="20"/>
      <c r="G1572" s="20" t="str">
        <f aca="false">IF(COUNTBLANK(D1572:F1572)=3,"",IF(OR(D1572="Fail",E1572="Fail",F1572="Fail"),"Fail",IF(AND(D1572="Pass",E1572="Pass",F1572="Pass"),"Pass","Incomplete")))</f>
        <v/>
      </c>
      <c r="H1572" s="18"/>
      <c r="I1572" s="18"/>
    </row>
    <row r="1573" customFormat="false" ht="15.75" hidden="false" customHeight="true" outlineLevel="0" collapsed="false">
      <c r="A1573" s="18"/>
      <c r="B1573" s="18"/>
      <c r="C1573" s="19"/>
      <c r="D1573" s="20"/>
      <c r="E1573" s="20"/>
      <c r="F1573" s="20"/>
      <c r="G1573" s="20" t="str">
        <f aca="false">IF(COUNTBLANK(D1573:F1573)=3,"",IF(OR(D1573="Fail",E1573="Fail",F1573="Fail"),"Fail",IF(AND(D1573="Pass",E1573="Pass",F1573="Pass"),"Pass","Incomplete")))</f>
        <v/>
      </c>
      <c r="H1573" s="18"/>
      <c r="I1573" s="18"/>
    </row>
    <row r="1574" customFormat="false" ht="15.75" hidden="false" customHeight="true" outlineLevel="0" collapsed="false">
      <c r="A1574" s="18"/>
      <c r="B1574" s="18"/>
      <c r="C1574" s="19"/>
      <c r="D1574" s="20"/>
      <c r="E1574" s="20"/>
      <c r="F1574" s="20"/>
      <c r="G1574" s="20" t="str">
        <f aca="false">IF(COUNTBLANK(D1574:F1574)=3,"",IF(OR(D1574="Fail",E1574="Fail",F1574="Fail"),"Fail",IF(AND(D1574="Pass",E1574="Pass",F1574="Pass"),"Pass","Incomplete")))</f>
        <v/>
      </c>
      <c r="H1574" s="18"/>
      <c r="I1574" s="18"/>
    </row>
    <row r="1575" customFormat="false" ht="15.75" hidden="false" customHeight="true" outlineLevel="0" collapsed="false">
      <c r="A1575" s="18"/>
      <c r="B1575" s="18"/>
      <c r="C1575" s="19"/>
      <c r="D1575" s="20"/>
      <c r="E1575" s="20"/>
      <c r="F1575" s="20"/>
      <c r="G1575" s="20" t="str">
        <f aca="false">IF(COUNTBLANK(D1575:F1575)=3,"",IF(OR(D1575="Fail",E1575="Fail",F1575="Fail"),"Fail",IF(AND(D1575="Pass",E1575="Pass",F1575="Pass"),"Pass","Incomplete")))</f>
        <v/>
      </c>
      <c r="H1575" s="18"/>
      <c r="I1575" s="18"/>
    </row>
    <row r="1576" customFormat="false" ht="15.75" hidden="false" customHeight="true" outlineLevel="0" collapsed="false">
      <c r="A1576" s="18"/>
      <c r="B1576" s="18"/>
      <c r="C1576" s="19"/>
      <c r="D1576" s="20"/>
      <c r="E1576" s="20"/>
      <c r="F1576" s="20"/>
      <c r="G1576" s="20" t="str">
        <f aca="false">IF(COUNTBLANK(D1576:F1576)=3,"",IF(OR(D1576="Fail",E1576="Fail",F1576="Fail"),"Fail",IF(AND(D1576="Pass",E1576="Pass",F1576="Pass"),"Pass","Incomplete")))</f>
        <v/>
      </c>
      <c r="H1576" s="18"/>
      <c r="I1576" s="18"/>
    </row>
    <row r="1577" customFormat="false" ht="15.75" hidden="false" customHeight="true" outlineLevel="0" collapsed="false">
      <c r="A1577" s="18"/>
      <c r="B1577" s="18"/>
      <c r="C1577" s="19"/>
      <c r="D1577" s="20"/>
      <c r="E1577" s="20"/>
      <c r="F1577" s="20"/>
      <c r="G1577" s="20" t="str">
        <f aca="false">IF(COUNTBLANK(D1577:F1577)=3,"",IF(OR(D1577="Fail",E1577="Fail",F1577="Fail"),"Fail",IF(AND(D1577="Pass",E1577="Pass",F1577="Pass"),"Pass","Incomplete")))</f>
        <v/>
      </c>
      <c r="H1577" s="18"/>
      <c r="I1577" s="18"/>
    </row>
    <row r="1578" customFormat="false" ht="15.75" hidden="false" customHeight="true" outlineLevel="0" collapsed="false">
      <c r="A1578" s="18"/>
      <c r="B1578" s="18"/>
      <c r="C1578" s="19"/>
      <c r="D1578" s="20"/>
      <c r="E1578" s="20"/>
      <c r="F1578" s="20"/>
      <c r="G1578" s="20" t="str">
        <f aca="false">IF(COUNTBLANK(D1578:F1578)=3,"",IF(OR(D1578="Fail",E1578="Fail",F1578="Fail"),"Fail",IF(AND(D1578="Pass",E1578="Pass",F1578="Pass"),"Pass","Incomplete")))</f>
        <v/>
      </c>
      <c r="H1578" s="18"/>
      <c r="I1578" s="18"/>
    </row>
    <row r="1579" customFormat="false" ht="15.75" hidden="false" customHeight="true" outlineLevel="0" collapsed="false">
      <c r="A1579" s="18"/>
      <c r="B1579" s="18"/>
      <c r="C1579" s="19"/>
      <c r="D1579" s="20"/>
      <c r="E1579" s="20"/>
      <c r="F1579" s="20"/>
      <c r="G1579" s="20" t="str">
        <f aca="false">IF(COUNTBLANK(D1579:F1579)=3,"",IF(OR(D1579="Fail",E1579="Fail",F1579="Fail"),"Fail",IF(AND(D1579="Pass",E1579="Pass",F1579="Pass"),"Pass","Incomplete")))</f>
        <v/>
      </c>
      <c r="H1579" s="18"/>
      <c r="I1579" s="18"/>
    </row>
    <row r="1580" customFormat="false" ht="15.75" hidden="false" customHeight="true" outlineLevel="0" collapsed="false">
      <c r="A1580" s="18"/>
      <c r="B1580" s="18"/>
      <c r="C1580" s="19"/>
      <c r="D1580" s="20"/>
      <c r="E1580" s="20"/>
      <c r="F1580" s="20"/>
      <c r="G1580" s="20" t="str">
        <f aca="false">IF(COUNTBLANK(D1580:F1580)=3,"",IF(OR(D1580="Fail",E1580="Fail",F1580="Fail"),"Fail",IF(AND(D1580="Pass",E1580="Pass",F1580="Pass"),"Pass","Incomplete")))</f>
        <v/>
      </c>
      <c r="H1580" s="18"/>
      <c r="I1580" s="18"/>
    </row>
    <row r="1581" customFormat="false" ht="15.75" hidden="false" customHeight="true" outlineLevel="0" collapsed="false">
      <c r="A1581" s="18"/>
      <c r="B1581" s="18"/>
      <c r="C1581" s="19"/>
      <c r="D1581" s="20"/>
      <c r="E1581" s="20"/>
      <c r="F1581" s="20"/>
      <c r="G1581" s="20" t="str">
        <f aca="false">IF(COUNTBLANK(D1581:F1581)=3,"",IF(OR(D1581="Fail",E1581="Fail",F1581="Fail"),"Fail",IF(AND(D1581="Pass",E1581="Pass",F1581="Pass"),"Pass","Incomplete")))</f>
        <v/>
      </c>
      <c r="H1581" s="18"/>
      <c r="I1581" s="18"/>
    </row>
    <row r="1582" customFormat="false" ht="15.75" hidden="false" customHeight="true" outlineLevel="0" collapsed="false">
      <c r="A1582" s="18"/>
      <c r="B1582" s="18"/>
      <c r="C1582" s="19"/>
      <c r="D1582" s="20"/>
      <c r="E1582" s="20"/>
      <c r="F1582" s="20"/>
      <c r="G1582" s="20" t="str">
        <f aca="false">IF(COUNTBLANK(D1582:F1582)=3,"",IF(OR(D1582="Fail",E1582="Fail",F1582="Fail"),"Fail",IF(AND(D1582="Pass",E1582="Pass",F1582="Pass"),"Pass","Incomplete")))</f>
        <v/>
      </c>
      <c r="H1582" s="18"/>
      <c r="I1582" s="18"/>
    </row>
    <row r="1583" customFormat="false" ht="15.75" hidden="false" customHeight="true" outlineLevel="0" collapsed="false">
      <c r="A1583" s="18"/>
      <c r="B1583" s="18"/>
      <c r="C1583" s="19"/>
      <c r="D1583" s="20"/>
      <c r="E1583" s="20"/>
      <c r="F1583" s="20"/>
      <c r="G1583" s="20" t="str">
        <f aca="false">IF(COUNTBLANK(D1583:F1583)=3,"",IF(OR(D1583="Fail",E1583="Fail",F1583="Fail"),"Fail",IF(AND(D1583="Pass",E1583="Pass",F1583="Pass"),"Pass","Incomplete")))</f>
        <v/>
      </c>
      <c r="H1583" s="18"/>
      <c r="I1583" s="18"/>
    </row>
    <row r="1584" customFormat="false" ht="15.75" hidden="false" customHeight="true" outlineLevel="0" collapsed="false">
      <c r="A1584" s="18"/>
      <c r="B1584" s="18"/>
      <c r="C1584" s="19"/>
      <c r="D1584" s="20"/>
      <c r="E1584" s="20"/>
      <c r="F1584" s="20"/>
      <c r="G1584" s="20" t="str">
        <f aca="false">IF(COUNTBLANK(D1584:F1584)=3,"",IF(OR(D1584="Fail",E1584="Fail",F1584="Fail"),"Fail",IF(AND(D1584="Pass",E1584="Pass",F1584="Pass"),"Pass","Incomplete")))</f>
        <v/>
      </c>
      <c r="H1584" s="18"/>
      <c r="I1584" s="18"/>
    </row>
    <row r="1585" customFormat="false" ht="15.75" hidden="false" customHeight="true" outlineLevel="0" collapsed="false">
      <c r="A1585" s="18"/>
      <c r="B1585" s="18"/>
      <c r="C1585" s="19"/>
      <c r="D1585" s="20"/>
      <c r="E1585" s="20"/>
      <c r="F1585" s="20"/>
      <c r="G1585" s="20" t="str">
        <f aca="false">IF(COUNTBLANK(D1585:F1585)=3,"",IF(OR(D1585="Fail",E1585="Fail",F1585="Fail"),"Fail",IF(AND(D1585="Pass",E1585="Pass",F1585="Pass"),"Pass","Incomplete")))</f>
        <v/>
      </c>
      <c r="H1585" s="18"/>
      <c r="I1585" s="18"/>
    </row>
    <row r="1586" customFormat="false" ht="15.75" hidden="false" customHeight="true" outlineLevel="0" collapsed="false">
      <c r="A1586" s="18"/>
      <c r="B1586" s="18"/>
      <c r="C1586" s="19"/>
      <c r="D1586" s="20"/>
      <c r="E1586" s="20"/>
      <c r="F1586" s="20"/>
      <c r="G1586" s="20" t="str">
        <f aca="false">IF(COUNTBLANK(D1586:F1586)=3,"",IF(OR(D1586="Fail",E1586="Fail",F1586="Fail"),"Fail",IF(AND(D1586="Pass",E1586="Pass",F1586="Pass"),"Pass","Incomplete")))</f>
        <v/>
      </c>
      <c r="H1586" s="18"/>
      <c r="I1586" s="18"/>
    </row>
    <row r="1587" customFormat="false" ht="15.75" hidden="false" customHeight="true" outlineLevel="0" collapsed="false">
      <c r="A1587" s="18"/>
      <c r="B1587" s="18"/>
      <c r="C1587" s="19"/>
      <c r="D1587" s="20"/>
      <c r="E1587" s="20"/>
      <c r="F1587" s="20"/>
      <c r="G1587" s="20" t="str">
        <f aca="false">IF(COUNTBLANK(D1587:F1587)=3,"",IF(OR(D1587="Fail",E1587="Fail",F1587="Fail"),"Fail",IF(AND(D1587="Pass",E1587="Pass",F1587="Pass"),"Pass","Incomplete")))</f>
        <v/>
      </c>
      <c r="H1587" s="18"/>
      <c r="I1587" s="18"/>
    </row>
    <row r="1588" customFormat="false" ht="15.75" hidden="false" customHeight="true" outlineLevel="0" collapsed="false">
      <c r="A1588" s="18"/>
      <c r="B1588" s="18"/>
      <c r="C1588" s="19"/>
      <c r="D1588" s="20"/>
      <c r="E1588" s="20"/>
      <c r="F1588" s="20"/>
      <c r="G1588" s="20" t="str">
        <f aca="false">IF(COUNTBLANK(D1588:F1588)=3,"",IF(OR(D1588="Fail",E1588="Fail",F1588="Fail"),"Fail",IF(AND(D1588="Pass",E1588="Pass",F1588="Pass"),"Pass","Incomplete")))</f>
        <v/>
      </c>
      <c r="H1588" s="18"/>
      <c r="I1588" s="18"/>
    </row>
    <row r="1589" customFormat="false" ht="15.75" hidden="false" customHeight="true" outlineLevel="0" collapsed="false">
      <c r="A1589" s="18"/>
      <c r="B1589" s="18"/>
      <c r="C1589" s="19"/>
      <c r="D1589" s="20"/>
      <c r="E1589" s="20"/>
      <c r="F1589" s="20"/>
      <c r="G1589" s="20" t="str">
        <f aca="false">IF(COUNTBLANK(D1589:F1589)=3,"",IF(OR(D1589="Fail",E1589="Fail",F1589="Fail"),"Fail",IF(AND(D1589="Pass",E1589="Pass",F1589="Pass"),"Pass","Incomplete")))</f>
        <v/>
      </c>
      <c r="H1589" s="18"/>
      <c r="I1589" s="18"/>
    </row>
    <row r="1590" customFormat="false" ht="15.75" hidden="false" customHeight="true" outlineLevel="0" collapsed="false">
      <c r="A1590" s="18"/>
      <c r="B1590" s="18"/>
      <c r="C1590" s="19"/>
      <c r="D1590" s="20"/>
      <c r="E1590" s="20"/>
      <c r="F1590" s="20"/>
      <c r="G1590" s="20" t="str">
        <f aca="false">IF(COUNTBLANK(D1590:F1590)=3,"",IF(OR(D1590="Fail",E1590="Fail",F1590="Fail"),"Fail",IF(AND(D1590="Pass",E1590="Pass",F1590="Pass"),"Pass","Incomplete")))</f>
        <v/>
      </c>
      <c r="H1590" s="18"/>
      <c r="I1590" s="18"/>
    </row>
    <row r="1591" customFormat="false" ht="15.75" hidden="false" customHeight="true" outlineLevel="0" collapsed="false">
      <c r="A1591" s="18"/>
      <c r="B1591" s="18"/>
      <c r="C1591" s="19"/>
      <c r="D1591" s="20"/>
      <c r="E1591" s="20"/>
      <c r="F1591" s="20"/>
      <c r="G1591" s="20" t="str">
        <f aca="false">IF(COUNTBLANK(D1591:F1591)=3,"",IF(OR(D1591="Fail",E1591="Fail",F1591="Fail"),"Fail",IF(AND(D1591="Pass",E1591="Pass",F1591="Pass"),"Pass","Incomplete")))</f>
        <v/>
      </c>
      <c r="H1591" s="18"/>
      <c r="I1591" s="18"/>
    </row>
    <row r="1592" customFormat="false" ht="15.75" hidden="false" customHeight="true" outlineLevel="0" collapsed="false">
      <c r="A1592" s="18"/>
      <c r="B1592" s="18"/>
      <c r="C1592" s="19"/>
      <c r="D1592" s="20"/>
      <c r="E1592" s="20"/>
      <c r="F1592" s="20"/>
      <c r="G1592" s="20" t="str">
        <f aca="false">IF(COUNTBLANK(D1592:F1592)=3,"",IF(OR(D1592="Fail",E1592="Fail",F1592="Fail"),"Fail",IF(AND(D1592="Pass",E1592="Pass",F1592="Pass"),"Pass","Incomplete")))</f>
        <v/>
      </c>
      <c r="H1592" s="18"/>
      <c r="I1592" s="18"/>
    </row>
    <row r="1593" customFormat="false" ht="15.75" hidden="false" customHeight="true" outlineLevel="0" collapsed="false">
      <c r="A1593" s="18"/>
      <c r="B1593" s="18"/>
      <c r="C1593" s="19"/>
      <c r="D1593" s="20"/>
      <c r="E1593" s="20"/>
      <c r="F1593" s="20"/>
      <c r="G1593" s="20" t="str">
        <f aca="false">IF(COUNTBLANK(D1593:F1593)=3,"",IF(OR(D1593="Fail",E1593="Fail",F1593="Fail"),"Fail",IF(AND(D1593="Pass",E1593="Pass",F1593="Pass"),"Pass","Incomplete")))</f>
        <v/>
      </c>
      <c r="H1593" s="18"/>
      <c r="I1593" s="18"/>
    </row>
    <row r="1594" customFormat="false" ht="15.75" hidden="false" customHeight="true" outlineLevel="0" collapsed="false">
      <c r="A1594" s="18"/>
      <c r="B1594" s="18"/>
      <c r="C1594" s="19"/>
      <c r="D1594" s="20"/>
      <c r="E1594" s="20"/>
      <c r="F1594" s="20"/>
      <c r="G1594" s="20" t="str">
        <f aca="false">IF(COUNTBLANK(D1594:F1594)=3,"",IF(OR(D1594="Fail",E1594="Fail",F1594="Fail"),"Fail",IF(AND(D1594="Pass",E1594="Pass",F1594="Pass"),"Pass","Incomplete")))</f>
        <v/>
      </c>
      <c r="H1594" s="18"/>
      <c r="I1594" s="18"/>
    </row>
    <row r="1595" customFormat="false" ht="15.75" hidden="false" customHeight="true" outlineLevel="0" collapsed="false">
      <c r="A1595" s="18"/>
      <c r="B1595" s="18"/>
      <c r="C1595" s="19"/>
      <c r="D1595" s="20"/>
      <c r="E1595" s="20"/>
      <c r="F1595" s="20"/>
      <c r="G1595" s="20" t="str">
        <f aca="false">IF(COUNTBLANK(D1595:F1595)=3,"",IF(OR(D1595="Fail",E1595="Fail",F1595="Fail"),"Fail",IF(AND(D1595="Pass",E1595="Pass",F1595="Pass"),"Pass","Incomplete")))</f>
        <v/>
      </c>
      <c r="H1595" s="18"/>
      <c r="I1595" s="18"/>
    </row>
    <row r="1596" customFormat="false" ht="15.75" hidden="false" customHeight="true" outlineLevel="0" collapsed="false">
      <c r="A1596" s="18"/>
      <c r="B1596" s="18"/>
      <c r="C1596" s="19"/>
      <c r="D1596" s="20"/>
      <c r="E1596" s="20"/>
      <c r="F1596" s="20"/>
      <c r="G1596" s="20" t="str">
        <f aca="false">IF(COUNTBLANK(D1596:F1596)=3,"",IF(OR(D1596="Fail",E1596="Fail",F1596="Fail"),"Fail",IF(AND(D1596="Pass",E1596="Pass",F1596="Pass"),"Pass","Incomplete")))</f>
        <v/>
      </c>
      <c r="H1596" s="18"/>
      <c r="I1596" s="18"/>
    </row>
    <row r="1597" customFormat="false" ht="15.75" hidden="false" customHeight="true" outlineLevel="0" collapsed="false">
      <c r="A1597" s="18"/>
      <c r="B1597" s="18"/>
      <c r="C1597" s="19"/>
      <c r="D1597" s="20"/>
      <c r="E1597" s="20"/>
      <c r="F1597" s="20"/>
      <c r="G1597" s="20" t="str">
        <f aca="false">IF(COUNTBLANK(D1597:F1597)=3,"",IF(OR(D1597="Fail",E1597="Fail",F1597="Fail"),"Fail",IF(AND(D1597="Pass",E1597="Pass",F1597="Pass"),"Pass","Incomplete")))</f>
        <v/>
      </c>
      <c r="H1597" s="18"/>
      <c r="I1597" s="18"/>
    </row>
    <row r="1598" customFormat="false" ht="15.75" hidden="false" customHeight="true" outlineLevel="0" collapsed="false">
      <c r="A1598" s="18"/>
      <c r="B1598" s="18"/>
      <c r="C1598" s="19"/>
      <c r="D1598" s="20"/>
      <c r="E1598" s="20"/>
      <c r="F1598" s="20"/>
      <c r="G1598" s="20" t="str">
        <f aca="false">IF(COUNTBLANK(D1598:F1598)=3,"",IF(OR(D1598="Fail",E1598="Fail",F1598="Fail"),"Fail",IF(AND(D1598="Pass",E1598="Pass",F1598="Pass"),"Pass","Incomplete")))</f>
        <v/>
      </c>
      <c r="H1598" s="18"/>
      <c r="I1598" s="18"/>
    </row>
    <row r="1599" customFormat="false" ht="15.75" hidden="false" customHeight="true" outlineLevel="0" collapsed="false">
      <c r="A1599" s="18"/>
      <c r="B1599" s="18"/>
      <c r="C1599" s="19"/>
      <c r="D1599" s="20"/>
      <c r="E1599" s="20"/>
      <c r="F1599" s="20"/>
      <c r="G1599" s="20" t="str">
        <f aca="false">IF(COUNTBLANK(D1599:F1599)=3,"",IF(OR(D1599="Fail",E1599="Fail",F1599="Fail"),"Fail",IF(AND(D1599="Pass",E1599="Pass",F1599="Pass"),"Pass","Incomplete")))</f>
        <v/>
      </c>
      <c r="H1599" s="18"/>
      <c r="I1599" s="18"/>
    </row>
    <row r="1600" customFormat="false" ht="15.75" hidden="false" customHeight="true" outlineLevel="0" collapsed="false">
      <c r="A1600" s="18"/>
      <c r="B1600" s="18"/>
      <c r="C1600" s="19"/>
      <c r="D1600" s="20"/>
      <c r="E1600" s="20"/>
      <c r="F1600" s="20"/>
      <c r="G1600" s="20" t="str">
        <f aca="false">IF(COUNTBLANK(D1600:F1600)=3,"",IF(OR(D1600="Fail",E1600="Fail",F1600="Fail"),"Fail",IF(AND(D1600="Pass",E1600="Pass",F1600="Pass"),"Pass","Incomplete")))</f>
        <v/>
      </c>
      <c r="H1600" s="18"/>
      <c r="I1600" s="18"/>
    </row>
    <row r="1601" customFormat="false" ht="15.75" hidden="false" customHeight="true" outlineLevel="0" collapsed="false">
      <c r="A1601" s="18"/>
      <c r="B1601" s="18"/>
      <c r="C1601" s="19"/>
      <c r="D1601" s="20"/>
      <c r="E1601" s="20"/>
      <c r="F1601" s="20"/>
      <c r="G1601" s="20" t="str">
        <f aca="false">IF(COUNTBLANK(D1601:F1601)=3,"",IF(OR(D1601="Fail",E1601="Fail",F1601="Fail"),"Fail",IF(AND(D1601="Pass",E1601="Pass",F1601="Pass"),"Pass","Incomplete")))</f>
        <v/>
      </c>
      <c r="H1601" s="18"/>
      <c r="I1601" s="18"/>
    </row>
    <row r="1602" customFormat="false" ht="15.75" hidden="false" customHeight="true" outlineLevel="0" collapsed="false">
      <c r="A1602" s="18"/>
      <c r="B1602" s="18"/>
      <c r="C1602" s="19"/>
      <c r="D1602" s="20"/>
      <c r="E1602" s="20"/>
      <c r="F1602" s="20"/>
      <c r="G1602" s="20" t="str">
        <f aca="false">IF(COUNTBLANK(D1602:F1602)=3,"",IF(OR(D1602="Fail",E1602="Fail",F1602="Fail"),"Fail",IF(AND(D1602="Pass",E1602="Pass",F1602="Pass"),"Pass","Incomplete")))</f>
        <v/>
      </c>
      <c r="H1602" s="18"/>
      <c r="I1602" s="18"/>
    </row>
    <row r="1603" customFormat="false" ht="15.75" hidden="false" customHeight="true" outlineLevel="0" collapsed="false">
      <c r="A1603" s="18"/>
      <c r="B1603" s="18"/>
      <c r="C1603" s="19"/>
      <c r="D1603" s="20"/>
      <c r="E1603" s="20"/>
      <c r="F1603" s="20"/>
      <c r="G1603" s="20" t="str">
        <f aca="false">IF(COUNTBLANK(D1603:F1603)=3,"",IF(OR(D1603="Fail",E1603="Fail",F1603="Fail"),"Fail",IF(AND(D1603="Pass",E1603="Pass",F1603="Pass"),"Pass","Incomplete")))</f>
        <v/>
      </c>
      <c r="H1603" s="18"/>
      <c r="I1603" s="18"/>
    </row>
    <row r="1604" customFormat="false" ht="15.75" hidden="false" customHeight="true" outlineLevel="0" collapsed="false">
      <c r="A1604" s="18"/>
      <c r="B1604" s="18"/>
      <c r="C1604" s="19"/>
      <c r="D1604" s="20"/>
      <c r="E1604" s="20"/>
      <c r="F1604" s="20"/>
      <c r="G1604" s="20" t="str">
        <f aca="false">IF(COUNTBLANK(D1604:F1604)=3,"",IF(OR(D1604="Fail",E1604="Fail",F1604="Fail"),"Fail",IF(AND(D1604="Pass",E1604="Pass",F1604="Pass"),"Pass","Incomplete")))</f>
        <v/>
      </c>
      <c r="H1604" s="18"/>
      <c r="I1604" s="18"/>
    </row>
    <row r="1605" customFormat="false" ht="15.75" hidden="false" customHeight="true" outlineLevel="0" collapsed="false">
      <c r="A1605" s="18"/>
      <c r="B1605" s="18"/>
      <c r="C1605" s="19"/>
      <c r="D1605" s="20"/>
      <c r="E1605" s="20"/>
      <c r="F1605" s="20"/>
      <c r="G1605" s="20" t="str">
        <f aca="false">IF(COUNTBLANK(D1605:F1605)=3,"",IF(OR(D1605="Fail",E1605="Fail",F1605="Fail"),"Fail",IF(AND(D1605="Pass",E1605="Pass",F1605="Pass"),"Pass","Incomplete")))</f>
        <v/>
      </c>
      <c r="H1605" s="18"/>
      <c r="I1605" s="18"/>
    </row>
    <row r="1606" customFormat="false" ht="15.75" hidden="false" customHeight="true" outlineLevel="0" collapsed="false">
      <c r="A1606" s="18"/>
      <c r="B1606" s="18"/>
      <c r="C1606" s="19"/>
      <c r="D1606" s="20"/>
      <c r="E1606" s="20"/>
      <c r="F1606" s="20"/>
      <c r="G1606" s="20" t="str">
        <f aca="false">IF(COUNTBLANK(D1606:F1606)=3,"",IF(OR(D1606="Fail",E1606="Fail",F1606="Fail"),"Fail",IF(AND(D1606="Pass",E1606="Pass",F1606="Pass"),"Pass","Incomplete")))</f>
        <v/>
      </c>
      <c r="H1606" s="18"/>
      <c r="I1606" s="18"/>
    </row>
    <row r="1607" customFormat="false" ht="15.75" hidden="false" customHeight="true" outlineLevel="0" collapsed="false">
      <c r="A1607" s="18"/>
      <c r="B1607" s="18"/>
      <c r="C1607" s="19"/>
      <c r="D1607" s="20"/>
      <c r="E1607" s="20"/>
      <c r="F1607" s="20"/>
      <c r="G1607" s="20" t="str">
        <f aca="false">IF(COUNTBLANK(D1607:F1607)=3,"",IF(OR(D1607="Fail",E1607="Fail",F1607="Fail"),"Fail",IF(AND(D1607="Pass",E1607="Pass",F1607="Pass"),"Pass","Incomplete")))</f>
        <v/>
      </c>
      <c r="H1607" s="18"/>
      <c r="I1607" s="18"/>
    </row>
    <row r="1608" customFormat="false" ht="15.75" hidden="false" customHeight="true" outlineLevel="0" collapsed="false">
      <c r="A1608" s="18"/>
      <c r="B1608" s="18"/>
      <c r="C1608" s="19"/>
      <c r="D1608" s="20"/>
      <c r="E1608" s="20"/>
      <c r="F1608" s="20"/>
      <c r="G1608" s="20" t="str">
        <f aca="false">IF(COUNTBLANK(D1608:F1608)=3,"",IF(OR(D1608="Fail",E1608="Fail",F1608="Fail"),"Fail",IF(AND(D1608="Pass",E1608="Pass",F1608="Pass"),"Pass","Incomplete")))</f>
        <v/>
      </c>
      <c r="H1608" s="18"/>
      <c r="I1608" s="18"/>
    </row>
    <row r="1609" customFormat="false" ht="15.75" hidden="false" customHeight="true" outlineLevel="0" collapsed="false">
      <c r="A1609" s="18"/>
      <c r="B1609" s="18"/>
      <c r="C1609" s="19"/>
      <c r="D1609" s="20"/>
      <c r="E1609" s="20"/>
      <c r="F1609" s="20"/>
      <c r="G1609" s="20" t="str">
        <f aca="false">IF(COUNTBLANK(D1609:F1609)=3,"",IF(OR(D1609="Fail",E1609="Fail",F1609="Fail"),"Fail",IF(AND(D1609="Pass",E1609="Pass",F1609="Pass"),"Pass","Incomplete")))</f>
        <v/>
      </c>
      <c r="H1609" s="18"/>
      <c r="I1609" s="18"/>
    </row>
    <row r="1610" customFormat="false" ht="15.75" hidden="false" customHeight="true" outlineLevel="0" collapsed="false">
      <c r="A1610" s="18"/>
      <c r="B1610" s="18"/>
      <c r="C1610" s="19"/>
      <c r="D1610" s="20"/>
      <c r="E1610" s="20"/>
      <c r="F1610" s="20"/>
      <c r="G1610" s="20" t="str">
        <f aca="false">IF(COUNTBLANK(D1610:F1610)=3,"",IF(OR(D1610="Fail",E1610="Fail",F1610="Fail"),"Fail",IF(AND(D1610="Pass",E1610="Pass",F1610="Pass"),"Pass","Incomplete")))</f>
        <v/>
      </c>
      <c r="H1610" s="18"/>
      <c r="I1610" s="18"/>
    </row>
    <row r="1611" customFormat="false" ht="15.75" hidden="false" customHeight="true" outlineLevel="0" collapsed="false">
      <c r="A1611" s="18"/>
      <c r="B1611" s="18"/>
      <c r="C1611" s="19"/>
      <c r="D1611" s="20"/>
      <c r="E1611" s="20"/>
      <c r="F1611" s="20"/>
      <c r="G1611" s="20" t="str">
        <f aca="false">IF(COUNTBLANK(D1611:F1611)=3,"",IF(OR(D1611="Fail",E1611="Fail",F1611="Fail"),"Fail",IF(AND(D1611="Pass",E1611="Pass",F1611="Pass"),"Pass","Incomplete")))</f>
        <v/>
      </c>
      <c r="H1611" s="18"/>
      <c r="I1611" s="18"/>
    </row>
    <row r="1612" customFormat="false" ht="15.75" hidden="false" customHeight="true" outlineLevel="0" collapsed="false">
      <c r="A1612" s="18"/>
      <c r="B1612" s="18"/>
      <c r="C1612" s="19"/>
      <c r="D1612" s="20"/>
      <c r="E1612" s="20"/>
      <c r="F1612" s="20"/>
      <c r="G1612" s="20" t="str">
        <f aca="false">IF(COUNTBLANK(D1612:F1612)=3,"",IF(OR(D1612="Fail",E1612="Fail",F1612="Fail"),"Fail",IF(AND(D1612="Pass",E1612="Pass",F1612="Pass"),"Pass","Incomplete")))</f>
        <v/>
      </c>
      <c r="H1612" s="18"/>
      <c r="I1612" s="18"/>
    </row>
    <row r="1613" customFormat="false" ht="15.75" hidden="false" customHeight="true" outlineLevel="0" collapsed="false">
      <c r="A1613" s="18"/>
      <c r="B1613" s="18"/>
      <c r="C1613" s="19"/>
      <c r="D1613" s="20"/>
      <c r="E1613" s="20"/>
      <c r="F1613" s="20"/>
      <c r="G1613" s="20" t="str">
        <f aca="false">IF(COUNTBLANK(D1613:F1613)=3,"",IF(OR(D1613="Fail",E1613="Fail",F1613="Fail"),"Fail",IF(AND(D1613="Pass",E1613="Pass",F1613="Pass"),"Pass","Incomplete")))</f>
        <v/>
      </c>
      <c r="H1613" s="18"/>
      <c r="I1613" s="18"/>
    </row>
    <row r="1614" customFormat="false" ht="15.75" hidden="false" customHeight="true" outlineLevel="0" collapsed="false">
      <c r="A1614" s="18"/>
      <c r="B1614" s="18"/>
      <c r="C1614" s="19"/>
      <c r="D1614" s="20"/>
      <c r="E1614" s="20"/>
      <c r="F1614" s="20"/>
      <c r="G1614" s="20" t="str">
        <f aca="false">IF(COUNTBLANK(D1614:F1614)=3,"",IF(OR(D1614="Fail",E1614="Fail",F1614="Fail"),"Fail",IF(AND(D1614="Pass",E1614="Pass",F1614="Pass"),"Pass","Incomplete")))</f>
        <v/>
      </c>
      <c r="H1614" s="18"/>
      <c r="I1614" s="18"/>
    </row>
    <row r="1615" customFormat="false" ht="15.75" hidden="false" customHeight="true" outlineLevel="0" collapsed="false">
      <c r="A1615" s="18"/>
      <c r="B1615" s="18"/>
      <c r="C1615" s="19"/>
      <c r="D1615" s="20"/>
      <c r="E1615" s="20"/>
      <c r="F1615" s="20"/>
      <c r="G1615" s="20" t="str">
        <f aca="false">IF(COUNTBLANK(D1615:F1615)=3,"",IF(OR(D1615="Fail",E1615="Fail",F1615="Fail"),"Fail",IF(AND(D1615="Pass",E1615="Pass",F1615="Pass"),"Pass","Incomplete")))</f>
        <v/>
      </c>
      <c r="H1615" s="18"/>
      <c r="I1615" s="18"/>
    </row>
    <row r="1616" customFormat="false" ht="15.75" hidden="false" customHeight="true" outlineLevel="0" collapsed="false">
      <c r="A1616" s="18"/>
      <c r="B1616" s="18"/>
      <c r="C1616" s="19"/>
      <c r="D1616" s="20"/>
      <c r="E1616" s="20"/>
      <c r="F1616" s="20"/>
      <c r="G1616" s="20" t="str">
        <f aca="false">IF(COUNTBLANK(D1616:F1616)=3,"",IF(OR(D1616="Fail",E1616="Fail",F1616="Fail"),"Fail",IF(AND(D1616="Pass",E1616="Pass",F1616="Pass"),"Pass","Incomplete")))</f>
        <v/>
      </c>
      <c r="H1616" s="18"/>
      <c r="I1616" s="18"/>
    </row>
    <row r="1617" customFormat="false" ht="15.75" hidden="false" customHeight="true" outlineLevel="0" collapsed="false">
      <c r="A1617" s="18"/>
      <c r="B1617" s="18"/>
      <c r="C1617" s="19"/>
      <c r="D1617" s="20"/>
      <c r="E1617" s="20"/>
      <c r="F1617" s="20"/>
      <c r="G1617" s="20" t="str">
        <f aca="false">IF(COUNTBLANK(D1617:F1617)=3,"",IF(OR(D1617="Fail",E1617="Fail",F1617="Fail"),"Fail",IF(AND(D1617="Pass",E1617="Pass",F1617="Pass"),"Pass","Incomplete")))</f>
        <v/>
      </c>
      <c r="H1617" s="18"/>
      <c r="I1617" s="18"/>
    </row>
    <row r="1618" customFormat="false" ht="15.75" hidden="false" customHeight="true" outlineLevel="0" collapsed="false">
      <c r="A1618" s="18"/>
      <c r="B1618" s="18"/>
      <c r="C1618" s="19"/>
      <c r="D1618" s="20"/>
      <c r="E1618" s="20"/>
      <c r="F1618" s="20"/>
      <c r="G1618" s="20" t="str">
        <f aca="false">IF(COUNTBLANK(D1618:F1618)=3,"",IF(OR(D1618="Fail",E1618="Fail",F1618="Fail"),"Fail",IF(AND(D1618="Pass",E1618="Pass",F1618="Pass"),"Pass","Incomplete")))</f>
        <v/>
      </c>
      <c r="H1618" s="18"/>
      <c r="I1618" s="18"/>
    </row>
    <row r="1619" customFormat="false" ht="15.75" hidden="false" customHeight="true" outlineLevel="0" collapsed="false">
      <c r="A1619" s="18"/>
      <c r="B1619" s="18"/>
      <c r="C1619" s="19"/>
      <c r="D1619" s="20"/>
      <c r="E1619" s="20"/>
      <c r="F1619" s="20"/>
      <c r="G1619" s="20" t="str">
        <f aca="false">IF(COUNTBLANK(D1619:F1619)=3,"",IF(OR(D1619="Fail",E1619="Fail",F1619="Fail"),"Fail",IF(AND(D1619="Pass",E1619="Pass",F1619="Pass"),"Pass","Incomplete")))</f>
        <v/>
      </c>
      <c r="H1619" s="18"/>
      <c r="I1619" s="18"/>
    </row>
    <row r="1620" customFormat="false" ht="15.75" hidden="false" customHeight="true" outlineLevel="0" collapsed="false">
      <c r="A1620" s="18"/>
      <c r="B1620" s="18"/>
      <c r="C1620" s="19"/>
      <c r="D1620" s="20"/>
      <c r="E1620" s="20"/>
      <c r="F1620" s="20"/>
      <c r="G1620" s="20" t="str">
        <f aca="false">IF(COUNTBLANK(D1620:F1620)=3,"",IF(OR(D1620="Fail",E1620="Fail",F1620="Fail"),"Fail",IF(AND(D1620="Pass",E1620="Pass",F1620="Pass"),"Pass","Incomplete")))</f>
        <v/>
      </c>
      <c r="H1620" s="18"/>
      <c r="I1620" s="18"/>
    </row>
    <row r="1621" customFormat="false" ht="15.75" hidden="false" customHeight="true" outlineLevel="0" collapsed="false">
      <c r="A1621" s="18"/>
      <c r="B1621" s="18"/>
      <c r="C1621" s="19"/>
      <c r="D1621" s="20"/>
      <c r="E1621" s="20"/>
      <c r="F1621" s="20"/>
      <c r="G1621" s="20" t="str">
        <f aca="false">IF(COUNTBLANK(D1621:F1621)=3,"",IF(OR(D1621="Fail",E1621="Fail",F1621="Fail"),"Fail",IF(AND(D1621="Pass",E1621="Pass",F1621="Pass"),"Pass","Incomplete")))</f>
        <v/>
      </c>
      <c r="H1621" s="18"/>
      <c r="I1621" s="18"/>
    </row>
    <row r="1622" customFormat="false" ht="15.75" hidden="false" customHeight="true" outlineLevel="0" collapsed="false">
      <c r="A1622" s="18"/>
      <c r="B1622" s="18"/>
      <c r="C1622" s="19"/>
      <c r="D1622" s="20"/>
      <c r="E1622" s="20"/>
      <c r="F1622" s="20"/>
      <c r="G1622" s="20" t="str">
        <f aca="false">IF(COUNTBLANK(D1622:F1622)=3,"",IF(OR(D1622="Fail",E1622="Fail",F1622="Fail"),"Fail",IF(AND(D1622="Pass",E1622="Pass",F1622="Pass"),"Pass","Incomplete")))</f>
        <v/>
      </c>
      <c r="H1622" s="18"/>
      <c r="I1622" s="18"/>
    </row>
    <row r="1623" customFormat="false" ht="15.75" hidden="false" customHeight="true" outlineLevel="0" collapsed="false">
      <c r="A1623" s="18"/>
      <c r="B1623" s="18"/>
      <c r="C1623" s="19"/>
      <c r="D1623" s="20"/>
      <c r="E1623" s="20"/>
      <c r="F1623" s="20"/>
      <c r="G1623" s="20" t="str">
        <f aca="false">IF(COUNTBLANK(D1623:F1623)=3,"",IF(OR(D1623="Fail",E1623="Fail",F1623="Fail"),"Fail",IF(AND(D1623="Pass",E1623="Pass",F1623="Pass"),"Pass","Incomplete")))</f>
        <v/>
      </c>
      <c r="H1623" s="18"/>
      <c r="I1623" s="18"/>
    </row>
    <row r="1624" customFormat="false" ht="15.75" hidden="false" customHeight="true" outlineLevel="0" collapsed="false">
      <c r="A1624" s="18"/>
      <c r="B1624" s="18"/>
      <c r="C1624" s="19"/>
      <c r="D1624" s="20"/>
      <c r="E1624" s="20"/>
      <c r="F1624" s="20"/>
      <c r="G1624" s="20" t="str">
        <f aca="false">IF(COUNTBLANK(D1624:F1624)=3,"",IF(OR(D1624="Fail",E1624="Fail",F1624="Fail"),"Fail",IF(AND(D1624="Pass",E1624="Pass",F1624="Pass"),"Pass","Incomplete")))</f>
        <v/>
      </c>
      <c r="H1624" s="18"/>
      <c r="I1624" s="18"/>
    </row>
    <row r="1625" customFormat="false" ht="15.75" hidden="false" customHeight="true" outlineLevel="0" collapsed="false">
      <c r="A1625" s="18"/>
      <c r="B1625" s="18"/>
      <c r="C1625" s="19"/>
      <c r="D1625" s="20"/>
      <c r="E1625" s="20"/>
      <c r="F1625" s="20"/>
      <c r="G1625" s="20" t="str">
        <f aca="false">IF(COUNTBLANK(D1625:F1625)=3,"",IF(OR(D1625="Fail",E1625="Fail",F1625="Fail"),"Fail",IF(AND(D1625="Pass",E1625="Pass",F1625="Pass"),"Pass","Incomplete")))</f>
        <v/>
      </c>
      <c r="H1625" s="18"/>
      <c r="I1625" s="18"/>
    </row>
    <row r="1626" customFormat="false" ht="15.75" hidden="false" customHeight="true" outlineLevel="0" collapsed="false">
      <c r="A1626" s="18"/>
      <c r="B1626" s="18"/>
      <c r="C1626" s="19"/>
      <c r="D1626" s="20"/>
      <c r="E1626" s="20"/>
      <c r="F1626" s="20"/>
      <c r="G1626" s="20" t="str">
        <f aca="false">IF(COUNTBLANK(D1626:F1626)=3,"",IF(OR(D1626="Fail",E1626="Fail",F1626="Fail"),"Fail",IF(AND(D1626="Pass",E1626="Pass",F1626="Pass"),"Pass","Incomplete")))</f>
        <v/>
      </c>
      <c r="H1626" s="18"/>
      <c r="I1626" s="18"/>
    </row>
    <row r="1627" customFormat="false" ht="15.75" hidden="false" customHeight="true" outlineLevel="0" collapsed="false">
      <c r="A1627" s="18"/>
      <c r="B1627" s="18"/>
      <c r="C1627" s="19"/>
      <c r="D1627" s="20"/>
      <c r="E1627" s="20"/>
      <c r="F1627" s="20"/>
      <c r="G1627" s="20" t="str">
        <f aca="false">IF(COUNTBLANK(D1627:F1627)=3,"",IF(OR(D1627="Fail",E1627="Fail",F1627="Fail"),"Fail",IF(AND(D1627="Pass",E1627="Pass",F1627="Pass"),"Pass","Incomplete")))</f>
        <v/>
      </c>
      <c r="H1627" s="18"/>
      <c r="I1627" s="18"/>
    </row>
    <row r="1628" customFormat="false" ht="15.75" hidden="false" customHeight="true" outlineLevel="0" collapsed="false">
      <c r="A1628" s="18"/>
      <c r="B1628" s="18"/>
      <c r="C1628" s="19"/>
      <c r="D1628" s="20"/>
      <c r="E1628" s="20"/>
      <c r="F1628" s="20"/>
      <c r="G1628" s="20" t="str">
        <f aca="false">IF(COUNTBLANK(D1628:F1628)=3,"",IF(OR(D1628="Fail",E1628="Fail",F1628="Fail"),"Fail",IF(AND(D1628="Pass",E1628="Pass",F1628="Pass"),"Pass","Incomplete")))</f>
        <v/>
      </c>
      <c r="H1628" s="18"/>
      <c r="I1628" s="18"/>
    </row>
    <row r="1629" customFormat="false" ht="15.75" hidden="false" customHeight="true" outlineLevel="0" collapsed="false">
      <c r="A1629" s="18"/>
      <c r="B1629" s="18"/>
      <c r="C1629" s="19"/>
      <c r="D1629" s="20"/>
      <c r="E1629" s="20"/>
      <c r="F1629" s="20"/>
      <c r="G1629" s="20" t="str">
        <f aca="false">IF(COUNTBLANK(D1629:F1629)=3,"",IF(OR(D1629="Fail",E1629="Fail",F1629="Fail"),"Fail",IF(AND(D1629="Pass",E1629="Pass",F1629="Pass"),"Pass","Incomplete")))</f>
        <v/>
      </c>
      <c r="H1629" s="18"/>
      <c r="I1629" s="18"/>
    </row>
    <row r="1630" customFormat="false" ht="15.75" hidden="false" customHeight="true" outlineLevel="0" collapsed="false">
      <c r="A1630" s="18"/>
      <c r="B1630" s="18"/>
      <c r="C1630" s="19"/>
      <c r="D1630" s="20"/>
      <c r="E1630" s="20"/>
      <c r="F1630" s="20"/>
      <c r="G1630" s="20" t="str">
        <f aca="false">IF(COUNTBLANK(D1630:F1630)=3,"",IF(OR(D1630="Fail",E1630="Fail",F1630="Fail"),"Fail",IF(AND(D1630="Pass",E1630="Pass",F1630="Pass"),"Pass","Incomplete")))</f>
        <v/>
      </c>
      <c r="H1630" s="18"/>
      <c r="I1630" s="18"/>
    </row>
    <row r="1631" customFormat="false" ht="15.75" hidden="false" customHeight="true" outlineLevel="0" collapsed="false">
      <c r="A1631" s="18"/>
      <c r="B1631" s="18"/>
      <c r="C1631" s="19"/>
      <c r="D1631" s="20"/>
      <c r="E1631" s="20"/>
      <c r="F1631" s="20"/>
      <c r="G1631" s="20" t="str">
        <f aca="false">IF(COUNTBLANK(D1631:F1631)=3,"",IF(OR(D1631="Fail",E1631="Fail",F1631="Fail"),"Fail",IF(AND(D1631="Pass",E1631="Pass",F1631="Pass"),"Pass","Incomplete")))</f>
        <v/>
      </c>
      <c r="H1631" s="18"/>
      <c r="I1631" s="18"/>
    </row>
    <row r="1632" customFormat="false" ht="15.75" hidden="false" customHeight="true" outlineLevel="0" collapsed="false">
      <c r="A1632" s="18"/>
      <c r="B1632" s="18"/>
      <c r="C1632" s="19"/>
      <c r="D1632" s="20"/>
      <c r="E1632" s="20"/>
      <c r="F1632" s="20"/>
      <c r="G1632" s="20" t="str">
        <f aca="false">IF(COUNTBLANK(D1632:F1632)=3,"",IF(OR(D1632="Fail",E1632="Fail",F1632="Fail"),"Fail",IF(AND(D1632="Pass",E1632="Pass",F1632="Pass"),"Pass","Incomplete")))</f>
        <v/>
      </c>
      <c r="H1632" s="18"/>
      <c r="I1632" s="18"/>
    </row>
    <row r="1633" customFormat="false" ht="15.75" hidden="false" customHeight="true" outlineLevel="0" collapsed="false">
      <c r="A1633" s="18"/>
      <c r="B1633" s="18"/>
      <c r="C1633" s="19"/>
      <c r="D1633" s="20"/>
      <c r="E1633" s="20"/>
      <c r="F1633" s="20"/>
      <c r="G1633" s="20" t="str">
        <f aca="false">IF(COUNTBLANK(D1633:F1633)=3,"",IF(OR(D1633="Fail",E1633="Fail",F1633="Fail"),"Fail",IF(AND(D1633="Pass",E1633="Pass",F1633="Pass"),"Pass","Incomplete")))</f>
        <v/>
      </c>
      <c r="H1633" s="18"/>
      <c r="I1633" s="18"/>
    </row>
    <row r="1634" customFormat="false" ht="15.75" hidden="false" customHeight="true" outlineLevel="0" collapsed="false">
      <c r="A1634" s="18"/>
      <c r="B1634" s="18"/>
      <c r="C1634" s="19"/>
      <c r="D1634" s="20"/>
      <c r="E1634" s="20"/>
      <c r="F1634" s="20"/>
      <c r="G1634" s="20" t="str">
        <f aca="false">IF(COUNTBLANK(D1634:F1634)=3,"",IF(OR(D1634="Fail",E1634="Fail",F1634="Fail"),"Fail",IF(AND(D1634="Pass",E1634="Pass",F1634="Pass"),"Pass","Incomplete")))</f>
        <v/>
      </c>
      <c r="H1634" s="18"/>
      <c r="I1634" s="18"/>
    </row>
    <row r="1635" customFormat="false" ht="15.75" hidden="false" customHeight="true" outlineLevel="0" collapsed="false">
      <c r="A1635" s="18"/>
      <c r="B1635" s="18"/>
      <c r="C1635" s="19"/>
      <c r="D1635" s="20"/>
      <c r="E1635" s="20"/>
      <c r="F1635" s="20"/>
      <c r="G1635" s="20" t="str">
        <f aca="false">IF(COUNTBLANK(D1635:F1635)=3,"",IF(OR(D1635="Fail",E1635="Fail",F1635="Fail"),"Fail",IF(AND(D1635="Pass",E1635="Pass",F1635="Pass"),"Pass","Incomplete")))</f>
        <v/>
      </c>
      <c r="H1635" s="18"/>
      <c r="I1635" s="18"/>
    </row>
    <row r="1636" customFormat="false" ht="15.75" hidden="false" customHeight="true" outlineLevel="0" collapsed="false">
      <c r="A1636" s="18"/>
      <c r="B1636" s="18"/>
      <c r="C1636" s="19"/>
      <c r="D1636" s="20"/>
      <c r="E1636" s="20"/>
      <c r="F1636" s="20"/>
      <c r="G1636" s="20" t="str">
        <f aca="false">IF(COUNTBLANK(D1636:F1636)=3,"",IF(OR(D1636="Fail",E1636="Fail",F1636="Fail"),"Fail",IF(AND(D1636="Pass",E1636="Pass",F1636="Pass"),"Pass","Incomplete")))</f>
        <v/>
      </c>
      <c r="H1636" s="18"/>
      <c r="I1636" s="18"/>
    </row>
    <row r="1637" customFormat="false" ht="15.75" hidden="false" customHeight="true" outlineLevel="0" collapsed="false">
      <c r="A1637" s="18"/>
      <c r="B1637" s="18"/>
      <c r="C1637" s="19"/>
      <c r="D1637" s="20"/>
      <c r="E1637" s="20"/>
      <c r="F1637" s="20"/>
      <c r="G1637" s="20" t="str">
        <f aca="false">IF(COUNTBLANK(D1637:F1637)=3,"",IF(OR(D1637="Fail",E1637="Fail",F1637="Fail"),"Fail",IF(AND(D1637="Pass",E1637="Pass",F1637="Pass"),"Pass","Incomplete")))</f>
        <v/>
      </c>
      <c r="H1637" s="18"/>
      <c r="I1637" s="18"/>
    </row>
    <row r="1638" customFormat="false" ht="15.75" hidden="false" customHeight="true" outlineLevel="0" collapsed="false">
      <c r="A1638" s="18"/>
      <c r="B1638" s="18"/>
      <c r="C1638" s="19"/>
      <c r="D1638" s="20"/>
      <c r="E1638" s="20"/>
      <c r="F1638" s="20"/>
      <c r="G1638" s="20" t="str">
        <f aca="false">IF(COUNTBLANK(D1638:F1638)=3,"",IF(OR(D1638="Fail",E1638="Fail",F1638="Fail"),"Fail",IF(AND(D1638="Pass",E1638="Pass",F1638="Pass"),"Pass","Incomplete")))</f>
        <v/>
      </c>
      <c r="H1638" s="18"/>
      <c r="I1638" s="18"/>
    </row>
    <row r="1639" customFormat="false" ht="15.75" hidden="false" customHeight="true" outlineLevel="0" collapsed="false">
      <c r="A1639" s="18"/>
      <c r="B1639" s="18"/>
      <c r="C1639" s="19"/>
      <c r="D1639" s="20"/>
      <c r="E1639" s="20"/>
      <c r="F1639" s="20"/>
      <c r="G1639" s="20" t="str">
        <f aca="false">IF(COUNTBLANK(D1639:F1639)=3,"",IF(OR(D1639="Fail",E1639="Fail",F1639="Fail"),"Fail",IF(AND(D1639="Pass",E1639="Pass",F1639="Pass"),"Pass","Incomplete")))</f>
        <v/>
      </c>
      <c r="H1639" s="18"/>
      <c r="I1639" s="18"/>
    </row>
    <row r="1640" customFormat="false" ht="15.75" hidden="false" customHeight="true" outlineLevel="0" collapsed="false">
      <c r="A1640" s="18"/>
      <c r="B1640" s="18"/>
      <c r="C1640" s="19"/>
      <c r="D1640" s="20"/>
      <c r="E1640" s="20"/>
      <c r="F1640" s="20"/>
      <c r="G1640" s="20" t="str">
        <f aca="false">IF(COUNTBLANK(D1640:F1640)=3,"",IF(OR(D1640="Fail",E1640="Fail",F1640="Fail"),"Fail",IF(AND(D1640="Pass",E1640="Pass",F1640="Pass"),"Pass","Incomplete")))</f>
        <v/>
      </c>
      <c r="H1640" s="18"/>
      <c r="I1640" s="18"/>
    </row>
    <row r="1641" customFormat="false" ht="15.75" hidden="false" customHeight="true" outlineLevel="0" collapsed="false">
      <c r="A1641" s="18"/>
      <c r="B1641" s="18"/>
      <c r="C1641" s="19"/>
      <c r="D1641" s="20"/>
      <c r="E1641" s="20"/>
      <c r="F1641" s="20"/>
      <c r="G1641" s="20" t="str">
        <f aca="false">IF(COUNTBLANK(D1641:F1641)=3,"",IF(OR(D1641="Fail",E1641="Fail",F1641="Fail"),"Fail",IF(AND(D1641="Pass",E1641="Pass",F1641="Pass"),"Pass","Incomplete")))</f>
        <v/>
      </c>
      <c r="H1641" s="18"/>
      <c r="I1641" s="18"/>
    </row>
    <row r="1642" customFormat="false" ht="15.75" hidden="false" customHeight="true" outlineLevel="0" collapsed="false">
      <c r="A1642" s="18"/>
      <c r="B1642" s="18"/>
      <c r="C1642" s="19"/>
      <c r="D1642" s="20"/>
      <c r="E1642" s="20"/>
      <c r="F1642" s="20"/>
      <c r="G1642" s="20" t="str">
        <f aca="false">IF(COUNTBLANK(D1642:F1642)=3,"",IF(OR(D1642="Fail",E1642="Fail",F1642="Fail"),"Fail",IF(AND(D1642="Pass",E1642="Pass",F1642="Pass"),"Pass","Incomplete")))</f>
        <v/>
      </c>
      <c r="H1642" s="18"/>
      <c r="I1642" s="18"/>
    </row>
    <row r="1643" customFormat="false" ht="15.75" hidden="false" customHeight="true" outlineLevel="0" collapsed="false">
      <c r="A1643" s="18"/>
      <c r="B1643" s="18"/>
      <c r="C1643" s="19"/>
      <c r="D1643" s="20"/>
      <c r="E1643" s="20"/>
      <c r="F1643" s="20"/>
      <c r="G1643" s="20" t="str">
        <f aca="false">IF(COUNTBLANK(D1643:F1643)=3,"",IF(OR(D1643="Fail",E1643="Fail",F1643="Fail"),"Fail",IF(AND(D1643="Pass",E1643="Pass",F1643="Pass"),"Pass","Incomplete")))</f>
        <v/>
      </c>
      <c r="H1643" s="18"/>
      <c r="I1643" s="18"/>
    </row>
    <row r="1644" customFormat="false" ht="15.75" hidden="false" customHeight="true" outlineLevel="0" collapsed="false">
      <c r="A1644" s="18"/>
      <c r="B1644" s="18"/>
      <c r="C1644" s="19"/>
      <c r="D1644" s="20"/>
      <c r="E1644" s="20"/>
      <c r="F1644" s="20"/>
      <c r="G1644" s="20" t="str">
        <f aca="false">IF(COUNTBLANK(D1644:F1644)=3,"",IF(OR(D1644="Fail",E1644="Fail",F1644="Fail"),"Fail",IF(AND(D1644="Pass",E1644="Pass",F1644="Pass"),"Pass","Incomplete")))</f>
        <v/>
      </c>
      <c r="H1644" s="18"/>
      <c r="I1644" s="18"/>
    </row>
    <row r="1645" customFormat="false" ht="15.75" hidden="false" customHeight="true" outlineLevel="0" collapsed="false">
      <c r="A1645" s="18"/>
      <c r="B1645" s="18"/>
      <c r="C1645" s="19"/>
      <c r="D1645" s="20"/>
      <c r="E1645" s="20"/>
      <c r="F1645" s="20"/>
      <c r="G1645" s="20" t="str">
        <f aca="false">IF(COUNTBLANK(D1645:F1645)=3,"",IF(OR(D1645="Fail",E1645="Fail",F1645="Fail"),"Fail",IF(AND(D1645="Pass",E1645="Pass",F1645="Pass"),"Pass","Incomplete")))</f>
        <v/>
      </c>
      <c r="H1645" s="18"/>
      <c r="I1645" s="18"/>
    </row>
    <row r="1646" customFormat="false" ht="15.75" hidden="false" customHeight="true" outlineLevel="0" collapsed="false">
      <c r="A1646" s="18"/>
      <c r="B1646" s="18"/>
      <c r="C1646" s="19"/>
      <c r="D1646" s="20"/>
      <c r="E1646" s="20"/>
      <c r="F1646" s="20"/>
      <c r="G1646" s="20" t="str">
        <f aca="false">IF(COUNTBLANK(D1646:F1646)=3,"",IF(OR(D1646="Fail",E1646="Fail",F1646="Fail"),"Fail",IF(AND(D1646="Pass",E1646="Pass",F1646="Pass"),"Pass","Incomplete")))</f>
        <v/>
      </c>
      <c r="H1646" s="18"/>
      <c r="I1646" s="18"/>
    </row>
    <row r="1647" customFormat="false" ht="15.75" hidden="false" customHeight="true" outlineLevel="0" collapsed="false">
      <c r="A1647" s="18"/>
      <c r="B1647" s="18"/>
      <c r="C1647" s="19"/>
      <c r="D1647" s="20"/>
      <c r="E1647" s="20"/>
      <c r="F1647" s="20"/>
      <c r="G1647" s="20" t="str">
        <f aca="false">IF(COUNTBLANK(D1647:F1647)=3,"",IF(OR(D1647="Fail",E1647="Fail",F1647="Fail"),"Fail",IF(AND(D1647="Pass",E1647="Pass",F1647="Pass"),"Pass","Incomplete")))</f>
        <v/>
      </c>
      <c r="H1647" s="18"/>
      <c r="I1647" s="18"/>
    </row>
    <row r="1648" customFormat="false" ht="15.75" hidden="false" customHeight="true" outlineLevel="0" collapsed="false">
      <c r="A1648" s="18"/>
      <c r="B1648" s="18"/>
      <c r="C1648" s="19"/>
      <c r="D1648" s="20"/>
      <c r="E1648" s="20"/>
      <c r="F1648" s="20"/>
      <c r="G1648" s="20" t="str">
        <f aca="false">IF(COUNTBLANK(D1648:F1648)=3,"",IF(OR(D1648="Fail",E1648="Fail",F1648="Fail"),"Fail",IF(AND(D1648="Pass",E1648="Pass",F1648="Pass"),"Pass","Incomplete")))</f>
        <v/>
      </c>
      <c r="H1648" s="18"/>
      <c r="I1648" s="18"/>
    </row>
    <row r="1649" customFormat="false" ht="15.75" hidden="false" customHeight="true" outlineLevel="0" collapsed="false">
      <c r="A1649" s="18"/>
      <c r="B1649" s="18"/>
      <c r="C1649" s="19"/>
      <c r="D1649" s="20"/>
      <c r="E1649" s="20"/>
      <c r="F1649" s="20"/>
      <c r="G1649" s="20" t="str">
        <f aca="false">IF(COUNTBLANK(D1649:F1649)=3,"",IF(OR(D1649="Fail",E1649="Fail",F1649="Fail"),"Fail",IF(AND(D1649="Pass",E1649="Pass",F1649="Pass"),"Pass","Incomplete")))</f>
        <v/>
      </c>
      <c r="H1649" s="18"/>
      <c r="I1649" s="18"/>
    </row>
    <row r="1650" customFormat="false" ht="15.75" hidden="false" customHeight="true" outlineLevel="0" collapsed="false">
      <c r="A1650" s="18"/>
      <c r="B1650" s="18"/>
      <c r="C1650" s="19"/>
      <c r="D1650" s="20"/>
      <c r="E1650" s="20"/>
      <c r="F1650" s="20"/>
      <c r="G1650" s="20" t="str">
        <f aca="false">IF(COUNTBLANK(D1650:F1650)=3,"",IF(OR(D1650="Fail",E1650="Fail",F1650="Fail"),"Fail",IF(AND(D1650="Pass",E1650="Pass",F1650="Pass"),"Pass","Incomplete")))</f>
        <v/>
      </c>
      <c r="H1650" s="18"/>
      <c r="I1650" s="18"/>
    </row>
    <row r="1651" customFormat="false" ht="15.75" hidden="false" customHeight="true" outlineLevel="0" collapsed="false">
      <c r="A1651" s="18"/>
      <c r="B1651" s="18"/>
      <c r="C1651" s="19"/>
      <c r="D1651" s="20"/>
      <c r="E1651" s="20"/>
      <c r="F1651" s="20"/>
      <c r="G1651" s="20" t="str">
        <f aca="false">IF(COUNTBLANK(D1651:F1651)=3,"",IF(OR(D1651="Fail",E1651="Fail",F1651="Fail"),"Fail",IF(AND(D1651="Pass",E1651="Pass",F1651="Pass"),"Pass","Incomplete")))</f>
        <v/>
      </c>
      <c r="H1651" s="18"/>
      <c r="I1651" s="18"/>
    </row>
    <row r="1652" customFormat="false" ht="15.75" hidden="false" customHeight="true" outlineLevel="0" collapsed="false">
      <c r="A1652" s="18"/>
      <c r="B1652" s="18"/>
      <c r="C1652" s="19"/>
      <c r="D1652" s="20"/>
      <c r="E1652" s="20"/>
      <c r="F1652" s="20"/>
      <c r="G1652" s="20" t="str">
        <f aca="false">IF(COUNTBLANK(D1652:F1652)=3,"",IF(OR(D1652="Fail",E1652="Fail",F1652="Fail"),"Fail",IF(AND(D1652="Pass",E1652="Pass",F1652="Pass"),"Pass","Incomplete")))</f>
        <v/>
      </c>
      <c r="H1652" s="18"/>
      <c r="I1652" s="18"/>
    </row>
    <row r="1653" customFormat="false" ht="15.75" hidden="false" customHeight="true" outlineLevel="0" collapsed="false">
      <c r="A1653" s="18"/>
      <c r="B1653" s="18"/>
      <c r="C1653" s="19"/>
      <c r="D1653" s="20"/>
      <c r="E1653" s="20"/>
      <c r="F1653" s="20"/>
      <c r="G1653" s="20" t="str">
        <f aca="false">IF(COUNTBLANK(D1653:F1653)=3,"",IF(OR(D1653="Fail",E1653="Fail",F1653="Fail"),"Fail",IF(AND(D1653="Pass",E1653="Pass",F1653="Pass"),"Pass","Incomplete")))</f>
        <v/>
      </c>
      <c r="H1653" s="18"/>
      <c r="I1653" s="18"/>
    </row>
    <row r="1654" customFormat="false" ht="15.75" hidden="false" customHeight="true" outlineLevel="0" collapsed="false">
      <c r="A1654" s="18"/>
      <c r="B1654" s="18"/>
      <c r="C1654" s="19"/>
      <c r="D1654" s="20"/>
      <c r="E1654" s="20"/>
      <c r="F1654" s="20"/>
      <c r="G1654" s="20" t="str">
        <f aca="false">IF(COUNTBLANK(D1654:F1654)=3,"",IF(OR(D1654="Fail",E1654="Fail",F1654="Fail"),"Fail",IF(AND(D1654="Pass",E1654="Pass",F1654="Pass"),"Pass","Incomplete")))</f>
        <v/>
      </c>
      <c r="H1654" s="18"/>
      <c r="I1654" s="18"/>
    </row>
    <row r="1655" customFormat="false" ht="15.75" hidden="false" customHeight="true" outlineLevel="0" collapsed="false">
      <c r="A1655" s="18"/>
      <c r="B1655" s="18"/>
      <c r="C1655" s="19"/>
      <c r="D1655" s="20"/>
      <c r="E1655" s="20"/>
      <c r="F1655" s="20"/>
      <c r="G1655" s="20" t="str">
        <f aca="false">IF(COUNTBLANK(D1655:F1655)=3,"",IF(OR(D1655="Fail",E1655="Fail",F1655="Fail"),"Fail",IF(AND(D1655="Pass",E1655="Pass",F1655="Pass"),"Pass","Incomplete")))</f>
        <v/>
      </c>
      <c r="H1655" s="18"/>
      <c r="I1655" s="18"/>
    </row>
    <row r="1656" customFormat="false" ht="15.75" hidden="false" customHeight="true" outlineLevel="0" collapsed="false">
      <c r="A1656" s="18"/>
      <c r="B1656" s="18"/>
      <c r="C1656" s="19"/>
      <c r="D1656" s="20"/>
      <c r="E1656" s="20"/>
      <c r="F1656" s="20"/>
      <c r="G1656" s="20" t="str">
        <f aca="false">IF(COUNTBLANK(D1656:F1656)=3,"",IF(OR(D1656="Fail",E1656="Fail",F1656="Fail"),"Fail",IF(AND(D1656="Pass",E1656="Pass",F1656="Pass"),"Pass","Incomplete")))</f>
        <v/>
      </c>
      <c r="H1656" s="18"/>
      <c r="I1656" s="18"/>
    </row>
    <row r="1657" customFormat="false" ht="15.75" hidden="false" customHeight="true" outlineLevel="0" collapsed="false">
      <c r="A1657" s="18"/>
      <c r="B1657" s="18"/>
      <c r="C1657" s="19"/>
      <c r="D1657" s="20"/>
      <c r="E1657" s="20"/>
      <c r="F1657" s="20"/>
      <c r="G1657" s="20" t="str">
        <f aca="false">IF(COUNTBLANK(D1657:F1657)=3,"",IF(OR(D1657="Fail",E1657="Fail",F1657="Fail"),"Fail",IF(AND(D1657="Pass",E1657="Pass",F1657="Pass"),"Pass","Incomplete")))</f>
        <v/>
      </c>
      <c r="H1657" s="18"/>
      <c r="I1657" s="18"/>
    </row>
    <row r="1658" customFormat="false" ht="15.75" hidden="false" customHeight="true" outlineLevel="0" collapsed="false">
      <c r="A1658" s="18"/>
      <c r="B1658" s="18"/>
      <c r="C1658" s="19"/>
      <c r="D1658" s="20"/>
      <c r="E1658" s="20"/>
      <c r="F1658" s="20"/>
      <c r="G1658" s="20" t="str">
        <f aca="false">IF(COUNTBLANK(D1658:F1658)=3,"",IF(OR(D1658="Fail",E1658="Fail",F1658="Fail"),"Fail",IF(AND(D1658="Pass",E1658="Pass",F1658="Pass"),"Pass","Incomplete")))</f>
        <v/>
      </c>
      <c r="H1658" s="18"/>
      <c r="I1658" s="18"/>
    </row>
    <row r="1659" customFormat="false" ht="15.75" hidden="false" customHeight="true" outlineLevel="0" collapsed="false">
      <c r="A1659" s="18"/>
      <c r="B1659" s="18"/>
      <c r="C1659" s="19"/>
      <c r="D1659" s="20"/>
      <c r="E1659" s="20"/>
      <c r="F1659" s="20"/>
      <c r="G1659" s="20" t="str">
        <f aca="false">IF(COUNTBLANK(D1659:F1659)=3,"",IF(OR(D1659="Fail",E1659="Fail",F1659="Fail"),"Fail",IF(AND(D1659="Pass",E1659="Pass",F1659="Pass"),"Pass","Incomplete")))</f>
        <v/>
      </c>
      <c r="H1659" s="18"/>
      <c r="I1659" s="18"/>
    </row>
    <row r="1660" customFormat="false" ht="15.75" hidden="false" customHeight="true" outlineLevel="0" collapsed="false">
      <c r="A1660" s="18"/>
      <c r="B1660" s="18"/>
      <c r="C1660" s="19"/>
      <c r="D1660" s="20"/>
      <c r="E1660" s="20"/>
      <c r="F1660" s="20"/>
      <c r="G1660" s="20" t="str">
        <f aca="false">IF(COUNTBLANK(D1660:F1660)=3,"",IF(OR(D1660="Fail",E1660="Fail",F1660="Fail"),"Fail",IF(AND(D1660="Pass",E1660="Pass",F1660="Pass"),"Pass","Incomplete")))</f>
        <v/>
      </c>
      <c r="H1660" s="18"/>
      <c r="I1660" s="18"/>
    </row>
    <row r="1661" customFormat="false" ht="15.75" hidden="false" customHeight="true" outlineLevel="0" collapsed="false">
      <c r="A1661" s="18"/>
      <c r="B1661" s="18"/>
      <c r="C1661" s="19"/>
      <c r="D1661" s="20"/>
      <c r="E1661" s="20"/>
      <c r="F1661" s="20"/>
      <c r="G1661" s="20" t="str">
        <f aca="false">IF(COUNTBLANK(D1661:F1661)=3,"",IF(OR(D1661="Fail",E1661="Fail",F1661="Fail"),"Fail",IF(AND(D1661="Pass",E1661="Pass",F1661="Pass"),"Pass","Incomplete")))</f>
        <v/>
      </c>
      <c r="H1661" s="18"/>
      <c r="I1661" s="18"/>
    </row>
    <row r="1662" customFormat="false" ht="15.75" hidden="false" customHeight="true" outlineLevel="0" collapsed="false">
      <c r="A1662" s="18"/>
      <c r="B1662" s="18"/>
      <c r="C1662" s="19"/>
      <c r="D1662" s="20"/>
      <c r="E1662" s="20"/>
      <c r="F1662" s="20"/>
      <c r="G1662" s="20" t="str">
        <f aca="false">IF(COUNTBLANK(D1662:F1662)=3,"",IF(OR(D1662="Fail",E1662="Fail",F1662="Fail"),"Fail",IF(AND(D1662="Pass",E1662="Pass",F1662="Pass"),"Pass","Incomplete")))</f>
        <v/>
      </c>
      <c r="H1662" s="18"/>
      <c r="I1662" s="18"/>
    </row>
    <row r="1663" customFormat="false" ht="15.75" hidden="false" customHeight="true" outlineLevel="0" collapsed="false">
      <c r="A1663" s="18"/>
      <c r="B1663" s="18"/>
      <c r="C1663" s="19"/>
      <c r="D1663" s="20"/>
      <c r="E1663" s="20"/>
      <c r="F1663" s="20"/>
      <c r="G1663" s="20" t="str">
        <f aca="false">IF(COUNTBLANK(D1663:F1663)=3,"",IF(OR(D1663="Fail",E1663="Fail",F1663="Fail"),"Fail",IF(AND(D1663="Pass",E1663="Pass",F1663="Pass"),"Pass","Incomplete")))</f>
        <v/>
      </c>
      <c r="H1663" s="18"/>
      <c r="I1663" s="18"/>
    </row>
    <row r="1664" customFormat="false" ht="15.75" hidden="false" customHeight="true" outlineLevel="0" collapsed="false">
      <c r="A1664" s="18"/>
      <c r="B1664" s="18"/>
      <c r="C1664" s="19"/>
      <c r="D1664" s="20"/>
      <c r="E1664" s="20"/>
      <c r="F1664" s="20"/>
      <c r="G1664" s="20" t="str">
        <f aca="false">IF(COUNTBLANK(D1664:F1664)=3,"",IF(OR(D1664="Fail",E1664="Fail",F1664="Fail"),"Fail",IF(AND(D1664="Pass",E1664="Pass",F1664="Pass"),"Pass","Incomplete")))</f>
        <v/>
      </c>
      <c r="H1664" s="18"/>
      <c r="I1664" s="18"/>
    </row>
    <row r="1665" customFormat="false" ht="15.75" hidden="false" customHeight="true" outlineLevel="0" collapsed="false">
      <c r="A1665" s="18"/>
      <c r="B1665" s="18"/>
      <c r="C1665" s="19"/>
      <c r="D1665" s="20"/>
      <c r="E1665" s="20"/>
      <c r="F1665" s="20"/>
      <c r="G1665" s="20" t="str">
        <f aca="false">IF(COUNTBLANK(D1665:F1665)=3,"",IF(OR(D1665="Fail",E1665="Fail",F1665="Fail"),"Fail",IF(AND(D1665="Pass",E1665="Pass",F1665="Pass"),"Pass","Incomplete")))</f>
        <v/>
      </c>
      <c r="H1665" s="18"/>
      <c r="I1665" s="18"/>
    </row>
    <row r="1666" customFormat="false" ht="15.75" hidden="false" customHeight="true" outlineLevel="0" collapsed="false">
      <c r="A1666" s="18"/>
      <c r="B1666" s="18"/>
      <c r="C1666" s="19"/>
      <c r="D1666" s="20"/>
      <c r="E1666" s="20"/>
      <c r="F1666" s="20"/>
      <c r="G1666" s="20" t="str">
        <f aca="false">IF(COUNTBLANK(D1666:F1666)=3,"",IF(OR(D1666="Fail",E1666="Fail",F1666="Fail"),"Fail",IF(AND(D1666="Pass",E1666="Pass",F1666="Pass"),"Pass","Incomplete")))</f>
        <v/>
      </c>
      <c r="H1666" s="18"/>
      <c r="I1666" s="18"/>
    </row>
    <row r="1667" customFormat="false" ht="15.75" hidden="false" customHeight="true" outlineLevel="0" collapsed="false">
      <c r="A1667" s="18"/>
      <c r="B1667" s="18"/>
      <c r="C1667" s="19"/>
      <c r="D1667" s="20"/>
      <c r="E1667" s="20"/>
      <c r="F1667" s="20"/>
      <c r="G1667" s="20" t="str">
        <f aca="false">IF(COUNTBLANK(D1667:F1667)=3,"",IF(OR(D1667="Fail",E1667="Fail",F1667="Fail"),"Fail",IF(AND(D1667="Pass",E1667="Pass",F1667="Pass"),"Pass","Incomplete")))</f>
        <v/>
      </c>
      <c r="H1667" s="18"/>
      <c r="I1667" s="18"/>
    </row>
    <row r="1668" customFormat="false" ht="15.75" hidden="false" customHeight="true" outlineLevel="0" collapsed="false">
      <c r="A1668" s="18"/>
      <c r="B1668" s="18"/>
      <c r="C1668" s="19"/>
      <c r="D1668" s="20"/>
      <c r="E1668" s="20"/>
      <c r="F1668" s="20"/>
      <c r="G1668" s="20" t="str">
        <f aca="false">IF(COUNTBLANK(D1668:F1668)=3,"",IF(OR(D1668="Fail",E1668="Fail",F1668="Fail"),"Fail",IF(AND(D1668="Pass",E1668="Pass",F1668="Pass"),"Pass","Incomplete")))</f>
        <v/>
      </c>
      <c r="H1668" s="18"/>
      <c r="I1668" s="18"/>
    </row>
    <row r="1669" customFormat="false" ht="15.75" hidden="false" customHeight="true" outlineLevel="0" collapsed="false">
      <c r="A1669" s="18"/>
      <c r="B1669" s="18"/>
      <c r="C1669" s="19"/>
      <c r="D1669" s="20"/>
      <c r="E1669" s="20"/>
      <c r="F1669" s="20"/>
      <c r="G1669" s="20" t="str">
        <f aca="false">IF(COUNTBLANK(D1669:F1669)=3,"",IF(OR(D1669="Fail",E1669="Fail",F1669="Fail"),"Fail",IF(AND(D1669="Pass",E1669="Pass",F1669="Pass"),"Pass","Incomplete")))</f>
        <v/>
      </c>
      <c r="H1669" s="18"/>
      <c r="I1669" s="18"/>
    </row>
    <row r="1670" customFormat="false" ht="15.75" hidden="false" customHeight="true" outlineLevel="0" collapsed="false">
      <c r="A1670" s="18"/>
      <c r="B1670" s="18"/>
      <c r="C1670" s="19"/>
      <c r="D1670" s="20"/>
      <c r="E1670" s="20"/>
      <c r="F1670" s="20"/>
      <c r="G1670" s="20" t="str">
        <f aca="false">IF(COUNTBLANK(D1670:F1670)=3,"",IF(OR(D1670="Fail",E1670="Fail",F1670="Fail"),"Fail",IF(AND(D1670="Pass",E1670="Pass",F1670="Pass"),"Pass","Incomplete")))</f>
        <v/>
      </c>
      <c r="H1670" s="18"/>
      <c r="I1670" s="18"/>
    </row>
    <row r="1671" customFormat="false" ht="15.75" hidden="false" customHeight="true" outlineLevel="0" collapsed="false">
      <c r="A1671" s="18"/>
      <c r="B1671" s="18"/>
      <c r="C1671" s="19"/>
      <c r="D1671" s="20"/>
      <c r="E1671" s="20"/>
      <c r="F1671" s="20"/>
      <c r="G1671" s="20" t="str">
        <f aca="false">IF(COUNTBLANK(D1671:F1671)=3,"",IF(OR(D1671="Fail",E1671="Fail",F1671="Fail"),"Fail",IF(AND(D1671="Pass",E1671="Pass",F1671="Pass"),"Pass","Incomplete")))</f>
        <v/>
      </c>
      <c r="H1671" s="18"/>
      <c r="I1671" s="18"/>
    </row>
    <row r="1672" customFormat="false" ht="15.75" hidden="false" customHeight="true" outlineLevel="0" collapsed="false">
      <c r="A1672" s="18"/>
      <c r="B1672" s="18"/>
      <c r="C1672" s="19"/>
      <c r="D1672" s="20"/>
      <c r="E1672" s="20"/>
      <c r="F1672" s="20"/>
      <c r="G1672" s="20" t="str">
        <f aca="false">IF(COUNTBLANK(D1672:F1672)=3,"",IF(OR(D1672="Fail",E1672="Fail",F1672="Fail"),"Fail",IF(AND(D1672="Pass",E1672="Pass",F1672="Pass"),"Pass","Incomplete")))</f>
        <v/>
      </c>
      <c r="H1672" s="18"/>
      <c r="I1672" s="18"/>
    </row>
    <row r="1673" customFormat="false" ht="15.75" hidden="false" customHeight="true" outlineLevel="0" collapsed="false">
      <c r="A1673" s="18"/>
      <c r="B1673" s="18"/>
      <c r="C1673" s="19"/>
      <c r="D1673" s="20"/>
      <c r="E1673" s="20"/>
      <c r="F1673" s="20"/>
      <c r="G1673" s="20" t="str">
        <f aca="false">IF(COUNTBLANK(D1673:F1673)=3,"",IF(OR(D1673="Fail",E1673="Fail",F1673="Fail"),"Fail",IF(AND(D1673="Pass",E1673="Pass",F1673="Pass"),"Pass","Incomplete")))</f>
        <v/>
      </c>
      <c r="H1673" s="18"/>
      <c r="I1673" s="18"/>
    </row>
    <row r="1674" customFormat="false" ht="15.75" hidden="false" customHeight="true" outlineLevel="0" collapsed="false">
      <c r="A1674" s="18"/>
      <c r="B1674" s="18"/>
      <c r="C1674" s="19"/>
      <c r="D1674" s="20"/>
      <c r="E1674" s="20"/>
      <c r="F1674" s="20"/>
      <c r="G1674" s="20" t="str">
        <f aca="false">IF(COUNTBLANK(D1674:F1674)=3,"",IF(OR(D1674="Fail",E1674="Fail",F1674="Fail"),"Fail",IF(AND(D1674="Pass",E1674="Pass",F1674="Pass"),"Pass","Incomplete")))</f>
        <v/>
      </c>
      <c r="H1674" s="18"/>
      <c r="I1674" s="18"/>
    </row>
    <row r="1675" customFormat="false" ht="15.75" hidden="false" customHeight="true" outlineLevel="0" collapsed="false">
      <c r="A1675" s="18"/>
      <c r="B1675" s="18"/>
      <c r="C1675" s="19"/>
      <c r="D1675" s="20"/>
      <c r="E1675" s="20"/>
      <c r="F1675" s="20"/>
      <c r="G1675" s="20" t="str">
        <f aca="false">IF(COUNTBLANK(D1675:F1675)=3,"",IF(OR(D1675="Fail",E1675="Fail",F1675="Fail"),"Fail",IF(AND(D1675="Pass",E1675="Pass",F1675="Pass"),"Pass","Incomplete")))</f>
        <v/>
      </c>
      <c r="H1675" s="18"/>
      <c r="I1675" s="18"/>
    </row>
    <row r="1676" customFormat="false" ht="15.75" hidden="false" customHeight="true" outlineLevel="0" collapsed="false">
      <c r="A1676" s="18"/>
      <c r="B1676" s="18"/>
      <c r="C1676" s="19"/>
      <c r="D1676" s="20"/>
      <c r="E1676" s="20"/>
      <c r="F1676" s="20"/>
      <c r="G1676" s="20" t="str">
        <f aca="false">IF(COUNTBLANK(D1676:F1676)=3,"",IF(OR(D1676="Fail",E1676="Fail",F1676="Fail"),"Fail",IF(AND(D1676="Pass",E1676="Pass",F1676="Pass"),"Pass","Incomplete")))</f>
        <v/>
      </c>
      <c r="H1676" s="18"/>
      <c r="I1676" s="18"/>
    </row>
    <row r="1677" customFormat="false" ht="15.75" hidden="false" customHeight="true" outlineLevel="0" collapsed="false">
      <c r="A1677" s="18"/>
      <c r="B1677" s="18"/>
      <c r="C1677" s="19"/>
      <c r="D1677" s="20"/>
      <c r="E1677" s="20"/>
      <c r="F1677" s="20"/>
      <c r="G1677" s="20" t="str">
        <f aca="false">IF(COUNTBLANK(D1677:F1677)=3,"",IF(OR(D1677="Fail",E1677="Fail",F1677="Fail"),"Fail",IF(AND(D1677="Pass",E1677="Pass",F1677="Pass"),"Pass","Incomplete")))</f>
        <v/>
      </c>
      <c r="H1677" s="18"/>
      <c r="I1677" s="18"/>
    </row>
    <row r="1678" customFormat="false" ht="15.75" hidden="false" customHeight="true" outlineLevel="0" collapsed="false">
      <c r="A1678" s="18"/>
      <c r="B1678" s="18"/>
      <c r="C1678" s="19"/>
      <c r="D1678" s="20"/>
      <c r="E1678" s="20"/>
      <c r="F1678" s="20"/>
      <c r="G1678" s="20" t="str">
        <f aca="false">IF(COUNTBLANK(D1678:F1678)=3,"",IF(OR(D1678="Fail",E1678="Fail",F1678="Fail"),"Fail",IF(AND(D1678="Pass",E1678="Pass",F1678="Pass"),"Pass","Incomplete")))</f>
        <v/>
      </c>
      <c r="H1678" s="18"/>
      <c r="I1678" s="18"/>
    </row>
    <row r="1679" customFormat="false" ht="15.75" hidden="false" customHeight="true" outlineLevel="0" collapsed="false">
      <c r="A1679" s="18"/>
      <c r="B1679" s="18"/>
      <c r="C1679" s="19"/>
      <c r="D1679" s="20"/>
      <c r="E1679" s="20"/>
      <c r="F1679" s="20"/>
      <c r="G1679" s="20" t="str">
        <f aca="false">IF(COUNTBLANK(D1679:F1679)=3,"",IF(OR(D1679="Fail",E1679="Fail",F1679="Fail"),"Fail",IF(AND(D1679="Pass",E1679="Pass",F1679="Pass"),"Pass","Incomplete")))</f>
        <v/>
      </c>
      <c r="H1679" s="18"/>
      <c r="I1679" s="18"/>
    </row>
    <row r="1680" customFormat="false" ht="15.75" hidden="false" customHeight="true" outlineLevel="0" collapsed="false">
      <c r="A1680" s="18"/>
      <c r="B1680" s="18"/>
      <c r="C1680" s="19"/>
      <c r="D1680" s="20"/>
      <c r="E1680" s="20"/>
      <c r="F1680" s="20"/>
      <c r="G1680" s="20" t="str">
        <f aca="false">IF(COUNTBLANK(D1680:F1680)=3,"",IF(OR(D1680="Fail",E1680="Fail",F1680="Fail"),"Fail",IF(AND(D1680="Pass",E1680="Pass",F1680="Pass"),"Pass","Incomplete")))</f>
        <v/>
      </c>
      <c r="H1680" s="18"/>
      <c r="I1680" s="18"/>
    </row>
    <row r="1681" customFormat="false" ht="15.75" hidden="false" customHeight="true" outlineLevel="0" collapsed="false">
      <c r="A1681" s="18"/>
      <c r="B1681" s="18"/>
      <c r="C1681" s="19"/>
      <c r="D1681" s="20"/>
      <c r="E1681" s="20"/>
      <c r="F1681" s="20"/>
      <c r="G1681" s="20" t="str">
        <f aca="false">IF(COUNTBLANK(D1681:F1681)=3,"",IF(OR(D1681="Fail",E1681="Fail",F1681="Fail"),"Fail",IF(AND(D1681="Pass",E1681="Pass",F1681="Pass"),"Pass","Incomplete")))</f>
        <v/>
      </c>
      <c r="H1681" s="18"/>
      <c r="I1681" s="18"/>
    </row>
    <row r="1682" customFormat="false" ht="15.75" hidden="false" customHeight="true" outlineLevel="0" collapsed="false">
      <c r="A1682" s="18"/>
      <c r="B1682" s="18"/>
      <c r="C1682" s="19"/>
      <c r="D1682" s="20"/>
      <c r="E1682" s="20"/>
      <c r="F1682" s="20"/>
      <c r="G1682" s="20" t="str">
        <f aca="false">IF(COUNTBLANK(D1682:F1682)=3,"",IF(OR(D1682="Fail",E1682="Fail",F1682="Fail"),"Fail",IF(AND(D1682="Pass",E1682="Pass",F1682="Pass"),"Pass","Incomplete")))</f>
        <v/>
      </c>
      <c r="H1682" s="18"/>
      <c r="I1682" s="18"/>
    </row>
    <row r="1683" customFormat="false" ht="15.75" hidden="false" customHeight="true" outlineLevel="0" collapsed="false">
      <c r="A1683" s="18"/>
      <c r="B1683" s="18"/>
      <c r="C1683" s="19"/>
      <c r="D1683" s="20"/>
      <c r="E1683" s="20"/>
      <c r="F1683" s="20"/>
      <c r="G1683" s="20" t="str">
        <f aca="false">IF(COUNTBLANK(D1683:F1683)=3,"",IF(OR(D1683="Fail",E1683="Fail",F1683="Fail"),"Fail",IF(AND(D1683="Pass",E1683="Pass",F1683="Pass"),"Pass","Incomplete")))</f>
        <v/>
      </c>
      <c r="H1683" s="18"/>
      <c r="I1683" s="18"/>
    </row>
    <row r="1684" customFormat="false" ht="15.75" hidden="false" customHeight="true" outlineLevel="0" collapsed="false">
      <c r="A1684" s="18"/>
      <c r="B1684" s="18"/>
      <c r="C1684" s="19"/>
      <c r="D1684" s="20"/>
      <c r="E1684" s="20"/>
      <c r="F1684" s="20"/>
      <c r="G1684" s="20" t="str">
        <f aca="false">IF(COUNTBLANK(D1684:F1684)=3,"",IF(OR(D1684="Fail",E1684="Fail",F1684="Fail"),"Fail",IF(AND(D1684="Pass",E1684="Pass",F1684="Pass"),"Pass","Incomplete")))</f>
        <v/>
      </c>
      <c r="H1684" s="18"/>
      <c r="I1684" s="18"/>
    </row>
    <row r="1685" customFormat="false" ht="15.75" hidden="false" customHeight="true" outlineLevel="0" collapsed="false">
      <c r="A1685" s="18"/>
      <c r="B1685" s="18"/>
      <c r="C1685" s="19"/>
      <c r="D1685" s="20"/>
      <c r="E1685" s="20"/>
      <c r="F1685" s="20"/>
      <c r="G1685" s="20" t="str">
        <f aca="false">IF(COUNTBLANK(D1685:F1685)=3,"",IF(OR(D1685="Fail",E1685="Fail",F1685="Fail"),"Fail",IF(AND(D1685="Pass",E1685="Pass",F1685="Pass"),"Pass","Incomplete")))</f>
        <v/>
      </c>
      <c r="H1685" s="18"/>
      <c r="I1685" s="18"/>
    </row>
    <row r="1686" customFormat="false" ht="15.75" hidden="false" customHeight="true" outlineLevel="0" collapsed="false">
      <c r="A1686" s="18"/>
      <c r="B1686" s="18"/>
      <c r="C1686" s="19"/>
      <c r="D1686" s="20"/>
      <c r="E1686" s="20"/>
      <c r="F1686" s="20"/>
      <c r="G1686" s="20" t="str">
        <f aca="false">IF(COUNTBLANK(D1686:F1686)=3,"",IF(OR(D1686="Fail",E1686="Fail",F1686="Fail"),"Fail",IF(AND(D1686="Pass",E1686="Pass",F1686="Pass"),"Pass","Incomplete")))</f>
        <v/>
      </c>
      <c r="H1686" s="18"/>
      <c r="I1686" s="18"/>
    </row>
    <row r="1687" customFormat="false" ht="15.75" hidden="false" customHeight="true" outlineLevel="0" collapsed="false">
      <c r="A1687" s="18"/>
      <c r="B1687" s="18"/>
      <c r="C1687" s="19"/>
      <c r="D1687" s="20"/>
      <c r="E1687" s="20"/>
      <c r="F1687" s="20"/>
      <c r="G1687" s="20" t="str">
        <f aca="false">IF(COUNTBLANK(D1687:F1687)=3,"",IF(OR(D1687="Fail",E1687="Fail",F1687="Fail"),"Fail",IF(AND(D1687="Pass",E1687="Pass",F1687="Pass"),"Pass","Incomplete")))</f>
        <v/>
      </c>
      <c r="H1687" s="18"/>
      <c r="I1687" s="18"/>
    </row>
    <row r="1688" customFormat="false" ht="15.75" hidden="false" customHeight="true" outlineLevel="0" collapsed="false">
      <c r="A1688" s="18"/>
      <c r="B1688" s="18"/>
      <c r="C1688" s="19"/>
      <c r="D1688" s="20"/>
      <c r="E1688" s="20"/>
      <c r="F1688" s="20"/>
      <c r="G1688" s="20" t="str">
        <f aca="false">IF(COUNTBLANK(D1688:F1688)=3,"",IF(OR(D1688="Fail",E1688="Fail",F1688="Fail"),"Fail",IF(AND(D1688="Pass",E1688="Pass",F1688="Pass"),"Pass","Incomplete")))</f>
        <v/>
      </c>
      <c r="H1688" s="18"/>
      <c r="I1688" s="18"/>
    </row>
    <row r="1689" customFormat="false" ht="15.75" hidden="false" customHeight="true" outlineLevel="0" collapsed="false">
      <c r="A1689" s="18"/>
      <c r="B1689" s="18"/>
      <c r="C1689" s="19"/>
      <c r="D1689" s="20"/>
      <c r="E1689" s="20"/>
      <c r="F1689" s="20"/>
      <c r="G1689" s="20" t="str">
        <f aca="false">IF(COUNTBLANK(D1689:F1689)=3,"",IF(OR(D1689="Fail",E1689="Fail",F1689="Fail"),"Fail",IF(AND(D1689="Pass",E1689="Pass",F1689="Pass"),"Pass","Incomplete")))</f>
        <v/>
      </c>
      <c r="H1689" s="18"/>
      <c r="I1689" s="18"/>
    </row>
    <row r="1690" customFormat="false" ht="15.75" hidden="false" customHeight="true" outlineLevel="0" collapsed="false">
      <c r="A1690" s="18"/>
      <c r="B1690" s="18"/>
      <c r="C1690" s="19"/>
      <c r="D1690" s="20"/>
      <c r="E1690" s="20"/>
      <c r="F1690" s="20"/>
      <c r="G1690" s="20" t="str">
        <f aca="false">IF(COUNTBLANK(D1690:F1690)=3,"",IF(OR(D1690="Fail",E1690="Fail",F1690="Fail"),"Fail",IF(AND(D1690="Pass",E1690="Pass",F1690="Pass"),"Pass","Incomplete")))</f>
        <v/>
      </c>
      <c r="H1690" s="18"/>
      <c r="I1690" s="18"/>
    </row>
    <row r="1691" customFormat="false" ht="15.75" hidden="false" customHeight="true" outlineLevel="0" collapsed="false">
      <c r="A1691" s="18"/>
      <c r="B1691" s="18"/>
      <c r="C1691" s="19"/>
      <c r="D1691" s="20"/>
      <c r="E1691" s="20"/>
      <c r="F1691" s="20"/>
      <c r="G1691" s="20" t="str">
        <f aca="false">IF(COUNTBLANK(D1691:F1691)=3,"",IF(OR(D1691="Fail",E1691="Fail",F1691="Fail"),"Fail",IF(AND(D1691="Pass",E1691="Pass",F1691="Pass"),"Pass","Incomplete")))</f>
        <v/>
      </c>
      <c r="H1691" s="18"/>
      <c r="I1691" s="18"/>
    </row>
    <row r="1692" customFormat="false" ht="15.75" hidden="false" customHeight="true" outlineLevel="0" collapsed="false">
      <c r="A1692" s="18"/>
      <c r="B1692" s="18"/>
      <c r="C1692" s="19"/>
      <c r="D1692" s="20"/>
      <c r="E1692" s="20"/>
      <c r="F1692" s="20"/>
      <c r="G1692" s="20" t="str">
        <f aca="false">IF(COUNTBLANK(D1692:F1692)=3,"",IF(OR(D1692="Fail",E1692="Fail",F1692="Fail"),"Fail",IF(AND(D1692="Pass",E1692="Pass",F1692="Pass"),"Pass","Incomplete")))</f>
        <v/>
      </c>
      <c r="H1692" s="18"/>
      <c r="I1692" s="18"/>
    </row>
    <row r="1693" customFormat="false" ht="15.75" hidden="false" customHeight="true" outlineLevel="0" collapsed="false">
      <c r="A1693" s="18"/>
      <c r="B1693" s="18"/>
      <c r="C1693" s="19"/>
      <c r="D1693" s="20"/>
      <c r="E1693" s="20"/>
      <c r="F1693" s="20"/>
      <c r="G1693" s="20" t="str">
        <f aca="false">IF(COUNTBLANK(D1693:F1693)=3,"",IF(OR(D1693="Fail",E1693="Fail",F1693="Fail"),"Fail",IF(AND(D1693="Pass",E1693="Pass",F1693="Pass"),"Pass","Incomplete")))</f>
        <v/>
      </c>
      <c r="H1693" s="18"/>
      <c r="I1693" s="18"/>
    </row>
    <row r="1694" customFormat="false" ht="15.75" hidden="false" customHeight="true" outlineLevel="0" collapsed="false">
      <c r="A1694" s="18"/>
      <c r="B1694" s="18"/>
      <c r="C1694" s="19"/>
      <c r="D1694" s="20"/>
      <c r="E1694" s="20"/>
      <c r="F1694" s="20"/>
      <c r="G1694" s="20" t="str">
        <f aca="false">IF(COUNTBLANK(D1694:F1694)=3,"",IF(OR(D1694="Fail",E1694="Fail",F1694="Fail"),"Fail",IF(AND(D1694="Pass",E1694="Pass",F1694="Pass"),"Pass","Incomplete")))</f>
        <v/>
      </c>
      <c r="H1694" s="18"/>
      <c r="I1694" s="18"/>
    </row>
    <row r="1695" customFormat="false" ht="15.75" hidden="false" customHeight="true" outlineLevel="0" collapsed="false">
      <c r="A1695" s="18"/>
      <c r="B1695" s="18"/>
      <c r="C1695" s="19"/>
      <c r="D1695" s="20"/>
      <c r="E1695" s="20"/>
      <c r="F1695" s="20"/>
      <c r="G1695" s="20" t="str">
        <f aca="false">IF(COUNTBLANK(D1695:F1695)=3,"",IF(OR(D1695="Fail",E1695="Fail",F1695="Fail"),"Fail",IF(AND(D1695="Pass",E1695="Pass",F1695="Pass"),"Pass","Incomplete")))</f>
        <v/>
      </c>
      <c r="H1695" s="18"/>
      <c r="I1695" s="18"/>
    </row>
    <row r="1696" customFormat="false" ht="15.75" hidden="false" customHeight="true" outlineLevel="0" collapsed="false">
      <c r="A1696" s="18"/>
      <c r="B1696" s="18"/>
      <c r="C1696" s="19"/>
      <c r="D1696" s="20"/>
      <c r="E1696" s="20"/>
      <c r="F1696" s="20"/>
      <c r="G1696" s="20" t="str">
        <f aca="false">IF(COUNTBLANK(D1696:F1696)=3,"",IF(OR(D1696="Fail",E1696="Fail",F1696="Fail"),"Fail",IF(AND(D1696="Pass",E1696="Pass",F1696="Pass"),"Pass","Incomplete")))</f>
        <v/>
      </c>
      <c r="H1696" s="18"/>
      <c r="I1696" s="18"/>
    </row>
    <row r="1697" customFormat="false" ht="15.75" hidden="false" customHeight="true" outlineLevel="0" collapsed="false">
      <c r="A1697" s="18"/>
      <c r="B1697" s="18"/>
      <c r="C1697" s="19"/>
      <c r="D1697" s="20"/>
      <c r="E1697" s="20"/>
      <c r="F1697" s="20"/>
      <c r="G1697" s="20" t="str">
        <f aca="false">IF(COUNTBLANK(D1697:F1697)=3,"",IF(OR(D1697="Fail",E1697="Fail",F1697="Fail"),"Fail",IF(AND(D1697="Pass",E1697="Pass",F1697="Pass"),"Pass","Incomplete")))</f>
        <v/>
      </c>
      <c r="H1697" s="18"/>
      <c r="I1697" s="18"/>
    </row>
    <row r="1698" customFormat="false" ht="15.75" hidden="false" customHeight="true" outlineLevel="0" collapsed="false">
      <c r="A1698" s="18"/>
      <c r="B1698" s="18"/>
      <c r="C1698" s="19"/>
      <c r="D1698" s="20"/>
      <c r="E1698" s="20"/>
      <c r="F1698" s="20"/>
      <c r="G1698" s="20" t="str">
        <f aca="false">IF(COUNTBLANK(D1698:F1698)=3,"",IF(OR(D1698="Fail",E1698="Fail",F1698="Fail"),"Fail",IF(AND(D1698="Pass",E1698="Pass",F1698="Pass"),"Pass","Incomplete")))</f>
        <v/>
      </c>
      <c r="H1698" s="18"/>
      <c r="I1698" s="18"/>
    </row>
    <row r="1699" customFormat="false" ht="15.75" hidden="false" customHeight="true" outlineLevel="0" collapsed="false">
      <c r="A1699" s="18"/>
      <c r="B1699" s="18"/>
      <c r="C1699" s="19"/>
      <c r="D1699" s="20"/>
      <c r="E1699" s="20"/>
      <c r="F1699" s="20"/>
      <c r="G1699" s="20" t="str">
        <f aca="false">IF(COUNTBLANK(D1699:F1699)=3,"",IF(OR(D1699="Fail",E1699="Fail",F1699="Fail"),"Fail",IF(AND(D1699="Pass",E1699="Pass",F1699="Pass"),"Pass","Incomplete")))</f>
        <v/>
      </c>
      <c r="H1699" s="18"/>
      <c r="I1699" s="18"/>
    </row>
    <row r="1700" customFormat="false" ht="15.75" hidden="false" customHeight="true" outlineLevel="0" collapsed="false">
      <c r="A1700" s="18"/>
      <c r="B1700" s="18"/>
      <c r="C1700" s="19"/>
      <c r="D1700" s="20"/>
      <c r="E1700" s="20"/>
      <c r="F1700" s="20"/>
      <c r="G1700" s="20" t="str">
        <f aca="false">IF(COUNTBLANK(D1700:F1700)=3,"",IF(OR(D1700="Fail",E1700="Fail",F1700="Fail"),"Fail",IF(AND(D1700="Pass",E1700="Pass",F1700="Pass"),"Pass","Incomplete")))</f>
        <v/>
      </c>
      <c r="H1700" s="18"/>
      <c r="I1700" s="18"/>
    </row>
    <row r="1701" customFormat="false" ht="15.75" hidden="false" customHeight="true" outlineLevel="0" collapsed="false">
      <c r="A1701" s="18"/>
      <c r="B1701" s="18"/>
      <c r="C1701" s="19"/>
      <c r="D1701" s="20"/>
      <c r="E1701" s="20"/>
      <c r="F1701" s="20"/>
      <c r="G1701" s="20" t="str">
        <f aca="false">IF(COUNTBLANK(D1701:F1701)=3,"",IF(OR(D1701="Fail",E1701="Fail",F1701="Fail"),"Fail",IF(AND(D1701="Pass",E1701="Pass",F1701="Pass"),"Pass","Incomplete")))</f>
        <v/>
      </c>
      <c r="H1701" s="18"/>
      <c r="I1701" s="18"/>
    </row>
    <row r="1702" customFormat="false" ht="15.75" hidden="false" customHeight="true" outlineLevel="0" collapsed="false">
      <c r="A1702" s="18"/>
      <c r="B1702" s="18"/>
      <c r="C1702" s="19"/>
      <c r="D1702" s="20"/>
      <c r="E1702" s="20"/>
      <c r="F1702" s="20"/>
      <c r="G1702" s="20" t="str">
        <f aca="false">IF(COUNTBLANK(D1702:F1702)=3,"",IF(OR(D1702="Fail",E1702="Fail",F1702="Fail"),"Fail",IF(AND(D1702="Pass",E1702="Pass",F1702="Pass"),"Pass","Incomplete")))</f>
        <v/>
      </c>
      <c r="H1702" s="18"/>
      <c r="I1702" s="18"/>
    </row>
    <row r="1703" customFormat="false" ht="15.75" hidden="false" customHeight="true" outlineLevel="0" collapsed="false">
      <c r="A1703" s="18"/>
      <c r="B1703" s="18"/>
      <c r="C1703" s="19"/>
      <c r="D1703" s="20"/>
      <c r="E1703" s="20"/>
      <c r="F1703" s="20"/>
      <c r="G1703" s="20" t="str">
        <f aca="false">IF(COUNTBLANK(D1703:F1703)=3,"",IF(OR(D1703="Fail",E1703="Fail",F1703="Fail"),"Fail",IF(AND(D1703="Pass",E1703="Pass",F1703="Pass"),"Pass","Incomplete")))</f>
        <v/>
      </c>
      <c r="H1703" s="18"/>
      <c r="I1703" s="18"/>
    </row>
    <row r="1704" customFormat="false" ht="15.75" hidden="false" customHeight="true" outlineLevel="0" collapsed="false">
      <c r="A1704" s="18"/>
      <c r="B1704" s="18"/>
      <c r="C1704" s="19"/>
      <c r="D1704" s="20"/>
      <c r="E1704" s="20"/>
      <c r="F1704" s="20"/>
      <c r="G1704" s="20" t="str">
        <f aca="false">IF(COUNTBLANK(D1704:F1704)=3,"",IF(OR(D1704="Fail",E1704="Fail",F1704="Fail"),"Fail",IF(AND(D1704="Pass",E1704="Pass",F1704="Pass"),"Pass","Incomplete")))</f>
        <v/>
      </c>
      <c r="H1704" s="18"/>
      <c r="I1704" s="18"/>
    </row>
    <row r="1705" customFormat="false" ht="15.75" hidden="false" customHeight="true" outlineLevel="0" collapsed="false">
      <c r="A1705" s="18"/>
      <c r="B1705" s="18"/>
      <c r="C1705" s="19"/>
      <c r="D1705" s="20"/>
      <c r="E1705" s="20"/>
      <c r="F1705" s="20"/>
      <c r="G1705" s="20" t="str">
        <f aca="false">IF(COUNTBLANK(D1705:F1705)=3,"",IF(OR(D1705="Fail",E1705="Fail",F1705="Fail"),"Fail",IF(AND(D1705="Pass",E1705="Pass",F1705="Pass"),"Pass","Incomplete")))</f>
        <v/>
      </c>
      <c r="H1705" s="18"/>
      <c r="I1705" s="18"/>
    </row>
    <row r="1706" customFormat="false" ht="15.75" hidden="false" customHeight="true" outlineLevel="0" collapsed="false">
      <c r="A1706" s="18"/>
      <c r="B1706" s="18"/>
      <c r="C1706" s="19"/>
      <c r="D1706" s="20"/>
      <c r="E1706" s="20"/>
      <c r="F1706" s="20"/>
      <c r="G1706" s="20" t="str">
        <f aca="false">IF(COUNTBLANK(D1706:F1706)=3,"",IF(OR(D1706="Fail",E1706="Fail",F1706="Fail"),"Fail",IF(AND(D1706="Pass",E1706="Pass",F1706="Pass"),"Pass","Incomplete")))</f>
        <v/>
      </c>
      <c r="H1706" s="18"/>
      <c r="I1706" s="18"/>
    </row>
    <row r="1707" customFormat="false" ht="15.75" hidden="false" customHeight="true" outlineLevel="0" collapsed="false">
      <c r="A1707" s="18"/>
      <c r="B1707" s="18"/>
      <c r="C1707" s="19"/>
      <c r="D1707" s="20"/>
      <c r="E1707" s="20"/>
      <c r="F1707" s="20"/>
      <c r="G1707" s="20" t="str">
        <f aca="false">IF(COUNTBLANK(D1707:F1707)=3,"",IF(OR(D1707="Fail",E1707="Fail",F1707="Fail"),"Fail",IF(AND(D1707="Pass",E1707="Pass",F1707="Pass"),"Pass","Incomplete")))</f>
        <v/>
      </c>
      <c r="H1707" s="18"/>
      <c r="I1707" s="18"/>
    </row>
    <row r="1708" customFormat="false" ht="15.75" hidden="false" customHeight="true" outlineLevel="0" collapsed="false">
      <c r="A1708" s="18"/>
      <c r="B1708" s="18"/>
      <c r="C1708" s="19"/>
      <c r="D1708" s="20"/>
      <c r="E1708" s="20"/>
      <c r="F1708" s="20"/>
      <c r="G1708" s="20" t="str">
        <f aca="false">IF(COUNTBLANK(D1708:F1708)=3,"",IF(OR(D1708="Fail",E1708="Fail",F1708="Fail"),"Fail",IF(AND(D1708="Pass",E1708="Pass",F1708="Pass"),"Pass","Incomplete")))</f>
        <v/>
      </c>
      <c r="H1708" s="18"/>
      <c r="I1708" s="18"/>
    </row>
    <row r="1709" customFormat="false" ht="15.75" hidden="false" customHeight="true" outlineLevel="0" collapsed="false">
      <c r="A1709" s="18"/>
      <c r="B1709" s="18"/>
      <c r="C1709" s="19"/>
      <c r="D1709" s="20"/>
      <c r="E1709" s="20"/>
      <c r="F1709" s="20"/>
      <c r="G1709" s="20" t="str">
        <f aca="false">IF(COUNTBLANK(D1709:F1709)=3,"",IF(OR(D1709="Fail",E1709="Fail",F1709="Fail"),"Fail",IF(AND(D1709="Pass",E1709="Pass",F1709="Pass"),"Pass","Incomplete")))</f>
        <v/>
      </c>
      <c r="H1709" s="18"/>
      <c r="I1709" s="18"/>
    </row>
    <row r="1710" customFormat="false" ht="15.75" hidden="false" customHeight="true" outlineLevel="0" collapsed="false">
      <c r="A1710" s="18"/>
      <c r="B1710" s="18"/>
      <c r="C1710" s="19"/>
      <c r="D1710" s="20"/>
      <c r="E1710" s="20"/>
      <c r="F1710" s="20"/>
      <c r="G1710" s="20" t="str">
        <f aca="false">IF(COUNTBLANK(D1710:F1710)=3,"",IF(OR(D1710="Fail",E1710="Fail",F1710="Fail"),"Fail",IF(AND(D1710="Pass",E1710="Pass",F1710="Pass"),"Pass","Incomplete")))</f>
        <v/>
      </c>
      <c r="H1710" s="18"/>
      <c r="I1710" s="18"/>
    </row>
    <row r="1711" customFormat="false" ht="15.75" hidden="false" customHeight="true" outlineLevel="0" collapsed="false">
      <c r="A1711" s="18"/>
      <c r="B1711" s="18"/>
      <c r="C1711" s="19"/>
      <c r="D1711" s="20"/>
      <c r="E1711" s="20"/>
      <c r="F1711" s="20"/>
      <c r="G1711" s="20" t="str">
        <f aca="false">IF(COUNTBLANK(D1711:F1711)=3,"",IF(OR(D1711="Fail",E1711="Fail",F1711="Fail"),"Fail",IF(AND(D1711="Pass",E1711="Pass",F1711="Pass"),"Pass","Incomplete")))</f>
        <v/>
      </c>
      <c r="H1711" s="18"/>
      <c r="I1711" s="18"/>
    </row>
    <row r="1712" customFormat="false" ht="15.75" hidden="false" customHeight="true" outlineLevel="0" collapsed="false">
      <c r="A1712" s="18"/>
      <c r="B1712" s="18"/>
      <c r="C1712" s="19"/>
      <c r="D1712" s="20"/>
      <c r="E1712" s="20"/>
      <c r="F1712" s="20"/>
      <c r="G1712" s="20" t="str">
        <f aca="false">IF(COUNTBLANK(D1712:F1712)=3,"",IF(OR(D1712="Fail",E1712="Fail",F1712="Fail"),"Fail",IF(AND(D1712="Pass",E1712="Pass",F1712="Pass"),"Pass","Incomplete")))</f>
        <v/>
      </c>
      <c r="H1712" s="18"/>
      <c r="I1712" s="18"/>
    </row>
    <row r="1713" customFormat="false" ht="15.75" hidden="false" customHeight="true" outlineLevel="0" collapsed="false">
      <c r="A1713" s="18"/>
      <c r="B1713" s="18"/>
      <c r="C1713" s="19"/>
      <c r="D1713" s="20"/>
      <c r="E1713" s="20"/>
      <c r="F1713" s="20"/>
      <c r="G1713" s="20" t="str">
        <f aca="false">IF(COUNTBLANK(D1713:F1713)=3,"",IF(OR(D1713="Fail",E1713="Fail",F1713="Fail"),"Fail",IF(AND(D1713="Pass",E1713="Pass",F1713="Pass"),"Pass","Incomplete")))</f>
        <v/>
      </c>
      <c r="H1713" s="18"/>
      <c r="I1713" s="18"/>
    </row>
    <row r="1714" customFormat="false" ht="15.75" hidden="false" customHeight="true" outlineLevel="0" collapsed="false">
      <c r="A1714" s="18"/>
      <c r="B1714" s="18"/>
      <c r="C1714" s="19"/>
      <c r="D1714" s="20"/>
      <c r="E1714" s="20"/>
      <c r="F1714" s="20"/>
      <c r="G1714" s="20" t="str">
        <f aca="false">IF(COUNTBLANK(D1714:F1714)=3,"",IF(OR(D1714="Fail",E1714="Fail",F1714="Fail"),"Fail",IF(AND(D1714="Pass",E1714="Pass",F1714="Pass"),"Pass","Incomplete")))</f>
        <v/>
      </c>
      <c r="H1714" s="18"/>
      <c r="I1714" s="18"/>
    </row>
    <row r="1715" customFormat="false" ht="15.75" hidden="false" customHeight="true" outlineLevel="0" collapsed="false">
      <c r="A1715" s="18"/>
      <c r="B1715" s="18"/>
      <c r="C1715" s="19"/>
      <c r="D1715" s="20"/>
      <c r="E1715" s="20"/>
      <c r="F1715" s="20"/>
      <c r="G1715" s="20" t="str">
        <f aca="false">IF(COUNTBLANK(D1715:F1715)=3,"",IF(OR(D1715="Fail",E1715="Fail",F1715="Fail"),"Fail",IF(AND(D1715="Pass",E1715="Pass",F1715="Pass"),"Pass","Incomplete")))</f>
        <v/>
      </c>
      <c r="H1715" s="18"/>
      <c r="I1715" s="18"/>
    </row>
    <row r="1716" customFormat="false" ht="15.75" hidden="false" customHeight="true" outlineLevel="0" collapsed="false">
      <c r="A1716" s="18"/>
      <c r="B1716" s="18"/>
      <c r="C1716" s="19"/>
      <c r="D1716" s="20"/>
      <c r="E1716" s="20"/>
      <c r="F1716" s="20"/>
      <c r="G1716" s="20" t="str">
        <f aca="false">IF(COUNTBLANK(D1716:F1716)=3,"",IF(OR(D1716="Fail",E1716="Fail",F1716="Fail"),"Fail",IF(AND(D1716="Pass",E1716="Pass",F1716="Pass"),"Pass","Incomplete")))</f>
        <v/>
      </c>
      <c r="H1716" s="18"/>
      <c r="I1716" s="18"/>
    </row>
    <row r="1717" customFormat="false" ht="15.75" hidden="false" customHeight="true" outlineLevel="0" collapsed="false">
      <c r="A1717" s="18"/>
      <c r="B1717" s="18"/>
      <c r="C1717" s="19"/>
      <c r="D1717" s="20"/>
      <c r="E1717" s="20"/>
      <c r="F1717" s="20"/>
      <c r="G1717" s="20" t="str">
        <f aca="false">IF(COUNTBLANK(D1717:F1717)=3,"",IF(OR(D1717="Fail",E1717="Fail",F1717="Fail"),"Fail",IF(AND(D1717="Pass",E1717="Pass",F1717="Pass"),"Pass","Incomplete")))</f>
        <v/>
      </c>
      <c r="H1717" s="18"/>
      <c r="I1717" s="18"/>
    </row>
    <row r="1718" customFormat="false" ht="15.75" hidden="false" customHeight="true" outlineLevel="0" collapsed="false">
      <c r="A1718" s="18"/>
      <c r="B1718" s="18"/>
      <c r="C1718" s="19"/>
      <c r="D1718" s="20"/>
      <c r="E1718" s="20"/>
      <c r="F1718" s="20"/>
      <c r="G1718" s="20" t="str">
        <f aca="false">IF(COUNTBLANK(D1718:F1718)=3,"",IF(OR(D1718="Fail",E1718="Fail",F1718="Fail"),"Fail",IF(AND(D1718="Pass",E1718="Pass",F1718="Pass"),"Pass","Incomplete")))</f>
        <v/>
      </c>
      <c r="H1718" s="18"/>
      <c r="I1718" s="18"/>
    </row>
    <row r="1719" customFormat="false" ht="15.75" hidden="false" customHeight="true" outlineLevel="0" collapsed="false">
      <c r="A1719" s="18"/>
      <c r="B1719" s="18"/>
      <c r="C1719" s="19"/>
      <c r="D1719" s="20"/>
      <c r="E1719" s="20"/>
      <c r="F1719" s="20"/>
      <c r="G1719" s="20" t="str">
        <f aca="false">IF(COUNTBLANK(D1719:F1719)=3,"",IF(OR(D1719="Fail",E1719="Fail",F1719="Fail"),"Fail",IF(AND(D1719="Pass",E1719="Pass",F1719="Pass"),"Pass","Incomplete")))</f>
        <v/>
      </c>
      <c r="H1719" s="18"/>
      <c r="I1719" s="18"/>
    </row>
    <row r="1720" customFormat="false" ht="15.75" hidden="false" customHeight="true" outlineLevel="0" collapsed="false">
      <c r="A1720" s="18"/>
      <c r="B1720" s="18"/>
      <c r="C1720" s="19"/>
      <c r="D1720" s="20"/>
      <c r="E1720" s="20"/>
      <c r="F1720" s="20"/>
      <c r="G1720" s="20" t="str">
        <f aca="false">IF(COUNTBLANK(D1720:F1720)=3,"",IF(OR(D1720="Fail",E1720="Fail",F1720="Fail"),"Fail",IF(AND(D1720="Pass",E1720="Pass",F1720="Pass"),"Pass","Incomplete")))</f>
        <v/>
      </c>
      <c r="H1720" s="18"/>
      <c r="I1720" s="18"/>
    </row>
    <row r="1721" customFormat="false" ht="15.75" hidden="false" customHeight="true" outlineLevel="0" collapsed="false">
      <c r="A1721" s="18"/>
      <c r="B1721" s="18"/>
      <c r="C1721" s="19"/>
      <c r="D1721" s="20"/>
      <c r="E1721" s="20"/>
      <c r="F1721" s="20"/>
      <c r="G1721" s="20" t="str">
        <f aca="false">IF(COUNTBLANK(D1721:F1721)=3,"",IF(OR(D1721="Fail",E1721="Fail",F1721="Fail"),"Fail",IF(AND(D1721="Pass",E1721="Pass",F1721="Pass"),"Pass","Incomplete")))</f>
        <v/>
      </c>
      <c r="H1721" s="18"/>
      <c r="I1721" s="18"/>
    </row>
    <row r="1722" customFormat="false" ht="15.75" hidden="false" customHeight="true" outlineLevel="0" collapsed="false">
      <c r="A1722" s="18"/>
      <c r="B1722" s="18"/>
      <c r="C1722" s="19"/>
      <c r="D1722" s="20"/>
      <c r="E1722" s="20"/>
      <c r="F1722" s="20"/>
      <c r="G1722" s="20" t="str">
        <f aca="false">IF(COUNTBLANK(D1722:F1722)=3,"",IF(OR(D1722="Fail",E1722="Fail",F1722="Fail"),"Fail",IF(AND(D1722="Pass",E1722="Pass",F1722="Pass"),"Pass","Incomplete")))</f>
        <v/>
      </c>
      <c r="H1722" s="18"/>
      <c r="I1722" s="18"/>
    </row>
    <row r="1723" customFormat="false" ht="15.75" hidden="false" customHeight="true" outlineLevel="0" collapsed="false">
      <c r="A1723" s="18"/>
      <c r="B1723" s="18"/>
      <c r="C1723" s="19"/>
      <c r="D1723" s="20"/>
      <c r="E1723" s="20"/>
      <c r="F1723" s="20"/>
      <c r="G1723" s="20" t="str">
        <f aca="false">IF(COUNTBLANK(D1723:F1723)=3,"",IF(OR(D1723="Fail",E1723="Fail",F1723="Fail"),"Fail",IF(AND(D1723="Pass",E1723="Pass",F1723="Pass"),"Pass","Incomplete")))</f>
        <v/>
      </c>
      <c r="H1723" s="18"/>
      <c r="I1723" s="18"/>
    </row>
    <row r="1724" customFormat="false" ht="15.75" hidden="false" customHeight="true" outlineLevel="0" collapsed="false">
      <c r="A1724" s="18"/>
      <c r="B1724" s="18"/>
      <c r="C1724" s="19"/>
      <c r="D1724" s="20"/>
      <c r="E1724" s="20"/>
      <c r="F1724" s="20"/>
      <c r="G1724" s="20" t="str">
        <f aca="false">IF(COUNTBLANK(D1724:F1724)=3,"",IF(OR(D1724="Fail",E1724="Fail",F1724="Fail"),"Fail",IF(AND(D1724="Pass",E1724="Pass",F1724="Pass"),"Pass","Incomplete")))</f>
        <v/>
      </c>
      <c r="H1724" s="18"/>
      <c r="I1724" s="18"/>
    </row>
    <row r="1725" customFormat="false" ht="15.75" hidden="false" customHeight="true" outlineLevel="0" collapsed="false">
      <c r="A1725" s="18"/>
      <c r="B1725" s="18"/>
      <c r="C1725" s="19"/>
      <c r="D1725" s="20"/>
      <c r="E1725" s="20"/>
      <c r="F1725" s="20"/>
      <c r="G1725" s="20" t="str">
        <f aca="false">IF(COUNTBLANK(D1725:F1725)=3,"",IF(OR(D1725="Fail",E1725="Fail",F1725="Fail"),"Fail",IF(AND(D1725="Pass",E1725="Pass",F1725="Pass"),"Pass","Incomplete")))</f>
        <v/>
      </c>
      <c r="H1725" s="18"/>
      <c r="I1725" s="18"/>
    </row>
    <row r="1726" customFormat="false" ht="15.75" hidden="false" customHeight="true" outlineLevel="0" collapsed="false">
      <c r="A1726" s="18"/>
      <c r="B1726" s="18"/>
      <c r="C1726" s="19"/>
      <c r="D1726" s="20"/>
      <c r="E1726" s="20"/>
      <c r="F1726" s="20"/>
      <c r="G1726" s="20" t="str">
        <f aca="false">IF(COUNTBLANK(D1726:F1726)=3,"",IF(OR(D1726="Fail",E1726="Fail",F1726="Fail"),"Fail",IF(AND(D1726="Pass",E1726="Pass",F1726="Pass"),"Pass","Incomplete")))</f>
        <v/>
      </c>
      <c r="H1726" s="18"/>
      <c r="I1726" s="18"/>
    </row>
    <row r="1727" customFormat="false" ht="15.75" hidden="false" customHeight="true" outlineLevel="0" collapsed="false">
      <c r="A1727" s="18"/>
      <c r="B1727" s="18"/>
      <c r="C1727" s="19"/>
      <c r="D1727" s="20"/>
      <c r="E1727" s="20"/>
      <c r="F1727" s="20"/>
      <c r="G1727" s="20" t="str">
        <f aca="false">IF(COUNTBLANK(D1727:F1727)=3,"",IF(OR(D1727="Fail",E1727="Fail",F1727="Fail"),"Fail",IF(AND(D1727="Pass",E1727="Pass",F1727="Pass"),"Pass","Incomplete")))</f>
        <v/>
      </c>
      <c r="H1727" s="18"/>
      <c r="I1727" s="18"/>
    </row>
    <row r="1728" customFormat="false" ht="15.75" hidden="false" customHeight="true" outlineLevel="0" collapsed="false">
      <c r="A1728" s="18"/>
      <c r="B1728" s="18"/>
      <c r="C1728" s="19"/>
      <c r="D1728" s="20"/>
      <c r="E1728" s="20"/>
      <c r="F1728" s="20"/>
      <c r="G1728" s="20" t="str">
        <f aca="false">IF(COUNTBLANK(D1728:F1728)=3,"",IF(OR(D1728="Fail",E1728="Fail",F1728="Fail"),"Fail",IF(AND(D1728="Pass",E1728="Pass",F1728="Pass"),"Pass","Incomplete")))</f>
        <v/>
      </c>
      <c r="H1728" s="18"/>
      <c r="I1728" s="18"/>
    </row>
    <row r="1729" customFormat="false" ht="15.75" hidden="false" customHeight="true" outlineLevel="0" collapsed="false">
      <c r="A1729" s="18"/>
      <c r="B1729" s="18"/>
      <c r="C1729" s="19"/>
      <c r="D1729" s="20"/>
      <c r="E1729" s="20"/>
      <c r="F1729" s="20"/>
      <c r="G1729" s="20" t="str">
        <f aca="false">IF(COUNTBLANK(D1729:F1729)=3,"",IF(OR(D1729="Fail",E1729="Fail",F1729="Fail"),"Fail",IF(AND(D1729="Pass",E1729="Pass",F1729="Pass"),"Pass","Incomplete")))</f>
        <v/>
      </c>
      <c r="H1729" s="18"/>
      <c r="I1729" s="18"/>
    </row>
    <row r="1730" customFormat="false" ht="15.75" hidden="false" customHeight="true" outlineLevel="0" collapsed="false">
      <c r="A1730" s="18"/>
      <c r="B1730" s="18"/>
      <c r="C1730" s="19"/>
      <c r="D1730" s="20"/>
      <c r="E1730" s="20"/>
      <c r="F1730" s="20"/>
      <c r="G1730" s="20" t="str">
        <f aca="false">IF(COUNTBLANK(D1730:F1730)=3,"",IF(OR(D1730="Fail",E1730="Fail",F1730="Fail"),"Fail",IF(AND(D1730="Pass",E1730="Pass",F1730="Pass"),"Pass","Incomplete")))</f>
        <v/>
      </c>
      <c r="H1730" s="18"/>
      <c r="I1730" s="18"/>
    </row>
    <row r="1731" customFormat="false" ht="15.75" hidden="false" customHeight="true" outlineLevel="0" collapsed="false">
      <c r="A1731" s="18"/>
      <c r="B1731" s="18"/>
      <c r="C1731" s="19"/>
      <c r="D1731" s="20"/>
      <c r="E1731" s="20"/>
      <c r="F1731" s="20"/>
      <c r="G1731" s="20" t="str">
        <f aca="false">IF(COUNTBLANK(D1731:F1731)=3,"",IF(OR(D1731="Fail",E1731="Fail",F1731="Fail"),"Fail",IF(AND(D1731="Pass",E1731="Pass",F1731="Pass"),"Pass","Incomplete")))</f>
        <v/>
      </c>
      <c r="H1731" s="18"/>
      <c r="I1731" s="18"/>
    </row>
    <row r="1732" customFormat="false" ht="15.75" hidden="false" customHeight="true" outlineLevel="0" collapsed="false">
      <c r="A1732" s="18"/>
      <c r="B1732" s="18"/>
      <c r="C1732" s="19"/>
      <c r="D1732" s="20"/>
      <c r="E1732" s="20"/>
      <c r="F1732" s="20"/>
      <c r="G1732" s="20" t="str">
        <f aca="false">IF(COUNTBLANK(D1732:F1732)=3,"",IF(OR(D1732="Fail",E1732="Fail",F1732="Fail"),"Fail",IF(AND(D1732="Pass",E1732="Pass",F1732="Pass"),"Pass","Incomplete")))</f>
        <v/>
      </c>
      <c r="H1732" s="18"/>
      <c r="I1732" s="18"/>
    </row>
    <row r="1733" customFormat="false" ht="15.75" hidden="false" customHeight="true" outlineLevel="0" collapsed="false">
      <c r="A1733" s="18"/>
      <c r="B1733" s="18"/>
      <c r="C1733" s="19"/>
      <c r="D1733" s="20"/>
      <c r="E1733" s="20"/>
      <c r="F1733" s="20"/>
      <c r="G1733" s="20" t="str">
        <f aca="false">IF(COUNTBLANK(D1733:F1733)=3,"",IF(OR(D1733="Fail",E1733="Fail",F1733="Fail"),"Fail",IF(AND(D1733="Pass",E1733="Pass",F1733="Pass"),"Pass","Incomplete")))</f>
        <v/>
      </c>
      <c r="H1733" s="18"/>
      <c r="I1733" s="18"/>
    </row>
    <row r="1734" customFormat="false" ht="15.75" hidden="false" customHeight="true" outlineLevel="0" collapsed="false">
      <c r="A1734" s="18"/>
      <c r="B1734" s="18"/>
      <c r="C1734" s="19"/>
      <c r="D1734" s="20"/>
      <c r="E1734" s="20"/>
      <c r="F1734" s="20"/>
      <c r="G1734" s="20" t="str">
        <f aca="false">IF(COUNTBLANK(D1734:F1734)=3,"",IF(OR(D1734="Fail",E1734="Fail",F1734="Fail"),"Fail",IF(AND(D1734="Pass",E1734="Pass",F1734="Pass"),"Pass","Incomplete")))</f>
        <v/>
      </c>
      <c r="H1734" s="18"/>
      <c r="I1734" s="18"/>
    </row>
    <row r="1735" customFormat="false" ht="15.75" hidden="false" customHeight="true" outlineLevel="0" collapsed="false">
      <c r="A1735" s="18"/>
      <c r="B1735" s="18"/>
      <c r="C1735" s="19"/>
      <c r="D1735" s="20"/>
      <c r="E1735" s="20"/>
      <c r="F1735" s="20"/>
      <c r="G1735" s="20" t="str">
        <f aca="false">IF(COUNTBLANK(D1735:F1735)=3,"",IF(OR(D1735="Fail",E1735="Fail",F1735="Fail"),"Fail",IF(AND(D1735="Pass",E1735="Pass",F1735="Pass"),"Pass","Incomplete")))</f>
        <v/>
      </c>
      <c r="H1735" s="18"/>
      <c r="I1735" s="18"/>
    </row>
    <row r="1736" customFormat="false" ht="15.75" hidden="false" customHeight="true" outlineLevel="0" collapsed="false">
      <c r="A1736" s="18"/>
      <c r="B1736" s="18"/>
      <c r="C1736" s="19"/>
      <c r="D1736" s="20"/>
      <c r="E1736" s="20"/>
      <c r="F1736" s="20"/>
      <c r="G1736" s="20" t="str">
        <f aca="false">IF(COUNTBLANK(D1736:F1736)=3,"",IF(OR(D1736="Fail",E1736="Fail",F1736="Fail"),"Fail",IF(AND(D1736="Pass",E1736="Pass",F1736="Pass"),"Pass","Incomplete")))</f>
        <v/>
      </c>
      <c r="H1736" s="18"/>
      <c r="I1736" s="18"/>
    </row>
    <row r="1737" customFormat="false" ht="15.75" hidden="false" customHeight="true" outlineLevel="0" collapsed="false">
      <c r="A1737" s="18"/>
      <c r="B1737" s="18"/>
      <c r="C1737" s="19"/>
      <c r="D1737" s="20"/>
      <c r="E1737" s="20"/>
      <c r="F1737" s="20"/>
      <c r="G1737" s="20" t="str">
        <f aca="false">IF(COUNTBLANK(D1737:F1737)=3,"",IF(OR(D1737="Fail",E1737="Fail",F1737="Fail"),"Fail",IF(AND(D1737="Pass",E1737="Pass",F1737="Pass"),"Pass","Incomplete")))</f>
        <v/>
      </c>
      <c r="H1737" s="18"/>
      <c r="I1737" s="18"/>
    </row>
    <row r="1738" customFormat="false" ht="15.75" hidden="false" customHeight="true" outlineLevel="0" collapsed="false">
      <c r="A1738" s="18"/>
      <c r="B1738" s="18"/>
      <c r="C1738" s="19"/>
      <c r="D1738" s="20"/>
      <c r="E1738" s="20"/>
      <c r="F1738" s="20"/>
      <c r="G1738" s="20" t="str">
        <f aca="false">IF(COUNTBLANK(D1738:F1738)=3,"",IF(OR(D1738="Fail",E1738="Fail",F1738="Fail"),"Fail",IF(AND(D1738="Pass",E1738="Pass",F1738="Pass"),"Pass","Incomplete")))</f>
        <v/>
      </c>
      <c r="H1738" s="18"/>
      <c r="I1738" s="18"/>
    </row>
    <row r="1739" customFormat="false" ht="15.75" hidden="false" customHeight="true" outlineLevel="0" collapsed="false">
      <c r="A1739" s="18"/>
      <c r="B1739" s="18"/>
      <c r="C1739" s="19"/>
      <c r="D1739" s="20"/>
      <c r="E1739" s="20"/>
      <c r="F1739" s="20"/>
      <c r="G1739" s="20" t="str">
        <f aca="false">IF(COUNTBLANK(D1739:F1739)=3,"",IF(OR(D1739="Fail",E1739="Fail",F1739="Fail"),"Fail",IF(AND(D1739="Pass",E1739="Pass",F1739="Pass"),"Pass","Incomplete")))</f>
        <v/>
      </c>
      <c r="H1739" s="18"/>
      <c r="I1739" s="18"/>
    </row>
    <row r="1740" customFormat="false" ht="15.75" hidden="false" customHeight="true" outlineLevel="0" collapsed="false">
      <c r="A1740" s="18"/>
      <c r="B1740" s="18"/>
      <c r="C1740" s="19"/>
      <c r="D1740" s="20"/>
      <c r="E1740" s="20"/>
      <c r="F1740" s="20"/>
      <c r="G1740" s="20" t="str">
        <f aca="false">IF(COUNTBLANK(D1740:F1740)=3,"",IF(OR(D1740="Fail",E1740="Fail",F1740="Fail"),"Fail",IF(AND(D1740="Pass",E1740="Pass",F1740="Pass"),"Pass","Incomplete")))</f>
        <v/>
      </c>
      <c r="H1740" s="18"/>
      <c r="I1740" s="18"/>
    </row>
    <row r="1741" customFormat="false" ht="15.75" hidden="false" customHeight="true" outlineLevel="0" collapsed="false">
      <c r="A1741" s="18"/>
      <c r="B1741" s="18"/>
      <c r="C1741" s="19"/>
      <c r="D1741" s="20"/>
      <c r="E1741" s="20"/>
      <c r="F1741" s="20"/>
      <c r="G1741" s="20" t="str">
        <f aca="false">IF(COUNTBLANK(D1741:F1741)=3,"",IF(OR(D1741="Fail",E1741="Fail",F1741="Fail"),"Fail",IF(AND(D1741="Pass",E1741="Pass",F1741="Pass"),"Pass","Incomplete")))</f>
        <v/>
      </c>
      <c r="H1741" s="18"/>
      <c r="I1741" s="18"/>
    </row>
    <row r="1742" customFormat="false" ht="15.75" hidden="false" customHeight="true" outlineLevel="0" collapsed="false">
      <c r="A1742" s="18"/>
      <c r="B1742" s="18"/>
      <c r="C1742" s="19"/>
      <c r="D1742" s="20"/>
      <c r="E1742" s="20"/>
      <c r="F1742" s="20"/>
      <c r="G1742" s="20" t="str">
        <f aca="false">IF(COUNTBLANK(D1742:F1742)=3,"",IF(OR(D1742="Fail",E1742="Fail",F1742="Fail"),"Fail",IF(AND(D1742="Pass",E1742="Pass",F1742="Pass"),"Pass","Incomplete")))</f>
        <v/>
      </c>
      <c r="H1742" s="18"/>
      <c r="I1742" s="18"/>
    </row>
    <row r="1743" customFormat="false" ht="15.75" hidden="false" customHeight="true" outlineLevel="0" collapsed="false">
      <c r="A1743" s="18"/>
      <c r="B1743" s="18"/>
      <c r="C1743" s="19"/>
      <c r="D1743" s="20"/>
      <c r="E1743" s="20"/>
      <c r="F1743" s="20"/>
      <c r="G1743" s="20" t="str">
        <f aca="false">IF(COUNTBLANK(D1743:F1743)=3,"",IF(OR(D1743="Fail",E1743="Fail",F1743="Fail"),"Fail",IF(AND(D1743="Pass",E1743="Pass",F1743="Pass"),"Pass","Incomplete")))</f>
        <v/>
      </c>
      <c r="H1743" s="18"/>
      <c r="I1743" s="18"/>
    </row>
    <row r="1744" customFormat="false" ht="15.75" hidden="false" customHeight="true" outlineLevel="0" collapsed="false">
      <c r="A1744" s="18"/>
      <c r="B1744" s="18"/>
      <c r="C1744" s="19"/>
      <c r="D1744" s="20"/>
      <c r="E1744" s="20"/>
      <c r="F1744" s="20"/>
      <c r="G1744" s="20" t="str">
        <f aca="false">IF(COUNTBLANK(D1744:F1744)=3,"",IF(OR(D1744="Fail",E1744="Fail",F1744="Fail"),"Fail",IF(AND(D1744="Pass",E1744="Pass",F1744="Pass"),"Pass","Incomplete")))</f>
        <v/>
      </c>
      <c r="H1744" s="18"/>
      <c r="I1744" s="18"/>
    </row>
    <row r="1745" customFormat="false" ht="15.75" hidden="false" customHeight="true" outlineLevel="0" collapsed="false">
      <c r="A1745" s="18"/>
      <c r="B1745" s="18"/>
      <c r="C1745" s="19"/>
      <c r="D1745" s="20"/>
      <c r="E1745" s="20"/>
      <c r="F1745" s="20"/>
      <c r="G1745" s="20" t="str">
        <f aca="false">IF(COUNTBLANK(D1745:F1745)=3,"",IF(OR(D1745="Fail",E1745="Fail",F1745="Fail"),"Fail",IF(AND(D1745="Pass",E1745="Pass",F1745="Pass"),"Pass","Incomplete")))</f>
        <v/>
      </c>
      <c r="H1745" s="18"/>
      <c r="I1745" s="18"/>
    </row>
    <row r="1746" customFormat="false" ht="15.75" hidden="false" customHeight="true" outlineLevel="0" collapsed="false">
      <c r="A1746" s="18"/>
      <c r="B1746" s="18"/>
      <c r="C1746" s="19"/>
      <c r="D1746" s="20"/>
      <c r="E1746" s="20"/>
      <c r="F1746" s="20"/>
      <c r="G1746" s="20" t="str">
        <f aca="false">IF(COUNTBLANK(D1746:F1746)=3,"",IF(OR(D1746="Fail",E1746="Fail",F1746="Fail"),"Fail",IF(AND(D1746="Pass",E1746="Pass",F1746="Pass"),"Pass","Incomplete")))</f>
        <v/>
      </c>
      <c r="H1746" s="18"/>
      <c r="I1746" s="18"/>
    </row>
    <row r="1747" customFormat="false" ht="15.75" hidden="false" customHeight="true" outlineLevel="0" collapsed="false">
      <c r="A1747" s="18"/>
      <c r="B1747" s="18"/>
      <c r="C1747" s="19"/>
      <c r="D1747" s="20"/>
      <c r="E1747" s="20"/>
      <c r="F1747" s="20"/>
      <c r="G1747" s="20" t="str">
        <f aca="false">IF(COUNTBLANK(D1747:F1747)=3,"",IF(OR(D1747="Fail",E1747="Fail",F1747="Fail"),"Fail",IF(AND(D1747="Pass",E1747="Pass",F1747="Pass"),"Pass","Incomplete")))</f>
        <v/>
      </c>
      <c r="H1747" s="18"/>
      <c r="I1747" s="18"/>
    </row>
    <row r="1748" customFormat="false" ht="15.75" hidden="false" customHeight="true" outlineLevel="0" collapsed="false">
      <c r="A1748" s="18"/>
      <c r="B1748" s="18"/>
      <c r="C1748" s="19"/>
      <c r="D1748" s="20"/>
      <c r="E1748" s="20"/>
      <c r="F1748" s="20"/>
      <c r="G1748" s="20" t="str">
        <f aca="false">IF(COUNTBLANK(D1748:F1748)=3,"",IF(OR(D1748="Fail",E1748="Fail",F1748="Fail"),"Fail",IF(AND(D1748="Pass",E1748="Pass",F1748="Pass"),"Pass","Incomplete")))</f>
        <v/>
      </c>
      <c r="H1748" s="18"/>
      <c r="I1748" s="18"/>
    </row>
    <row r="1749" customFormat="false" ht="15.75" hidden="false" customHeight="true" outlineLevel="0" collapsed="false">
      <c r="A1749" s="18"/>
      <c r="B1749" s="18"/>
      <c r="C1749" s="19"/>
      <c r="D1749" s="20"/>
      <c r="E1749" s="20"/>
      <c r="F1749" s="20"/>
      <c r="G1749" s="20" t="str">
        <f aca="false">IF(COUNTBLANK(D1749:F1749)=3,"",IF(OR(D1749="Fail",E1749="Fail",F1749="Fail"),"Fail",IF(AND(D1749="Pass",E1749="Pass",F1749="Pass"),"Pass","Incomplete")))</f>
        <v/>
      </c>
      <c r="H1749" s="18"/>
      <c r="I1749" s="18"/>
    </row>
    <row r="1750" customFormat="false" ht="15.75" hidden="false" customHeight="true" outlineLevel="0" collapsed="false">
      <c r="A1750" s="18"/>
      <c r="B1750" s="18"/>
      <c r="C1750" s="19"/>
      <c r="D1750" s="20"/>
      <c r="E1750" s="20"/>
      <c r="F1750" s="20"/>
      <c r="G1750" s="20" t="str">
        <f aca="false">IF(COUNTBLANK(D1750:F1750)=3,"",IF(OR(D1750="Fail",E1750="Fail",F1750="Fail"),"Fail",IF(AND(D1750="Pass",E1750="Pass",F1750="Pass"),"Pass","Incomplete")))</f>
        <v/>
      </c>
      <c r="H1750" s="18"/>
      <c r="I1750" s="18"/>
    </row>
    <row r="1751" customFormat="false" ht="15.75" hidden="false" customHeight="true" outlineLevel="0" collapsed="false">
      <c r="A1751" s="18"/>
      <c r="B1751" s="18"/>
      <c r="C1751" s="19"/>
      <c r="D1751" s="20"/>
      <c r="E1751" s="20"/>
      <c r="F1751" s="20"/>
      <c r="G1751" s="20" t="str">
        <f aca="false">IF(COUNTBLANK(D1751:F1751)=3,"",IF(OR(D1751="Fail",E1751="Fail",F1751="Fail"),"Fail",IF(AND(D1751="Pass",E1751="Pass",F1751="Pass"),"Pass","Incomplete")))</f>
        <v/>
      </c>
      <c r="H1751" s="18"/>
      <c r="I1751" s="18"/>
    </row>
    <row r="1752" customFormat="false" ht="15.75" hidden="false" customHeight="true" outlineLevel="0" collapsed="false">
      <c r="A1752" s="18"/>
      <c r="B1752" s="18"/>
      <c r="C1752" s="19"/>
      <c r="D1752" s="20"/>
      <c r="E1752" s="20"/>
      <c r="F1752" s="20"/>
      <c r="G1752" s="20" t="str">
        <f aca="false">IF(COUNTBLANK(D1752:F1752)=3,"",IF(OR(D1752="Fail",E1752="Fail",F1752="Fail"),"Fail",IF(AND(D1752="Pass",E1752="Pass",F1752="Pass"),"Pass","Incomplete")))</f>
        <v/>
      </c>
      <c r="H1752" s="18"/>
      <c r="I1752" s="18"/>
    </row>
    <row r="1753" customFormat="false" ht="15.75" hidden="false" customHeight="true" outlineLevel="0" collapsed="false">
      <c r="A1753" s="18"/>
      <c r="B1753" s="18"/>
      <c r="C1753" s="19"/>
      <c r="D1753" s="20"/>
      <c r="E1753" s="20"/>
      <c r="F1753" s="20"/>
      <c r="G1753" s="20" t="str">
        <f aca="false">IF(COUNTBLANK(D1753:F1753)=3,"",IF(OR(D1753="Fail",E1753="Fail",F1753="Fail"),"Fail",IF(AND(D1753="Pass",E1753="Pass",F1753="Pass"),"Pass","Incomplete")))</f>
        <v/>
      </c>
      <c r="H1753" s="18"/>
      <c r="I1753" s="18"/>
    </row>
    <row r="1754" customFormat="false" ht="15.75" hidden="false" customHeight="true" outlineLevel="0" collapsed="false">
      <c r="A1754" s="18"/>
      <c r="B1754" s="18"/>
      <c r="C1754" s="19"/>
      <c r="D1754" s="20"/>
      <c r="E1754" s="20"/>
      <c r="F1754" s="20"/>
      <c r="G1754" s="20" t="str">
        <f aca="false">IF(COUNTBLANK(D1754:F1754)=3,"",IF(OR(D1754="Fail",E1754="Fail",F1754="Fail"),"Fail",IF(AND(D1754="Pass",E1754="Pass",F1754="Pass"),"Pass","Incomplete")))</f>
        <v/>
      </c>
      <c r="H1754" s="18"/>
      <c r="I1754" s="18"/>
    </row>
    <row r="1755" customFormat="false" ht="15.75" hidden="false" customHeight="true" outlineLevel="0" collapsed="false">
      <c r="A1755" s="18"/>
      <c r="B1755" s="18"/>
      <c r="C1755" s="19"/>
      <c r="D1755" s="20"/>
      <c r="E1755" s="20"/>
      <c r="F1755" s="20"/>
      <c r="G1755" s="20" t="str">
        <f aca="false">IF(COUNTBLANK(D1755:F1755)=3,"",IF(OR(D1755="Fail",E1755="Fail",F1755="Fail"),"Fail",IF(AND(D1755="Pass",E1755="Pass",F1755="Pass"),"Pass","Incomplete")))</f>
        <v/>
      </c>
      <c r="H1755" s="18"/>
      <c r="I1755" s="18"/>
    </row>
    <row r="1756" customFormat="false" ht="15.75" hidden="false" customHeight="true" outlineLevel="0" collapsed="false">
      <c r="A1756" s="18"/>
      <c r="B1756" s="18"/>
      <c r="C1756" s="19"/>
      <c r="D1756" s="20"/>
      <c r="E1756" s="20"/>
      <c r="F1756" s="20"/>
      <c r="G1756" s="20" t="str">
        <f aca="false">IF(COUNTBLANK(D1756:F1756)=3,"",IF(OR(D1756="Fail",E1756="Fail",F1756="Fail"),"Fail",IF(AND(D1756="Pass",E1756="Pass",F1756="Pass"),"Pass","Incomplete")))</f>
        <v/>
      </c>
      <c r="H1756" s="18"/>
      <c r="I1756" s="18"/>
    </row>
    <row r="1757" customFormat="false" ht="15.75" hidden="false" customHeight="true" outlineLevel="0" collapsed="false">
      <c r="A1757" s="18"/>
      <c r="B1757" s="18"/>
      <c r="C1757" s="19"/>
      <c r="D1757" s="20"/>
      <c r="E1757" s="20"/>
      <c r="F1757" s="20"/>
      <c r="G1757" s="20" t="str">
        <f aca="false">IF(COUNTBLANK(D1757:F1757)=3,"",IF(OR(D1757="Fail",E1757="Fail",F1757="Fail"),"Fail",IF(AND(D1757="Pass",E1757="Pass",F1757="Pass"),"Pass","Incomplete")))</f>
        <v/>
      </c>
      <c r="H1757" s="18"/>
      <c r="I1757" s="18"/>
    </row>
    <row r="1758" customFormat="false" ht="15.75" hidden="false" customHeight="true" outlineLevel="0" collapsed="false">
      <c r="A1758" s="18"/>
      <c r="B1758" s="18"/>
      <c r="C1758" s="19"/>
      <c r="D1758" s="20"/>
      <c r="E1758" s="20"/>
      <c r="F1758" s="20"/>
      <c r="G1758" s="20" t="str">
        <f aca="false">IF(COUNTBLANK(D1758:F1758)=3,"",IF(OR(D1758="Fail",E1758="Fail",F1758="Fail"),"Fail",IF(AND(D1758="Pass",E1758="Pass",F1758="Pass"),"Pass","Incomplete")))</f>
        <v/>
      </c>
      <c r="H1758" s="18"/>
      <c r="I1758" s="18"/>
    </row>
    <row r="1759" customFormat="false" ht="15.75" hidden="false" customHeight="true" outlineLevel="0" collapsed="false">
      <c r="A1759" s="18"/>
      <c r="B1759" s="18"/>
      <c r="C1759" s="19"/>
      <c r="D1759" s="20"/>
      <c r="E1759" s="20"/>
      <c r="F1759" s="20"/>
      <c r="G1759" s="20" t="str">
        <f aca="false">IF(COUNTBLANK(D1759:F1759)=3,"",IF(OR(D1759="Fail",E1759="Fail",F1759="Fail"),"Fail",IF(AND(D1759="Pass",E1759="Pass",F1759="Pass"),"Pass","Incomplete")))</f>
        <v/>
      </c>
      <c r="H1759" s="18"/>
      <c r="I1759" s="18"/>
    </row>
    <row r="1760" customFormat="false" ht="15.75" hidden="false" customHeight="true" outlineLevel="0" collapsed="false">
      <c r="A1760" s="18"/>
      <c r="B1760" s="18"/>
      <c r="C1760" s="19"/>
      <c r="D1760" s="20"/>
      <c r="E1760" s="20"/>
      <c r="F1760" s="20"/>
      <c r="G1760" s="20" t="str">
        <f aca="false">IF(COUNTBLANK(D1760:F1760)=3,"",IF(OR(D1760="Fail",E1760="Fail",F1760="Fail"),"Fail",IF(AND(D1760="Pass",E1760="Pass",F1760="Pass"),"Pass","Incomplete")))</f>
        <v/>
      </c>
      <c r="H1760" s="18"/>
      <c r="I1760" s="18"/>
    </row>
    <row r="1761" customFormat="false" ht="15.75" hidden="false" customHeight="true" outlineLevel="0" collapsed="false">
      <c r="A1761" s="18"/>
      <c r="B1761" s="18"/>
      <c r="C1761" s="19"/>
      <c r="D1761" s="20"/>
      <c r="E1761" s="20"/>
      <c r="F1761" s="20"/>
      <c r="G1761" s="20" t="str">
        <f aca="false">IF(COUNTBLANK(D1761:F1761)=3,"",IF(OR(D1761="Fail",E1761="Fail",F1761="Fail"),"Fail",IF(AND(D1761="Pass",E1761="Pass",F1761="Pass"),"Pass","Incomplete")))</f>
        <v/>
      </c>
      <c r="H1761" s="18"/>
      <c r="I1761" s="18"/>
    </row>
    <row r="1762" customFormat="false" ht="15.75" hidden="false" customHeight="true" outlineLevel="0" collapsed="false">
      <c r="A1762" s="18"/>
      <c r="B1762" s="18"/>
      <c r="C1762" s="19"/>
      <c r="D1762" s="20"/>
      <c r="E1762" s="20"/>
      <c r="F1762" s="20"/>
      <c r="G1762" s="20" t="str">
        <f aca="false">IF(COUNTBLANK(D1762:F1762)=3,"",IF(OR(D1762="Fail",E1762="Fail",F1762="Fail"),"Fail",IF(AND(D1762="Pass",E1762="Pass",F1762="Pass"),"Pass","Incomplete")))</f>
        <v/>
      </c>
      <c r="H1762" s="18"/>
      <c r="I1762" s="18"/>
    </row>
    <row r="1763" customFormat="false" ht="15.75" hidden="false" customHeight="true" outlineLevel="0" collapsed="false">
      <c r="A1763" s="18"/>
      <c r="B1763" s="18"/>
      <c r="C1763" s="19"/>
      <c r="D1763" s="20"/>
      <c r="E1763" s="20"/>
      <c r="F1763" s="20"/>
      <c r="G1763" s="20" t="str">
        <f aca="false">IF(COUNTBLANK(D1763:F1763)=3,"",IF(OR(D1763="Fail",E1763="Fail",F1763="Fail"),"Fail",IF(AND(D1763="Pass",E1763="Pass",F1763="Pass"),"Pass","Incomplete")))</f>
        <v/>
      </c>
      <c r="H1763" s="18"/>
      <c r="I1763" s="18"/>
    </row>
    <row r="1764" customFormat="false" ht="15.75" hidden="false" customHeight="true" outlineLevel="0" collapsed="false">
      <c r="A1764" s="18"/>
      <c r="B1764" s="18"/>
      <c r="C1764" s="19"/>
      <c r="D1764" s="20"/>
      <c r="E1764" s="20"/>
      <c r="F1764" s="20"/>
      <c r="G1764" s="20" t="str">
        <f aca="false">IF(COUNTBLANK(D1764:F1764)=3,"",IF(OR(D1764="Fail",E1764="Fail",F1764="Fail"),"Fail",IF(AND(D1764="Pass",E1764="Pass",F1764="Pass"),"Pass","Incomplete")))</f>
        <v/>
      </c>
      <c r="H1764" s="18"/>
      <c r="I1764" s="18"/>
    </row>
    <row r="1765" customFormat="false" ht="15.75" hidden="false" customHeight="true" outlineLevel="0" collapsed="false">
      <c r="A1765" s="18"/>
      <c r="B1765" s="18"/>
      <c r="C1765" s="19"/>
      <c r="D1765" s="20"/>
      <c r="E1765" s="20"/>
      <c r="F1765" s="20"/>
      <c r="G1765" s="20" t="str">
        <f aca="false">IF(COUNTBLANK(D1765:F1765)=3,"",IF(OR(D1765="Fail",E1765="Fail",F1765="Fail"),"Fail",IF(AND(D1765="Pass",E1765="Pass",F1765="Pass"),"Pass","Incomplete")))</f>
        <v/>
      </c>
      <c r="H1765" s="18"/>
      <c r="I1765" s="18"/>
    </row>
    <row r="1766" customFormat="false" ht="15.75" hidden="false" customHeight="true" outlineLevel="0" collapsed="false">
      <c r="A1766" s="18"/>
      <c r="B1766" s="18"/>
      <c r="C1766" s="19"/>
      <c r="D1766" s="20"/>
      <c r="E1766" s="20"/>
      <c r="F1766" s="20"/>
      <c r="G1766" s="20" t="str">
        <f aca="false">IF(COUNTBLANK(D1766:F1766)=3,"",IF(OR(D1766="Fail",E1766="Fail",F1766="Fail"),"Fail",IF(AND(D1766="Pass",E1766="Pass",F1766="Pass"),"Pass","Incomplete")))</f>
        <v/>
      </c>
      <c r="H1766" s="18"/>
      <c r="I1766" s="18"/>
    </row>
    <row r="1767" customFormat="false" ht="15.75" hidden="false" customHeight="true" outlineLevel="0" collapsed="false">
      <c r="A1767" s="18"/>
      <c r="B1767" s="18"/>
      <c r="C1767" s="19"/>
      <c r="D1767" s="20"/>
      <c r="E1767" s="20"/>
      <c r="F1767" s="20"/>
      <c r="G1767" s="20" t="str">
        <f aca="false">IF(COUNTBLANK(D1767:F1767)=3,"",IF(OR(D1767="Fail",E1767="Fail",F1767="Fail"),"Fail",IF(AND(D1767="Pass",E1767="Pass",F1767="Pass"),"Pass","Incomplete")))</f>
        <v/>
      </c>
      <c r="H1767" s="18"/>
      <c r="I1767" s="18"/>
    </row>
    <row r="1768" customFormat="false" ht="15.75" hidden="false" customHeight="true" outlineLevel="0" collapsed="false">
      <c r="A1768" s="18"/>
      <c r="B1768" s="18"/>
      <c r="C1768" s="19"/>
      <c r="D1768" s="20"/>
      <c r="E1768" s="20"/>
      <c r="F1768" s="20"/>
      <c r="G1768" s="20" t="str">
        <f aca="false">IF(COUNTBLANK(D1768:F1768)=3,"",IF(OR(D1768="Fail",E1768="Fail",F1768="Fail"),"Fail",IF(AND(D1768="Pass",E1768="Pass",F1768="Pass"),"Pass","Incomplete")))</f>
        <v/>
      </c>
      <c r="H1768" s="18"/>
      <c r="I1768" s="18"/>
    </row>
    <row r="1769" customFormat="false" ht="15.75" hidden="false" customHeight="true" outlineLevel="0" collapsed="false">
      <c r="A1769" s="18"/>
      <c r="B1769" s="18"/>
      <c r="C1769" s="19"/>
      <c r="D1769" s="20"/>
      <c r="E1769" s="20"/>
      <c r="F1769" s="20"/>
      <c r="G1769" s="20" t="str">
        <f aca="false">IF(COUNTBLANK(D1769:F1769)=3,"",IF(OR(D1769="Fail",E1769="Fail",F1769="Fail"),"Fail",IF(AND(D1769="Pass",E1769="Pass",F1769="Pass"),"Pass","Incomplete")))</f>
        <v/>
      </c>
      <c r="H1769" s="18"/>
      <c r="I1769" s="18"/>
    </row>
    <row r="1770" customFormat="false" ht="15.75" hidden="false" customHeight="true" outlineLevel="0" collapsed="false">
      <c r="A1770" s="18"/>
      <c r="B1770" s="18"/>
      <c r="C1770" s="19"/>
      <c r="D1770" s="20"/>
      <c r="E1770" s="20"/>
      <c r="F1770" s="20"/>
      <c r="G1770" s="20" t="str">
        <f aca="false">IF(COUNTBLANK(D1770:F1770)=3,"",IF(OR(D1770="Fail",E1770="Fail",F1770="Fail"),"Fail",IF(AND(D1770="Pass",E1770="Pass",F1770="Pass"),"Pass","Incomplete")))</f>
        <v/>
      </c>
      <c r="H1770" s="18"/>
      <c r="I1770" s="18"/>
    </row>
    <row r="1771" customFormat="false" ht="15.75" hidden="false" customHeight="true" outlineLevel="0" collapsed="false">
      <c r="A1771" s="18"/>
      <c r="B1771" s="18"/>
      <c r="C1771" s="19"/>
      <c r="D1771" s="20"/>
      <c r="E1771" s="20"/>
      <c r="F1771" s="20"/>
      <c r="G1771" s="20" t="str">
        <f aca="false">IF(COUNTBLANK(D1771:F1771)=3,"",IF(OR(D1771="Fail",E1771="Fail",F1771="Fail"),"Fail",IF(AND(D1771="Pass",E1771="Pass",F1771="Pass"),"Pass","Incomplete")))</f>
        <v/>
      </c>
      <c r="H1771" s="18"/>
      <c r="I1771" s="18"/>
    </row>
    <row r="1772" customFormat="false" ht="15.75" hidden="false" customHeight="true" outlineLevel="0" collapsed="false">
      <c r="A1772" s="18"/>
      <c r="B1772" s="18"/>
      <c r="C1772" s="19"/>
      <c r="D1772" s="20"/>
      <c r="E1772" s="20"/>
      <c r="F1772" s="20"/>
      <c r="G1772" s="20" t="str">
        <f aca="false">IF(COUNTBLANK(D1772:F1772)=3,"",IF(OR(D1772="Fail",E1772="Fail",F1772="Fail"),"Fail",IF(AND(D1772="Pass",E1772="Pass",F1772="Pass"),"Pass","Incomplete")))</f>
        <v/>
      </c>
      <c r="H1772" s="18"/>
      <c r="I1772" s="18"/>
    </row>
    <row r="1773" customFormat="false" ht="15.75" hidden="false" customHeight="true" outlineLevel="0" collapsed="false">
      <c r="A1773" s="18"/>
      <c r="B1773" s="18"/>
      <c r="C1773" s="19"/>
      <c r="D1773" s="20"/>
      <c r="E1773" s="20"/>
      <c r="F1773" s="20"/>
      <c r="G1773" s="20" t="str">
        <f aca="false">IF(COUNTBLANK(D1773:F1773)=3,"",IF(OR(D1773="Fail",E1773="Fail",F1773="Fail"),"Fail",IF(AND(D1773="Pass",E1773="Pass",F1773="Pass"),"Pass","Incomplete")))</f>
        <v/>
      </c>
      <c r="H1773" s="18"/>
      <c r="I1773" s="18"/>
    </row>
    <row r="1774" customFormat="false" ht="15.75" hidden="false" customHeight="true" outlineLevel="0" collapsed="false">
      <c r="A1774" s="18"/>
      <c r="B1774" s="18"/>
      <c r="C1774" s="19"/>
      <c r="D1774" s="20"/>
      <c r="E1774" s="20"/>
      <c r="F1774" s="20"/>
      <c r="G1774" s="20" t="str">
        <f aca="false">IF(COUNTBLANK(D1774:F1774)=3,"",IF(OR(D1774="Fail",E1774="Fail",F1774="Fail"),"Fail",IF(AND(D1774="Pass",E1774="Pass",F1774="Pass"),"Pass","Incomplete")))</f>
        <v/>
      </c>
      <c r="H1774" s="18"/>
      <c r="I1774" s="18"/>
    </row>
    <row r="1775" customFormat="false" ht="15.75" hidden="false" customHeight="true" outlineLevel="0" collapsed="false">
      <c r="A1775" s="18"/>
      <c r="B1775" s="18"/>
      <c r="C1775" s="19"/>
      <c r="D1775" s="20"/>
      <c r="E1775" s="20"/>
      <c r="F1775" s="20"/>
      <c r="G1775" s="20" t="str">
        <f aca="false">IF(COUNTBLANK(D1775:F1775)=3,"",IF(OR(D1775="Fail",E1775="Fail",F1775="Fail"),"Fail",IF(AND(D1775="Pass",E1775="Pass",F1775="Pass"),"Pass","Incomplete")))</f>
        <v/>
      </c>
      <c r="H1775" s="18"/>
      <c r="I1775" s="18"/>
    </row>
    <row r="1776" customFormat="false" ht="15.75" hidden="false" customHeight="true" outlineLevel="0" collapsed="false">
      <c r="A1776" s="18"/>
      <c r="B1776" s="18"/>
      <c r="C1776" s="19"/>
      <c r="D1776" s="20"/>
      <c r="E1776" s="20"/>
      <c r="F1776" s="20"/>
      <c r="G1776" s="20" t="str">
        <f aca="false">IF(COUNTBLANK(D1776:F1776)=3,"",IF(OR(D1776="Fail",E1776="Fail",F1776="Fail"),"Fail",IF(AND(D1776="Pass",E1776="Pass",F1776="Pass"),"Pass","Incomplete")))</f>
        <v/>
      </c>
      <c r="H1776" s="18"/>
      <c r="I1776" s="18"/>
    </row>
    <row r="1777" customFormat="false" ht="15.75" hidden="false" customHeight="true" outlineLevel="0" collapsed="false">
      <c r="A1777" s="18"/>
      <c r="B1777" s="18"/>
      <c r="C1777" s="19"/>
      <c r="D1777" s="20"/>
      <c r="E1777" s="20"/>
      <c r="F1777" s="20"/>
      <c r="G1777" s="20" t="str">
        <f aca="false">IF(COUNTBLANK(D1777:F1777)=3,"",IF(OR(D1777="Fail",E1777="Fail",F1777="Fail"),"Fail",IF(AND(D1777="Pass",E1777="Pass",F1777="Pass"),"Pass","Incomplete")))</f>
        <v/>
      </c>
      <c r="H1777" s="18"/>
      <c r="I1777" s="18"/>
    </row>
    <row r="1778" customFormat="false" ht="15.75" hidden="false" customHeight="true" outlineLevel="0" collapsed="false">
      <c r="A1778" s="18"/>
      <c r="B1778" s="18"/>
      <c r="C1778" s="19"/>
      <c r="D1778" s="20"/>
      <c r="E1778" s="20"/>
      <c r="F1778" s="20"/>
      <c r="G1778" s="20" t="str">
        <f aca="false">IF(COUNTBLANK(D1778:F1778)=3,"",IF(OR(D1778="Fail",E1778="Fail",F1778="Fail"),"Fail",IF(AND(D1778="Pass",E1778="Pass",F1778="Pass"),"Pass","Incomplete")))</f>
        <v/>
      </c>
      <c r="H1778" s="18"/>
      <c r="I1778" s="18"/>
    </row>
    <row r="1779" customFormat="false" ht="15.75" hidden="false" customHeight="true" outlineLevel="0" collapsed="false">
      <c r="A1779" s="18"/>
      <c r="B1779" s="18"/>
      <c r="C1779" s="19"/>
      <c r="D1779" s="20"/>
      <c r="E1779" s="20"/>
      <c r="F1779" s="20"/>
      <c r="G1779" s="20" t="str">
        <f aca="false">IF(COUNTBLANK(D1779:F1779)=3,"",IF(OR(D1779="Fail",E1779="Fail",F1779="Fail"),"Fail",IF(AND(D1779="Pass",E1779="Pass",F1779="Pass"),"Pass","Incomplete")))</f>
        <v/>
      </c>
      <c r="H1779" s="18"/>
      <c r="I1779" s="18"/>
    </row>
    <row r="1780" customFormat="false" ht="15.75" hidden="false" customHeight="true" outlineLevel="0" collapsed="false">
      <c r="A1780" s="18"/>
      <c r="B1780" s="18"/>
      <c r="C1780" s="19"/>
      <c r="D1780" s="20"/>
      <c r="E1780" s="20"/>
      <c r="F1780" s="20"/>
      <c r="G1780" s="20" t="str">
        <f aca="false">IF(COUNTBLANK(D1780:F1780)=3,"",IF(OR(D1780="Fail",E1780="Fail",F1780="Fail"),"Fail",IF(AND(D1780="Pass",E1780="Pass",F1780="Pass"),"Pass","Incomplete")))</f>
        <v/>
      </c>
      <c r="H1780" s="18"/>
      <c r="I1780" s="18"/>
    </row>
    <row r="1781" customFormat="false" ht="15.75" hidden="false" customHeight="true" outlineLevel="0" collapsed="false">
      <c r="A1781" s="18"/>
      <c r="B1781" s="18"/>
      <c r="C1781" s="19"/>
      <c r="D1781" s="20"/>
      <c r="E1781" s="20"/>
      <c r="F1781" s="20"/>
      <c r="G1781" s="20" t="str">
        <f aca="false">IF(COUNTBLANK(D1781:F1781)=3,"",IF(OR(D1781="Fail",E1781="Fail",F1781="Fail"),"Fail",IF(AND(D1781="Pass",E1781="Pass",F1781="Pass"),"Pass","Incomplete")))</f>
        <v/>
      </c>
      <c r="H1781" s="18"/>
      <c r="I1781" s="18"/>
    </row>
    <row r="1782" customFormat="false" ht="15.75" hidden="false" customHeight="true" outlineLevel="0" collapsed="false">
      <c r="A1782" s="18"/>
      <c r="B1782" s="18"/>
      <c r="C1782" s="19"/>
      <c r="D1782" s="20"/>
      <c r="E1782" s="20"/>
      <c r="F1782" s="20"/>
      <c r="G1782" s="20" t="str">
        <f aca="false">IF(COUNTBLANK(D1782:F1782)=3,"",IF(OR(D1782="Fail",E1782="Fail",F1782="Fail"),"Fail",IF(AND(D1782="Pass",E1782="Pass",F1782="Pass"),"Pass","Incomplete")))</f>
        <v/>
      </c>
      <c r="H1782" s="18"/>
      <c r="I1782" s="18"/>
    </row>
    <row r="1783" customFormat="false" ht="15.75" hidden="false" customHeight="true" outlineLevel="0" collapsed="false">
      <c r="A1783" s="18"/>
      <c r="B1783" s="18"/>
      <c r="C1783" s="19"/>
      <c r="D1783" s="20"/>
      <c r="E1783" s="20"/>
      <c r="F1783" s="20"/>
      <c r="G1783" s="20" t="str">
        <f aca="false">IF(COUNTBLANK(D1783:F1783)=3,"",IF(OR(D1783="Fail",E1783="Fail",F1783="Fail"),"Fail",IF(AND(D1783="Pass",E1783="Pass",F1783="Pass"),"Pass","Incomplete")))</f>
        <v/>
      </c>
      <c r="H1783" s="18"/>
      <c r="I1783" s="18"/>
    </row>
    <row r="1784" customFormat="false" ht="15.75" hidden="false" customHeight="true" outlineLevel="0" collapsed="false">
      <c r="A1784" s="18"/>
      <c r="B1784" s="18"/>
      <c r="C1784" s="19"/>
      <c r="D1784" s="20"/>
      <c r="E1784" s="20"/>
      <c r="F1784" s="20"/>
      <c r="G1784" s="20" t="str">
        <f aca="false">IF(COUNTBLANK(D1784:F1784)=3,"",IF(OR(D1784="Fail",E1784="Fail",F1784="Fail"),"Fail",IF(AND(D1784="Pass",E1784="Pass",F1784="Pass"),"Pass","Incomplete")))</f>
        <v/>
      </c>
      <c r="H1784" s="18"/>
      <c r="I1784" s="18"/>
    </row>
    <row r="1785" customFormat="false" ht="15.75" hidden="false" customHeight="true" outlineLevel="0" collapsed="false">
      <c r="A1785" s="18"/>
      <c r="B1785" s="18"/>
      <c r="C1785" s="19"/>
      <c r="D1785" s="20"/>
      <c r="E1785" s="20"/>
      <c r="F1785" s="20"/>
      <c r="G1785" s="20" t="str">
        <f aca="false">IF(COUNTBLANK(D1785:F1785)=3,"",IF(OR(D1785="Fail",E1785="Fail",F1785="Fail"),"Fail",IF(AND(D1785="Pass",E1785="Pass",F1785="Pass"),"Pass","Incomplete")))</f>
        <v/>
      </c>
      <c r="H1785" s="18"/>
      <c r="I1785" s="18"/>
    </row>
    <row r="1786" customFormat="false" ht="15.75" hidden="false" customHeight="true" outlineLevel="0" collapsed="false">
      <c r="A1786" s="18"/>
      <c r="B1786" s="18"/>
      <c r="C1786" s="19"/>
      <c r="D1786" s="20"/>
      <c r="E1786" s="20"/>
      <c r="F1786" s="20"/>
      <c r="G1786" s="20" t="str">
        <f aca="false">IF(COUNTBLANK(D1786:F1786)=3,"",IF(OR(D1786="Fail",E1786="Fail",F1786="Fail"),"Fail",IF(AND(D1786="Pass",E1786="Pass",F1786="Pass"),"Pass","Incomplete")))</f>
        <v/>
      </c>
      <c r="H1786" s="18"/>
      <c r="I1786" s="18"/>
    </row>
    <row r="1787" customFormat="false" ht="15.75" hidden="false" customHeight="true" outlineLevel="0" collapsed="false">
      <c r="A1787" s="18"/>
      <c r="B1787" s="18"/>
      <c r="C1787" s="19"/>
      <c r="D1787" s="20"/>
      <c r="E1787" s="20"/>
      <c r="F1787" s="20"/>
      <c r="G1787" s="20" t="str">
        <f aca="false">IF(COUNTBLANK(D1787:F1787)=3,"",IF(OR(D1787="Fail",E1787="Fail",F1787="Fail"),"Fail",IF(AND(D1787="Pass",E1787="Pass",F1787="Pass"),"Pass","Incomplete")))</f>
        <v/>
      </c>
      <c r="H1787" s="18"/>
      <c r="I1787" s="18"/>
    </row>
    <row r="1788" customFormat="false" ht="15.75" hidden="false" customHeight="true" outlineLevel="0" collapsed="false">
      <c r="A1788" s="18"/>
      <c r="B1788" s="18"/>
      <c r="C1788" s="19"/>
      <c r="D1788" s="20"/>
      <c r="E1788" s="20"/>
      <c r="F1788" s="20"/>
      <c r="G1788" s="20" t="str">
        <f aca="false">IF(COUNTBLANK(D1788:F1788)=3,"",IF(OR(D1788="Fail",E1788="Fail",F1788="Fail"),"Fail",IF(AND(D1788="Pass",E1788="Pass",F1788="Pass"),"Pass","Incomplete")))</f>
        <v/>
      </c>
      <c r="H1788" s="18"/>
      <c r="I1788" s="18"/>
    </row>
    <row r="1789" customFormat="false" ht="15.75" hidden="false" customHeight="true" outlineLevel="0" collapsed="false">
      <c r="A1789" s="18"/>
      <c r="B1789" s="18"/>
      <c r="C1789" s="19"/>
      <c r="D1789" s="20"/>
      <c r="E1789" s="20"/>
      <c r="F1789" s="20"/>
      <c r="G1789" s="20" t="str">
        <f aca="false">IF(COUNTBLANK(D1789:F1789)=3,"",IF(OR(D1789="Fail",E1789="Fail",F1789="Fail"),"Fail",IF(AND(D1789="Pass",E1789="Pass",F1789="Pass"),"Pass","Incomplete")))</f>
        <v/>
      </c>
      <c r="H1789" s="18"/>
      <c r="I1789" s="18"/>
    </row>
    <row r="1790" customFormat="false" ht="15.75" hidden="false" customHeight="true" outlineLevel="0" collapsed="false">
      <c r="A1790" s="18"/>
      <c r="B1790" s="18"/>
      <c r="C1790" s="19"/>
      <c r="D1790" s="20"/>
      <c r="E1790" s="20"/>
      <c r="F1790" s="20"/>
      <c r="G1790" s="20" t="str">
        <f aca="false">IF(COUNTBLANK(D1790:F1790)=3,"",IF(OR(D1790="Fail",E1790="Fail",F1790="Fail"),"Fail",IF(AND(D1790="Pass",E1790="Pass",F1790="Pass"),"Pass","Incomplete")))</f>
        <v/>
      </c>
      <c r="H1790" s="18"/>
      <c r="I1790" s="18"/>
    </row>
    <row r="1791" customFormat="false" ht="15.75" hidden="false" customHeight="true" outlineLevel="0" collapsed="false">
      <c r="A1791" s="18"/>
      <c r="B1791" s="18"/>
      <c r="C1791" s="19"/>
      <c r="D1791" s="20"/>
      <c r="E1791" s="20"/>
      <c r="F1791" s="20"/>
      <c r="G1791" s="20" t="str">
        <f aca="false">IF(COUNTBLANK(D1791:F1791)=3,"",IF(OR(D1791="Fail",E1791="Fail",F1791="Fail"),"Fail",IF(AND(D1791="Pass",E1791="Pass",F1791="Pass"),"Pass","Incomplete")))</f>
        <v/>
      </c>
      <c r="H1791" s="18"/>
      <c r="I1791" s="18"/>
    </row>
    <row r="1792" customFormat="false" ht="15.75" hidden="false" customHeight="true" outlineLevel="0" collapsed="false">
      <c r="A1792" s="18"/>
      <c r="B1792" s="18"/>
      <c r="C1792" s="19"/>
      <c r="D1792" s="20"/>
      <c r="E1792" s="20"/>
      <c r="F1792" s="20"/>
      <c r="G1792" s="20" t="str">
        <f aca="false">IF(COUNTBLANK(D1792:F1792)=3,"",IF(OR(D1792="Fail",E1792="Fail",F1792="Fail"),"Fail",IF(AND(D1792="Pass",E1792="Pass",F1792="Pass"),"Pass","Incomplete")))</f>
        <v/>
      </c>
      <c r="H1792" s="18"/>
      <c r="I1792" s="18"/>
    </row>
    <row r="1793" customFormat="false" ht="15.75" hidden="false" customHeight="true" outlineLevel="0" collapsed="false">
      <c r="A1793" s="18"/>
      <c r="B1793" s="18"/>
      <c r="C1793" s="19"/>
      <c r="D1793" s="20"/>
      <c r="E1793" s="20"/>
      <c r="F1793" s="20"/>
      <c r="G1793" s="20" t="str">
        <f aca="false">IF(COUNTBLANK(D1793:F1793)=3,"",IF(OR(D1793="Fail",E1793="Fail",F1793="Fail"),"Fail",IF(AND(D1793="Pass",E1793="Pass",F1793="Pass"),"Pass","Incomplete")))</f>
        <v/>
      </c>
      <c r="H1793" s="18"/>
      <c r="I1793" s="18"/>
    </row>
    <row r="1794" customFormat="false" ht="15.75" hidden="false" customHeight="true" outlineLevel="0" collapsed="false">
      <c r="A1794" s="18"/>
      <c r="B1794" s="18"/>
      <c r="C1794" s="19"/>
      <c r="D1794" s="20"/>
      <c r="E1794" s="20"/>
      <c r="F1794" s="20"/>
      <c r="G1794" s="20" t="str">
        <f aca="false">IF(COUNTBLANK(D1794:F1794)=3,"",IF(OR(D1794="Fail",E1794="Fail",F1794="Fail"),"Fail",IF(AND(D1794="Pass",E1794="Pass",F1794="Pass"),"Pass","Incomplete")))</f>
        <v/>
      </c>
      <c r="H1794" s="18"/>
      <c r="I1794" s="18"/>
    </row>
    <row r="1795" customFormat="false" ht="15.75" hidden="false" customHeight="true" outlineLevel="0" collapsed="false">
      <c r="A1795" s="18"/>
      <c r="B1795" s="18"/>
      <c r="C1795" s="19"/>
      <c r="D1795" s="20"/>
      <c r="E1795" s="20"/>
      <c r="F1795" s="20"/>
      <c r="G1795" s="20" t="str">
        <f aca="false">IF(COUNTBLANK(D1795:F1795)=3,"",IF(OR(D1795="Fail",E1795="Fail",F1795="Fail"),"Fail",IF(AND(D1795="Pass",E1795="Pass",F1795="Pass"),"Pass","Incomplete")))</f>
        <v/>
      </c>
      <c r="H1795" s="18"/>
      <c r="I1795" s="18"/>
    </row>
    <row r="1796" customFormat="false" ht="15.75" hidden="false" customHeight="true" outlineLevel="0" collapsed="false">
      <c r="A1796" s="18"/>
      <c r="B1796" s="18"/>
      <c r="C1796" s="19"/>
      <c r="D1796" s="20"/>
      <c r="E1796" s="20"/>
      <c r="F1796" s="20"/>
      <c r="G1796" s="20" t="str">
        <f aca="false">IF(COUNTBLANK(D1796:F1796)=3,"",IF(OR(D1796="Fail",E1796="Fail",F1796="Fail"),"Fail",IF(AND(D1796="Pass",E1796="Pass",F1796="Pass"),"Pass","Incomplete")))</f>
        <v/>
      </c>
      <c r="H1796" s="18"/>
      <c r="I1796" s="18"/>
    </row>
    <row r="1797" customFormat="false" ht="15.75" hidden="false" customHeight="true" outlineLevel="0" collapsed="false">
      <c r="A1797" s="18"/>
      <c r="B1797" s="18"/>
      <c r="C1797" s="19"/>
      <c r="D1797" s="20"/>
      <c r="E1797" s="20"/>
      <c r="F1797" s="20"/>
      <c r="G1797" s="20" t="str">
        <f aca="false">IF(COUNTBLANK(D1797:F1797)=3,"",IF(OR(D1797="Fail",E1797="Fail",F1797="Fail"),"Fail",IF(AND(D1797="Pass",E1797="Pass",F1797="Pass"),"Pass","Incomplete")))</f>
        <v/>
      </c>
      <c r="H1797" s="18"/>
      <c r="I1797" s="18"/>
    </row>
    <row r="1798" customFormat="false" ht="15.75" hidden="false" customHeight="true" outlineLevel="0" collapsed="false">
      <c r="A1798" s="18"/>
      <c r="B1798" s="18"/>
      <c r="C1798" s="19"/>
      <c r="D1798" s="20"/>
      <c r="E1798" s="20"/>
      <c r="F1798" s="20"/>
      <c r="G1798" s="20" t="str">
        <f aca="false">IF(COUNTBLANK(D1798:F1798)=3,"",IF(OR(D1798="Fail",E1798="Fail",F1798="Fail"),"Fail",IF(AND(D1798="Pass",E1798="Pass",F1798="Pass"),"Pass","Incomplete")))</f>
        <v/>
      </c>
      <c r="H1798" s="18"/>
      <c r="I1798" s="18"/>
    </row>
    <row r="1799" customFormat="false" ht="15.75" hidden="false" customHeight="true" outlineLevel="0" collapsed="false">
      <c r="A1799" s="18"/>
      <c r="B1799" s="18"/>
      <c r="C1799" s="19"/>
      <c r="D1799" s="20"/>
      <c r="E1799" s="20"/>
      <c r="F1799" s="20"/>
      <c r="G1799" s="20" t="str">
        <f aca="false">IF(COUNTBLANK(D1799:F1799)=3,"",IF(OR(D1799="Fail",E1799="Fail",F1799="Fail"),"Fail",IF(AND(D1799="Pass",E1799="Pass",F1799="Pass"),"Pass","Incomplete")))</f>
        <v/>
      </c>
      <c r="H1799" s="18"/>
      <c r="I1799" s="18"/>
    </row>
    <row r="1800" customFormat="false" ht="15.75" hidden="false" customHeight="true" outlineLevel="0" collapsed="false">
      <c r="A1800" s="18"/>
      <c r="B1800" s="18"/>
      <c r="C1800" s="19"/>
      <c r="D1800" s="20"/>
      <c r="E1800" s="20"/>
      <c r="F1800" s="20"/>
      <c r="G1800" s="20" t="str">
        <f aca="false">IF(COUNTBLANK(D1800:F1800)=3,"",IF(OR(D1800="Fail",E1800="Fail",F1800="Fail"),"Fail",IF(AND(D1800="Pass",E1800="Pass",F1800="Pass"),"Pass","Incomplete")))</f>
        <v/>
      </c>
      <c r="H1800" s="18"/>
      <c r="I1800" s="18"/>
    </row>
    <row r="1801" customFormat="false" ht="15.75" hidden="false" customHeight="true" outlineLevel="0" collapsed="false">
      <c r="A1801" s="18"/>
      <c r="B1801" s="18"/>
      <c r="C1801" s="19"/>
      <c r="D1801" s="20"/>
      <c r="E1801" s="20"/>
      <c r="F1801" s="20"/>
      <c r="G1801" s="20" t="str">
        <f aca="false">IF(COUNTBLANK(D1801:F1801)=3,"",IF(OR(D1801="Fail",E1801="Fail",F1801="Fail"),"Fail",IF(AND(D1801="Pass",E1801="Pass",F1801="Pass"),"Pass","Incomplete")))</f>
        <v/>
      </c>
      <c r="H1801" s="18"/>
      <c r="I1801" s="18"/>
    </row>
    <row r="1802" customFormat="false" ht="15.75" hidden="false" customHeight="true" outlineLevel="0" collapsed="false">
      <c r="A1802" s="18"/>
      <c r="B1802" s="18"/>
      <c r="C1802" s="19"/>
      <c r="D1802" s="20"/>
      <c r="E1802" s="20"/>
      <c r="F1802" s="20"/>
      <c r="G1802" s="20" t="str">
        <f aca="false">IF(COUNTBLANK(D1802:F1802)=3,"",IF(OR(D1802="Fail",E1802="Fail",F1802="Fail"),"Fail",IF(AND(D1802="Pass",E1802="Pass",F1802="Pass"),"Pass","Incomplete")))</f>
        <v/>
      </c>
      <c r="H1802" s="18"/>
      <c r="I1802" s="18"/>
    </row>
    <row r="1803" customFormat="false" ht="15.75" hidden="false" customHeight="true" outlineLevel="0" collapsed="false">
      <c r="A1803" s="18"/>
      <c r="B1803" s="18"/>
      <c r="C1803" s="19"/>
      <c r="D1803" s="20"/>
      <c r="E1803" s="20"/>
      <c r="F1803" s="20"/>
      <c r="G1803" s="20" t="str">
        <f aca="false">IF(COUNTBLANK(D1803:F1803)=3,"",IF(OR(D1803="Fail",E1803="Fail",F1803="Fail"),"Fail",IF(AND(D1803="Pass",E1803="Pass",F1803="Pass"),"Pass","Incomplete")))</f>
        <v/>
      </c>
      <c r="H1803" s="18"/>
      <c r="I1803" s="18"/>
    </row>
    <row r="1804" customFormat="false" ht="15.75" hidden="false" customHeight="true" outlineLevel="0" collapsed="false">
      <c r="A1804" s="18"/>
      <c r="B1804" s="18"/>
      <c r="C1804" s="19"/>
      <c r="D1804" s="20"/>
      <c r="E1804" s="20"/>
      <c r="F1804" s="20"/>
      <c r="G1804" s="20" t="str">
        <f aca="false">IF(COUNTBLANK(D1804:F1804)=3,"",IF(OR(D1804="Fail",E1804="Fail",F1804="Fail"),"Fail",IF(AND(D1804="Pass",E1804="Pass",F1804="Pass"),"Pass","Incomplete")))</f>
        <v/>
      </c>
      <c r="H1804" s="18"/>
      <c r="I1804" s="18"/>
    </row>
    <row r="1805" customFormat="false" ht="15.75" hidden="false" customHeight="true" outlineLevel="0" collapsed="false">
      <c r="A1805" s="18"/>
      <c r="B1805" s="18"/>
      <c r="C1805" s="19"/>
      <c r="D1805" s="20"/>
      <c r="E1805" s="20"/>
      <c r="F1805" s="20"/>
      <c r="G1805" s="20" t="str">
        <f aca="false">IF(COUNTBLANK(D1805:F1805)=3,"",IF(OR(D1805="Fail",E1805="Fail",F1805="Fail"),"Fail",IF(AND(D1805="Pass",E1805="Pass",F1805="Pass"),"Pass","Incomplete")))</f>
        <v/>
      </c>
      <c r="H1805" s="18"/>
      <c r="I1805" s="18"/>
    </row>
    <row r="1806" customFormat="false" ht="15.75" hidden="false" customHeight="true" outlineLevel="0" collapsed="false">
      <c r="A1806" s="18"/>
      <c r="B1806" s="18"/>
      <c r="C1806" s="19"/>
      <c r="D1806" s="20"/>
      <c r="E1806" s="20"/>
      <c r="F1806" s="20"/>
      <c r="G1806" s="20" t="str">
        <f aca="false">IF(COUNTBLANK(D1806:F1806)=3,"",IF(OR(D1806="Fail",E1806="Fail",F1806="Fail"),"Fail",IF(AND(D1806="Pass",E1806="Pass",F1806="Pass"),"Pass","Incomplete")))</f>
        <v/>
      </c>
      <c r="H1806" s="18"/>
      <c r="I1806" s="18"/>
    </row>
    <row r="1807" customFormat="false" ht="15.75" hidden="false" customHeight="true" outlineLevel="0" collapsed="false">
      <c r="A1807" s="18"/>
      <c r="B1807" s="18"/>
      <c r="C1807" s="19"/>
      <c r="D1807" s="20"/>
      <c r="E1807" s="20"/>
      <c r="F1807" s="20"/>
      <c r="G1807" s="20" t="str">
        <f aca="false">IF(COUNTBLANK(D1807:F1807)=3,"",IF(OR(D1807="Fail",E1807="Fail",F1807="Fail"),"Fail",IF(AND(D1807="Pass",E1807="Pass",F1807="Pass"),"Pass","Incomplete")))</f>
        <v/>
      </c>
      <c r="H1807" s="18"/>
      <c r="I1807" s="18"/>
    </row>
    <row r="1808" customFormat="false" ht="15.75" hidden="false" customHeight="true" outlineLevel="0" collapsed="false">
      <c r="A1808" s="18"/>
      <c r="B1808" s="18"/>
      <c r="C1808" s="19"/>
      <c r="D1808" s="20"/>
      <c r="E1808" s="20"/>
      <c r="F1808" s="20"/>
      <c r="G1808" s="20" t="str">
        <f aca="false">IF(COUNTBLANK(D1808:F1808)=3,"",IF(OR(D1808="Fail",E1808="Fail",F1808="Fail"),"Fail",IF(AND(D1808="Pass",E1808="Pass",F1808="Pass"),"Pass","Incomplete")))</f>
        <v/>
      </c>
      <c r="H1808" s="18"/>
      <c r="I1808" s="18"/>
    </row>
    <row r="1809" customFormat="false" ht="15.75" hidden="false" customHeight="true" outlineLevel="0" collapsed="false">
      <c r="A1809" s="18"/>
      <c r="B1809" s="18"/>
      <c r="C1809" s="19"/>
      <c r="D1809" s="20"/>
      <c r="E1809" s="20"/>
      <c r="F1809" s="20"/>
      <c r="G1809" s="20" t="str">
        <f aca="false">IF(COUNTBLANK(D1809:F1809)=3,"",IF(OR(D1809="Fail",E1809="Fail",F1809="Fail"),"Fail",IF(AND(D1809="Pass",E1809="Pass",F1809="Pass"),"Pass","Incomplete")))</f>
        <v/>
      </c>
      <c r="H1809" s="18"/>
      <c r="I1809" s="18"/>
    </row>
    <row r="1810" customFormat="false" ht="15.75" hidden="false" customHeight="true" outlineLevel="0" collapsed="false">
      <c r="A1810" s="18"/>
      <c r="B1810" s="18"/>
      <c r="C1810" s="19"/>
      <c r="D1810" s="20"/>
      <c r="E1810" s="20"/>
      <c r="F1810" s="20"/>
      <c r="G1810" s="20" t="str">
        <f aca="false">IF(COUNTBLANK(D1810:F1810)=3,"",IF(OR(D1810="Fail",E1810="Fail",F1810="Fail"),"Fail",IF(AND(D1810="Pass",E1810="Pass",F1810="Pass"),"Pass","Incomplete")))</f>
        <v/>
      </c>
      <c r="H1810" s="18"/>
      <c r="I1810" s="18"/>
    </row>
    <row r="1811" customFormat="false" ht="15.75" hidden="false" customHeight="true" outlineLevel="0" collapsed="false">
      <c r="A1811" s="18"/>
      <c r="B1811" s="18"/>
      <c r="C1811" s="19"/>
      <c r="D1811" s="20"/>
      <c r="E1811" s="20"/>
      <c r="F1811" s="20"/>
      <c r="G1811" s="20" t="str">
        <f aca="false">IF(COUNTBLANK(D1811:F1811)=3,"",IF(OR(D1811="Fail",E1811="Fail",F1811="Fail"),"Fail",IF(AND(D1811="Pass",E1811="Pass",F1811="Pass"),"Pass","Incomplete")))</f>
        <v/>
      </c>
      <c r="H1811" s="18"/>
      <c r="I1811" s="18"/>
    </row>
    <row r="1812" customFormat="false" ht="15.75" hidden="false" customHeight="true" outlineLevel="0" collapsed="false">
      <c r="A1812" s="18"/>
      <c r="B1812" s="18"/>
      <c r="C1812" s="19"/>
      <c r="D1812" s="20"/>
      <c r="E1812" s="20"/>
      <c r="F1812" s="20"/>
      <c r="G1812" s="20" t="str">
        <f aca="false">IF(COUNTBLANK(D1812:F1812)=3,"",IF(OR(D1812="Fail",E1812="Fail",F1812="Fail"),"Fail",IF(AND(D1812="Pass",E1812="Pass",F1812="Pass"),"Pass","Incomplete")))</f>
        <v/>
      </c>
      <c r="H1812" s="18"/>
      <c r="I1812" s="18"/>
    </row>
    <row r="1813" customFormat="false" ht="15.75" hidden="false" customHeight="true" outlineLevel="0" collapsed="false">
      <c r="A1813" s="18"/>
      <c r="B1813" s="18"/>
      <c r="C1813" s="19"/>
      <c r="D1813" s="20"/>
      <c r="E1813" s="20"/>
      <c r="F1813" s="20"/>
      <c r="G1813" s="20" t="str">
        <f aca="false">IF(COUNTBLANK(D1813:F1813)=3,"",IF(OR(D1813="Fail",E1813="Fail",F1813="Fail"),"Fail",IF(AND(D1813="Pass",E1813="Pass",F1813="Pass"),"Pass","Incomplete")))</f>
        <v/>
      </c>
      <c r="H1813" s="18"/>
      <c r="I1813" s="18"/>
    </row>
    <row r="1814" customFormat="false" ht="15.75" hidden="false" customHeight="true" outlineLevel="0" collapsed="false">
      <c r="A1814" s="18"/>
      <c r="B1814" s="18"/>
      <c r="C1814" s="19"/>
      <c r="D1814" s="20"/>
      <c r="E1814" s="20"/>
      <c r="F1814" s="20"/>
      <c r="G1814" s="20" t="str">
        <f aca="false">IF(COUNTBLANK(D1814:F1814)=3,"",IF(OR(D1814="Fail",E1814="Fail",F1814="Fail"),"Fail",IF(AND(D1814="Pass",E1814="Pass",F1814="Pass"),"Pass","Incomplete")))</f>
        <v/>
      </c>
      <c r="H1814" s="18"/>
      <c r="I1814" s="18"/>
    </row>
    <row r="1815" customFormat="false" ht="15.75" hidden="false" customHeight="true" outlineLevel="0" collapsed="false">
      <c r="A1815" s="18"/>
      <c r="B1815" s="18"/>
      <c r="C1815" s="19"/>
      <c r="D1815" s="20"/>
      <c r="E1815" s="20"/>
      <c r="F1815" s="20"/>
      <c r="G1815" s="20" t="str">
        <f aca="false">IF(COUNTBLANK(D1815:F1815)=3,"",IF(OR(D1815="Fail",E1815="Fail",F1815="Fail"),"Fail",IF(AND(D1815="Pass",E1815="Pass",F1815="Pass"),"Pass","Incomplete")))</f>
        <v/>
      </c>
      <c r="H1815" s="18"/>
      <c r="I1815" s="18"/>
    </row>
    <row r="1816" customFormat="false" ht="15.75" hidden="false" customHeight="true" outlineLevel="0" collapsed="false">
      <c r="A1816" s="18"/>
      <c r="B1816" s="18"/>
      <c r="C1816" s="19"/>
      <c r="D1816" s="20"/>
      <c r="E1816" s="20"/>
      <c r="F1816" s="20"/>
      <c r="G1816" s="20" t="str">
        <f aca="false">IF(COUNTBLANK(D1816:F1816)=3,"",IF(OR(D1816="Fail",E1816="Fail",F1816="Fail"),"Fail",IF(AND(D1816="Pass",E1816="Pass",F1816="Pass"),"Pass","Incomplete")))</f>
        <v/>
      </c>
      <c r="H1816" s="18"/>
      <c r="I1816" s="18"/>
    </row>
    <row r="1817" customFormat="false" ht="15.75" hidden="false" customHeight="true" outlineLevel="0" collapsed="false">
      <c r="A1817" s="18"/>
      <c r="B1817" s="18"/>
      <c r="C1817" s="19"/>
      <c r="D1817" s="20"/>
      <c r="E1817" s="20"/>
      <c r="F1817" s="20"/>
      <c r="G1817" s="20" t="str">
        <f aca="false">IF(COUNTBLANK(D1817:F1817)=3,"",IF(OR(D1817="Fail",E1817="Fail",F1817="Fail"),"Fail",IF(AND(D1817="Pass",E1817="Pass",F1817="Pass"),"Pass","Incomplete")))</f>
        <v/>
      </c>
      <c r="H1817" s="18"/>
      <c r="I1817" s="18"/>
    </row>
    <row r="1818" customFormat="false" ht="15.75" hidden="false" customHeight="true" outlineLevel="0" collapsed="false">
      <c r="A1818" s="18"/>
      <c r="B1818" s="18"/>
      <c r="C1818" s="19"/>
      <c r="D1818" s="20"/>
      <c r="E1818" s="20"/>
      <c r="F1818" s="20"/>
      <c r="G1818" s="20" t="str">
        <f aca="false">IF(COUNTBLANK(D1818:F1818)=3,"",IF(OR(D1818="Fail",E1818="Fail",F1818="Fail"),"Fail",IF(AND(D1818="Pass",E1818="Pass",F1818="Pass"),"Pass","Incomplete")))</f>
        <v/>
      </c>
      <c r="H1818" s="18"/>
      <c r="I1818" s="18"/>
    </row>
    <row r="1819" customFormat="false" ht="15.75" hidden="false" customHeight="true" outlineLevel="0" collapsed="false">
      <c r="A1819" s="18"/>
      <c r="B1819" s="18"/>
      <c r="C1819" s="19"/>
      <c r="D1819" s="20"/>
      <c r="E1819" s="20"/>
      <c r="F1819" s="20"/>
      <c r="G1819" s="20" t="str">
        <f aca="false">IF(COUNTBLANK(D1819:F1819)=3,"",IF(OR(D1819="Fail",E1819="Fail",F1819="Fail"),"Fail",IF(AND(D1819="Pass",E1819="Pass",F1819="Pass"),"Pass","Incomplete")))</f>
        <v/>
      </c>
      <c r="H1819" s="18"/>
      <c r="I1819" s="18"/>
    </row>
    <row r="1820" customFormat="false" ht="15.75" hidden="false" customHeight="true" outlineLevel="0" collapsed="false">
      <c r="A1820" s="18"/>
      <c r="B1820" s="18"/>
      <c r="C1820" s="19"/>
      <c r="D1820" s="20"/>
      <c r="E1820" s="20"/>
      <c r="F1820" s="20"/>
      <c r="G1820" s="20" t="str">
        <f aca="false">IF(COUNTBLANK(D1820:F1820)=3,"",IF(OR(D1820="Fail",E1820="Fail",F1820="Fail"),"Fail",IF(AND(D1820="Pass",E1820="Pass",F1820="Pass"),"Pass","Incomplete")))</f>
        <v/>
      </c>
      <c r="H1820" s="18"/>
      <c r="I1820" s="18"/>
    </row>
    <row r="1821" customFormat="false" ht="15.75" hidden="false" customHeight="true" outlineLevel="0" collapsed="false">
      <c r="A1821" s="18"/>
      <c r="B1821" s="18"/>
      <c r="C1821" s="19"/>
      <c r="D1821" s="20"/>
      <c r="E1821" s="20"/>
      <c r="F1821" s="20"/>
      <c r="G1821" s="20" t="str">
        <f aca="false">IF(COUNTBLANK(D1821:F1821)=3,"",IF(OR(D1821="Fail",E1821="Fail",F1821="Fail"),"Fail",IF(AND(D1821="Pass",E1821="Pass",F1821="Pass"),"Pass","Incomplete")))</f>
        <v/>
      </c>
      <c r="H1821" s="18"/>
      <c r="I1821" s="18"/>
    </row>
    <row r="1822" customFormat="false" ht="15.75" hidden="false" customHeight="true" outlineLevel="0" collapsed="false">
      <c r="A1822" s="18"/>
      <c r="B1822" s="18"/>
      <c r="C1822" s="19"/>
      <c r="D1822" s="20"/>
      <c r="E1822" s="20"/>
      <c r="F1822" s="20"/>
      <c r="G1822" s="20" t="str">
        <f aca="false">IF(COUNTBLANK(D1822:F1822)=3,"",IF(OR(D1822="Fail",E1822="Fail",F1822="Fail"),"Fail",IF(AND(D1822="Pass",E1822="Pass",F1822="Pass"),"Pass","Incomplete")))</f>
        <v/>
      </c>
      <c r="H1822" s="18"/>
      <c r="I1822" s="18"/>
    </row>
    <row r="1823" customFormat="false" ht="15.75" hidden="false" customHeight="true" outlineLevel="0" collapsed="false">
      <c r="A1823" s="18"/>
      <c r="B1823" s="18"/>
      <c r="C1823" s="19"/>
      <c r="D1823" s="20"/>
      <c r="E1823" s="20"/>
      <c r="F1823" s="20"/>
      <c r="G1823" s="20" t="str">
        <f aca="false">IF(COUNTBLANK(D1823:F1823)=3,"",IF(OR(D1823="Fail",E1823="Fail",F1823="Fail"),"Fail",IF(AND(D1823="Pass",E1823="Pass",F1823="Pass"),"Pass","Incomplete")))</f>
        <v/>
      </c>
      <c r="H1823" s="18"/>
      <c r="I1823" s="18"/>
    </row>
    <row r="1824" customFormat="false" ht="15.75" hidden="false" customHeight="true" outlineLevel="0" collapsed="false">
      <c r="A1824" s="18"/>
      <c r="B1824" s="18"/>
      <c r="C1824" s="19"/>
      <c r="D1824" s="20"/>
      <c r="E1824" s="20"/>
      <c r="F1824" s="20"/>
      <c r="G1824" s="20" t="str">
        <f aca="false">IF(COUNTBLANK(D1824:F1824)=3,"",IF(OR(D1824="Fail",E1824="Fail",F1824="Fail"),"Fail",IF(AND(D1824="Pass",E1824="Pass",F1824="Pass"),"Pass","Incomplete")))</f>
        <v/>
      </c>
      <c r="H1824" s="18"/>
      <c r="I1824" s="18"/>
    </row>
    <row r="1825" customFormat="false" ht="15.75" hidden="false" customHeight="true" outlineLevel="0" collapsed="false">
      <c r="A1825" s="18"/>
      <c r="B1825" s="18"/>
      <c r="C1825" s="19"/>
      <c r="D1825" s="20"/>
      <c r="E1825" s="20"/>
      <c r="F1825" s="20"/>
      <c r="G1825" s="20" t="str">
        <f aca="false">IF(COUNTBLANK(D1825:F1825)=3,"",IF(OR(D1825="Fail",E1825="Fail",F1825="Fail"),"Fail",IF(AND(D1825="Pass",E1825="Pass",F1825="Pass"),"Pass","Incomplete")))</f>
        <v/>
      </c>
      <c r="H1825" s="18"/>
      <c r="I1825" s="18"/>
    </row>
    <row r="1826" customFormat="false" ht="15.75" hidden="false" customHeight="true" outlineLevel="0" collapsed="false">
      <c r="A1826" s="18"/>
      <c r="B1826" s="18"/>
      <c r="C1826" s="19"/>
      <c r="D1826" s="20"/>
      <c r="E1826" s="20"/>
      <c r="F1826" s="20"/>
      <c r="G1826" s="20" t="str">
        <f aca="false">IF(COUNTBLANK(D1826:F1826)=3,"",IF(OR(D1826="Fail",E1826="Fail",F1826="Fail"),"Fail",IF(AND(D1826="Pass",E1826="Pass",F1826="Pass"),"Pass","Incomplete")))</f>
        <v/>
      </c>
      <c r="H1826" s="18"/>
      <c r="I1826" s="18"/>
    </row>
    <row r="1827" customFormat="false" ht="15.75" hidden="false" customHeight="true" outlineLevel="0" collapsed="false">
      <c r="A1827" s="18"/>
      <c r="B1827" s="18"/>
      <c r="C1827" s="19"/>
      <c r="D1827" s="20"/>
      <c r="E1827" s="20"/>
      <c r="F1827" s="20"/>
      <c r="G1827" s="20" t="str">
        <f aca="false">IF(COUNTBLANK(D1827:F1827)=3,"",IF(OR(D1827="Fail",E1827="Fail",F1827="Fail"),"Fail",IF(AND(D1827="Pass",E1827="Pass",F1827="Pass"),"Pass","Incomplete")))</f>
        <v/>
      </c>
      <c r="H1827" s="18"/>
      <c r="I1827" s="18"/>
    </row>
    <row r="1828" customFormat="false" ht="15.75" hidden="false" customHeight="true" outlineLevel="0" collapsed="false">
      <c r="A1828" s="18"/>
      <c r="B1828" s="18"/>
      <c r="C1828" s="19"/>
      <c r="D1828" s="20"/>
      <c r="E1828" s="20"/>
      <c r="F1828" s="20"/>
      <c r="G1828" s="20" t="str">
        <f aca="false">IF(COUNTBLANK(D1828:F1828)=3,"",IF(OR(D1828="Fail",E1828="Fail",F1828="Fail"),"Fail",IF(AND(D1828="Pass",E1828="Pass",F1828="Pass"),"Pass","Incomplete")))</f>
        <v/>
      </c>
      <c r="H1828" s="18"/>
      <c r="I1828" s="18"/>
    </row>
    <row r="1829" customFormat="false" ht="15.75" hidden="false" customHeight="true" outlineLevel="0" collapsed="false">
      <c r="A1829" s="18"/>
      <c r="B1829" s="18"/>
      <c r="C1829" s="19"/>
      <c r="D1829" s="20"/>
      <c r="E1829" s="20"/>
      <c r="F1829" s="20"/>
      <c r="G1829" s="20" t="str">
        <f aca="false">IF(COUNTBLANK(D1829:F1829)=3,"",IF(OR(D1829="Fail",E1829="Fail",F1829="Fail"),"Fail",IF(AND(D1829="Pass",E1829="Pass",F1829="Pass"),"Pass","Incomplete")))</f>
        <v/>
      </c>
      <c r="H1829" s="18"/>
      <c r="I1829" s="18"/>
    </row>
    <row r="1830" customFormat="false" ht="15.75" hidden="false" customHeight="true" outlineLevel="0" collapsed="false">
      <c r="A1830" s="18"/>
      <c r="B1830" s="18"/>
      <c r="C1830" s="19"/>
      <c r="D1830" s="20"/>
      <c r="E1830" s="20"/>
      <c r="F1830" s="20"/>
      <c r="G1830" s="20" t="str">
        <f aca="false">IF(COUNTBLANK(D1830:F1830)=3,"",IF(OR(D1830="Fail",E1830="Fail",F1830="Fail"),"Fail",IF(AND(D1830="Pass",E1830="Pass",F1830="Pass"),"Pass","Incomplete")))</f>
        <v/>
      </c>
      <c r="H1830" s="18"/>
      <c r="I1830" s="18"/>
    </row>
    <row r="1831" customFormat="false" ht="15.75" hidden="false" customHeight="true" outlineLevel="0" collapsed="false">
      <c r="A1831" s="18"/>
      <c r="B1831" s="18"/>
      <c r="C1831" s="19"/>
      <c r="D1831" s="20"/>
      <c r="E1831" s="20"/>
      <c r="F1831" s="20"/>
      <c r="G1831" s="20" t="str">
        <f aca="false">IF(COUNTBLANK(D1831:F1831)=3,"",IF(OR(D1831="Fail",E1831="Fail",F1831="Fail"),"Fail",IF(AND(D1831="Pass",E1831="Pass",F1831="Pass"),"Pass","Incomplete")))</f>
        <v/>
      </c>
      <c r="H1831" s="18"/>
      <c r="I1831" s="18"/>
    </row>
    <row r="1832" customFormat="false" ht="15.75" hidden="false" customHeight="true" outlineLevel="0" collapsed="false">
      <c r="A1832" s="18"/>
      <c r="B1832" s="18"/>
      <c r="C1832" s="19"/>
      <c r="D1832" s="20"/>
      <c r="E1832" s="20"/>
      <c r="F1832" s="20"/>
      <c r="G1832" s="20" t="str">
        <f aca="false">IF(COUNTBLANK(D1832:F1832)=3,"",IF(OR(D1832="Fail",E1832="Fail",F1832="Fail"),"Fail",IF(AND(D1832="Pass",E1832="Pass",F1832="Pass"),"Pass","Incomplete")))</f>
        <v/>
      </c>
      <c r="H1832" s="18"/>
      <c r="I1832" s="18"/>
    </row>
    <row r="1833" customFormat="false" ht="15.75" hidden="false" customHeight="true" outlineLevel="0" collapsed="false">
      <c r="A1833" s="18"/>
      <c r="B1833" s="18"/>
      <c r="C1833" s="19"/>
      <c r="D1833" s="20"/>
      <c r="E1833" s="20"/>
      <c r="F1833" s="20"/>
      <c r="G1833" s="20" t="str">
        <f aca="false">IF(COUNTBLANK(D1833:F1833)=3,"",IF(OR(D1833="Fail",E1833="Fail",F1833="Fail"),"Fail",IF(AND(D1833="Pass",E1833="Pass",F1833="Pass"),"Pass","Incomplete")))</f>
        <v/>
      </c>
      <c r="H1833" s="18"/>
      <c r="I1833" s="18"/>
    </row>
    <row r="1834" customFormat="false" ht="15.75" hidden="false" customHeight="true" outlineLevel="0" collapsed="false">
      <c r="A1834" s="18"/>
      <c r="B1834" s="18"/>
      <c r="C1834" s="19"/>
      <c r="D1834" s="20"/>
      <c r="E1834" s="20"/>
      <c r="F1834" s="20"/>
      <c r="G1834" s="20" t="str">
        <f aca="false">IF(COUNTBLANK(D1834:F1834)=3,"",IF(OR(D1834="Fail",E1834="Fail",F1834="Fail"),"Fail",IF(AND(D1834="Pass",E1834="Pass",F1834="Pass"),"Pass","Incomplete")))</f>
        <v/>
      </c>
      <c r="H1834" s="18"/>
      <c r="I1834" s="18"/>
    </row>
    <row r="1835" customFormat="false" ht="15.75" hidden="false" customHeight="true" outlineLevel="0" collapsed="false">
      <c r="A1835" s="18"/>
      <c r="B1835" s="18"/>
      <c r="C1835" s="19"/>
      <c r="D1835" s="20"/>
      <c r="E1835" s="20"/>
      <c r="F1835" s="20"/>
      <c r="G1835" s="20" t="str">
        <f aca="false">IF(COUNTBLANK(D1835:F1835)=3,"",IF(OR(D1835="Fail",E1835="Fail",F1835="Fail"),"Fail",IF(AND(D1835="Pass",E1835="Pass",F1835="Pass"),"Pass","Incomplete")))</f>
        <v/>
      </c>
      <c r="H1835" s="18"/>
      <c r="I1835" s="18"/>
    </row>
    <row r="1836" customFormat="false" ht="15.75" hidden="false" customHeight="true" outlineLevel="0" collapsed="false">
      <c r="A1836" s="18"/>
      <c r="B1836" s="18"/>
      <c r="C1836" s="19"/>
      <c r="D1836" s="20"/>
      <c r="E1836" s="20"/>
      <c r="F1836" s="20"/>
      <c r="G1836" s="20" t="str">
        <f aca="false">IF(COUNTBLANK(D1836:F1836)=3,"",IF(OR(D1836="Fail",E1836="Fail",F1836="Fail"),"Fail",IF(AND(D1836="Pass",E1836="Pass",F1836="Pass"),"Pass","Incomplete")))</f>
        <v/>
      </c>
      <c r="H1836" s="18"/>
      <c r="I1836" s="18"/>
    </row>
    <row r="1837" customFormat="false" ht="15.75" hidden="false" customHeight="true" outlineLevel="0" collapsed="false">
      <c r="A1837" s="18"/>
      <c r="B1837" s="18"/>
      <c r="C1837" s="19"/>
      <c r="D1837" s="20"/>
      <c r="E1837" s="20"/>
      <c r="F1837" s="20"/>
      <c r="G1837" s="20" t="str">
        <f aca="false">IF(COUNTBLANK(D1837:F1837)=3,"",IF(OR(D1837="Fail",E1837="Fail",F1837="Fail"),"Fail",IF(AND(D1837="Pass",E1837="Pass",F1837="Pass"),"Pass","Incomplete")))</f>
        <v/>
      </c>
      <c r="H1837" s="18"/>
      <c r="I1837" s="18"/>
    </row>
    <row r="1838" customFormat="false" ht="15.75" hidden="false" customHeight="true" outlineLevel="0" collapsed="false">
      <c r="A1838" s="18"/>
      <c r="B1838" s="18"/>
      <c r="C1838" s="19"/>
      <c r="D1838" s="20"/>
      <c r="E1838" s="20"/>
      <c r="F1838" s="20"/>
      <c r="G1838" s="20" t="str">
        <f aca="false">IF(COUNTBLANK(D1838:F1838)=3,"",IF(OR(D1838="Fail",E1838="Fail",F1838="Fail"),"Fail",IF(AND(D1838="Pass",E1838="Pass",F1838="Pass"),"Pass","Incomplete")))</f>
        <v/>
      </c>
      <c r="H1838" s="18"/>
      <c r="I1838" s="18"/>
    </row>
    <row r="1839" customFormat="false" ht="15.75" hidden="false" customHeight="true" outlineLevel="0" collapsed="false">
      <c r="A1839" s="18"/>
      <c r="B1839" s="18"/>
      <c r="C1839" s="19"/>
      <c r="D1839" s="20"/>
      <c r="E1839" s="20"/>
      <c r="F1839" s="20"/>
      <c r="G1839" s="20" t="str">
        <f aca="false">IF(COUNTBLANK(D1839:F1839)=3,"",IF(OR(D1839="Fail",E1839="Fail",F1839="Fail"),"Fail",IF(AND(D1839="Pass",E1839="Pass",F1839="Pass"),"Pass","Incomplete")))</f>
        <v/>
      </c>
      <c r="H1839" s="18"/>
      <c r="I1839" s="18"/>
    </row>
    <row r="1840" customFormat="false" ht="15.75" hidden="false" customHeight="true" outlineLevel="0" collapsed="false">
      <c r="A1840" s="18"/>
      <c r="B1840" s="18"/>
      <c r="C1840" s="19"/>
      <c r="D1840" s="20"/>
      <c r="E1840" s="20"/>
      <c r="F1840" s="20"/>
      <c r="G1840" s="20" t="str">
        <f aca="false">IF(COUNTBLANK(D1840:F1840)=3,"",IF(OR(D1840="Fail",E1840="Fail",F1840="Fail"),"Fail",IF(AND(D1840="Pass",E1840="Pass",F1840="Pass"),"Pass","Incomplete")))</f>
        <v/>
      </c>
      <c r="H1840" s="18"/>
      <c r="I1840" s="18"/>
    </row>
    <row r="1841" customFormat="false" ht="15.75" hidden="false" customHeight="true" outlineLevel="0" collapsed="false">
      <c r="A1841" s="18"/>
      <c r="B1841" s="18"/>
      <c r="C1841" s="19"/>
      <c r="D1841" s="20"/>
      <c r="E1841" s="20"/>
      <c r="F1841" s="20"/>
      <c r="G1841" s="20" t="str">
        <f aca="false">IF(COUNTBLANK(D1841:F1841)=3,"",IF(OR(D1841="Fail",E1841="Fail",F1841="Fail"),"Fail",IF(AND(D1841="Pass",E1841="Pass",F1841="Pass"),"Pass","Incomplete")))</f>
        <v/>
      </c>
      <c r="H1841" s="18"/>
      <c r="I1841" s="18"/>
    </row>
    <row r="1842" customFormat="false" ht="15.75" hidden="false" customHeight="true" outlineLevel="0" collapsed="false">
      <c r="A1842" s="18"/>
      <c r="B1842" s="18"/>
      <c r="C1842" s="19"/>
      <c r="D1842" s="20"/>
      <c r="E1842" s="20"/>
      <c r="F1842" s="20"/>
      <c r="G1842" s="20" t="str">
        <f aca="false">IF(COUNTBLANK(D1842:F1842)=3,"",IF(OR(D1842="Fail",E1842="Fail",F1842="Fail"),"Fail",IF(AND(D1842="Pass",E1842="Pass",F1842="Pass"),"Pass","Incomplete")))</f>
        <v/>
      </c>
      <c r="H1842" s="18"/>
      <c r="I1842" s="18"/>
    </row>
    <row r="1843" customFormat="false" ht="15.75" hidden="false" customHeight="true" outlineLevel="0" collapsed="false">
      <c r="A1843" s="18"/>
      <c r="B1843" s="18"/>
      <c r="C1843" s="19"/>
      <c r="D1843" s="20"/>
      <c r="E1843" s="20"/>
      <c r="F1843" s="20"/>
      <c r="G1843" s="20" t="str">
        <f aca="false">IF(COUNTBLANK(D1843:F1843)=3,"",IF(OR(D1843="Fail",E1843="Fail",F1843="Fail"),"Fail",IF(AND(D1843="Pass",E1843="Pass",F1843="Pass"),"Pass","Incomplete")))</f>
        <v/>
      </c>
      <c r="H1843" s="18"/>
      <c r="I1843" s="18"/>
    </row>
    <row r="1844" customFormat="false" ht="15.75" hidden="false" customHeight="true" outlineLevel="0" collapsed="false">
      <c r="A1844" s="18"/>
      <c r="B1844" s="18"/>
      <c r="C1844" s="19"/>
      <c r="D1844" s="20"/>
      <c r="E1844" s="20"/>
      <c r="F1844" s="20"/>
      <c r="G1844" s="20" t="str">
        <f aca="false">IF(COUNTBLANK(D1844:F1844)=3,"",IF(OR(D1844="Fail",E1844="Fail",F1844="Fail"),"Fail",IF(AND(D1844="Pass",E1844="Pass",F1844="Pass"),"Pass","Incomplete")))</f>
        <v/>
      </c>
      <c r="H1844" s="18"/>
      <c r="I1844" s="18"/>
    </row>
    <row r="1845" customFormat="false" ht="15.75" hidden="false" customHeight="true" outlineLevel="0" collapsed="false">
      <c r="A1845" s="18"/>
      <c r="B1845" s="18"/>
      <c r="C1845" s="19"/>
      <c r="D1845" s="20"/>
      <c r="E1845" s="20"/>
      <c r="F1845" s="20"/>
      <c r="G1845" s="20" t="str">
        <f aca="false">IF(COUNTBLANK(D1845:F1845)=3,"",IF(OR(D1845="Fail",E1845="Fail",F1845="Fail"),"Fail",IF(AND(D1845="Pass",E1845="Pass",F1845="Pass"),"Pass","Incomplete")))</f>
        <v/>
      </c>
      <c r="H1845" s="18"/>
      <c r="I1845" s="18"/>
    </row>
    <row r="1846" customFormat="false" ht="15.75" hidden="false" customHeight="true" outlineLevel="0" collapsed="false">
      <c r="A1846" s="18"/>
      <c r="B1846" s="18"/>
      <c r="C1846" s="19"/>
      <c r="D1846" s="20"/>
      <c r="E1846" s="20"/>
      <c r="F1846" s="20"/>
      <c r="G1846" s="20" t="str">
        <f aca="false">IF(COUNTBLANK(D1846:F1846)=3,"",IF(OR(D1846="Fail",E1846="Fail",F1846="Fail"),"Fail",IF(AND(D1846="Pass",E1846="Pass",F1846="Pass"),"Pass","Incomplete")))</f>
        <v/>
      </c>
      <c r="H1846" s="18"/>
      <c r="I1846" s="18"/>
    </row>
    <row r="1847" customFormat="false" ht="15.75" hidden="false" customHeight="true" outlineLevel="0" collapsed="false">
      <c r="A1847" s="18"/>
      <c r="B1847" s="18"/>
      <c r="C1847" s="19"/>
      <c r="D1847" s="20"/>
      <c r="E1847" s="20"/>
      <c r="F1847" s="20"/>
      <c r="G1847" s="20" t="str">
        <f aca="false">IF(COUNTBLANK(D1847:F1847)=3,"",IF(OR(D1847="Fail",E1847="Fail",F1847="Fail"),"Fail",IF(AND(D1847="Pass",E1847="Pass",F1847="Pass"),"Pass","Incomplete")))</f>
        <v/>
      </c>
      <c r="H1847" s="18"/>
      <c r="I1847" s="18"/>
    </row>
    <row r="1848" customFormat="false" ht="15.75" hidden="false" customHeight="true" outlineLevel="0" collapsed="false">
      <c r="A1848" s="18"/>
      <c r="B1848" s="18"/>
      <c r="C1848" s="19"/>
      <c r="D1848" s="20"/>
      <c r="E1848" s="20"/>
      <c r="F1848" s="20"/>
      <c r="G1848" s="20" t="str">
        <f aca="false">IF(COUNTBLANK(D1848:F1848)=3,"",IF(OR(D1848="Fail",E1848="Fail",F1848="Fail"),"Fail",IF(AND(D1848="Pass",E1848="Pass",F1848="Pass"),"Pass","Incomplete")))</f>
        <v/>
      </c>
      <c r="H1848" s="18"/>
      <c r="I1848" s="18"/>
    </row>
    <row r="1849" customFormat="false" ht="15.75" hidden="false" customHeight="true" outlineLevel="0" collapsed="false">
      <c r="A1849" s="18"/>
      <c r="B1849" s="18"/>
      <c r="C1849" s="19"/>
      <c r="D1849" s="20"/>
      <c r="E1849" s="20"/>
      <c r="F1849" s="20"/>
      <c r="G1849" s="20" t="str">
        <f aca="false">IF(COUNTBLANK(D1849:F1849)=3,"",IF(OR(D1849="Fail",E1849="Fail",F1849="Fail"),"Fail",IF(AND(D1849="Pass",E1849="Pass",F1849="Pass"),"Pass","Incomplete")))</f>
        <v/>
      </c>
      <c r="H1849" s="18"/>
      <c r="I1849" s="18"/>
    </row>
    <row r="1850" customFormat="false" ht="15.75" hidden="false" customHeight="true" outlineLevel="0" collapsed="false">
      <c r="A1850" s="18"/>
      <c r="B1850" s="18"/>
      <c r="C1850" s="19"/>
      <c r="D1850" s="20"/>
      <c r="E1850" s="20"/>
      <c r="F1850" s="20"/>
      <c r="G1850" s="20" t="str">
        <f aca="false">IF(COUNTBLANK(D1850:F1850)=3,"",IF(OR(D1850="Fail",E1850="Fail",F1850="Fail"),"Fail",IF(AND(D1850="Pass",E1850="Pass",F1850="Pass"),"Pass","Incomplete")))</f>
        <v/>
      </c>
      <c r="H1850" s="18"/>
      <c r="I1850" s="18"/>
    </row>
    <row r="1851" customFormat="false" ht="15.75" hidden="false" customHeight="true" outlineLevel="0" collapsed="false">
      <c r="A1851" s="18"/>
      <c r="B1851" s="18"/>
      <c r="C1851" s="19"/>
      <c r="D1851" s="20"/>
      <c r="E1851" s="20"/>
      <c r="F1851" s="20"/>
      <c r="G1851" s="20" t="str">
        <f aca="false">IF(COUNTBLANK(D1851:F1851)=3,"",IF(OR(D1851="Fail",E1851="Fail",F1851="Fail"),"Fail",IF(AND(D1851="Pass",E1851="Pass",F1851="Pass"),"Pass","Incomplete")))</f>
        <v/>
      </c>
      <c r="H1851" s="18"/>
      <c r="I1851" s="18"/>
    </row>
    <row r="1852" customFormat="false" ht="15.75" hidden="false" customHeight="true" outlineLevel="0" collapsed="false">
      <c r="A1852" s="18"/>
      <c r="B1852" s="18"/>
      <c r="C1852" s="19"/>
      <c r="D1852" s="20"/>
      <c r="E1852" s="20"/>
      <c r="F1852" s="20"/>
      <c r="G1852" s="20" t="str">
        <f aca="false">IF(COUNTBLANK(D1852:F1852)=3,"",IF(OR(D1852="Fail",E1852="Fail",F1852="Fail"),"Fail",IF(AND(D1852="Pass",E1852="Pass",F1852="Pass"),"Pass","Incomplete")))</f>
        <v/>
      </c>
      <c r="H1852" s="18"/>
      <c r="I1852" s="18"/>
    </row>
    <row r="1853" customFormat="false" ht="15.75" hidden="false" customHeight="true" outlineLevel="0" collapsed="false">
      <c r="A1853" s="18"/>
      <c r="B1853" s="18"/>
      <c r="C1853" s="19"/>
      <c r="D1853" s="20"/>
      <c r="E1853" s="20"/>
      <c r="F1853" s="20"/>
      <c r="G1853" s="20" t="str">
        <f aca="false">IF(COUNTBLANK(D1853:F1853)=3,"",IF(OR(D1853="Fail",E1853="Fail",F1853="Fail"),"Fail",IF(AND(D1853="Pass",E1853="Pass",F1853="Pass"),"Pass","Incomplete")))</f>
        <v/>
      </c>
      <c r="H1853" s="18"/>
      <c r="I1853" s="18"/>
    </row>
    <row r="1854" customFormat="false" ht="15.75" hidden="false" customHeight="true" outlineLevel="0" collapsed="false">
      <c r="A1854" s="18"/>
      <c r="B1854" s="18"/>
      <c r="C1854" s="19"/>
      <c r="D1854" s="20"/>
      <c r="E1854" s="20"/>
      <c r="F1854" s="20"/>
      <c r="G1854" s="20" t="str">
        <f aca="false">IF(COUNTBLANK(D1854:F1854)=3,"",IF(OR(D1854="Fail",E1854="Fail",F1854="Fail"),"Fail",IF(AND(D1854="Pass",E1854="Pass",F1854="Pass"),"Pass","Incomplete")))</f>
        <v/>
      </c>
      <c r="H1854" s="18"/>
      <c r="I1854" s="18"/>
    </row>
    <row r="1855" customFormat="false" ht="15.75" hidden="false" customHeight="true" outlineLevel="0" collapsed="false">
      <c r="A1855" s="18"/>
      <c r="B1855" s="18"/>
      <c r="C1855" s="19"/>
      <c r="D1855" s="20"/>
      <c r="E1855" s="20"/>
      <c r="F1855" s="20"/>
      <c r="G1855" s="20" t="str">
        <f aca="false">IF(COUNTBLANK(D1855:F1855)=3,"",IF(OR(D1855="Fail",E1855="Fail",F1855="Fail"),"Fail",IF(AND(D1855="Pass",E1855="Pass",F1855="Pass"),"Pass","Incomplete")))</f>
        <v/>
      </c>
      <c r="H1855" s="18"/>
      <c r="I1855" s="18"/>
    </row>
    <row r="1856" customFormat="false" ht="15.75" hidden="false" customHeight="true" outlineLevel="0" collapsed="false">
      <c r="A1856" s="18"/>
      <c r="B1856" s="18"/>
      <c r="C1856" s="19"/>
      <c r="D1856" s="20"/>
      <c r="E1856" s="20"/>
      <c r="F1856" s="20"/>
      <c r="G1856" s="20" t="str">
        <f aca="false">IF(COUNTBLANK(D1856:F1856)=3,"",IF(OR(D1856="Fail",E1856="Fail",F1856="Fail"),"Fail",IF(AND(D1856="Pass",E1856="Pass",F1856="Pass"),"Pass","Incomplete")))</f>
        <v/>
      </c>
      <c r="H1856" s="18"/>
      <c r="I1856" s="18"/>
    </row>
    <row r="1857" customFormat="false" ht="15.75" hidden="false" customHeight="true" outlineLevel="0" collapsed="false">
      <c r="A1857" s="18"/>
      <c r="B1857" s="18"/>
      <c r="C1857" s="19"/>
      <c r="D1857" s="20"/>
      <c r="E1857" s="20"/>
      <c r="F1857" s="20"/>
      <c r="G1857" s="20" t="str">
        <f aca="false">IF(COUNTBLANK(D1857:F1857)=3,"",IF(OR(D1857="Fail",E1857="Fail",F1857="Fail"),"Fail",IF(AND(D1857="Pass",E1857="Pass",F1857="Pass"),"Pass","Incomplete")))</f>
        <v/>
      </c>
      <c r="H1857" s="18"/>
      <c r="I1857" s="18"/>
    </row>
    <row r="1858" customFormat="false" ht="15.75" hidden="false" customHeight="true" outlineLevel="0" collapsed="false">
      <c r="A1858" s="18"/>
      <c r="B1858" s="18"/>
      <c r="C1858" s="19"/>
      <c r="D1858" s="20"/>
      <c r="E1858" s="20"/>
      <c r="F1858" s="20"/>
      <c r="G1858" s="20" t="str">
        <f aca="false">IF(COUNTBLANK(D1858:F1858)=3,"",IF(OR(D1858="Fail",E1858="Fail",F1858="Fail"),"Fail",IF(AND(D1858="Pass",E1858="Pass",F1858="Pass"),"Pass","Incomplete")))</f>
        <v/>
      </c>
      <c r="H1858" s="18"/>
      <c r="I1858" s="18"/>
    </row>
    <row r="1859" customFormat="false" ht="15.75" hidden="false" customHeight="true" outlineLevel="0" collapsed="false">
      <c r="A1859" s="18"/>
      <c r="B1859" s="18"/>
      <c r="C1859" s="19"/>
      <c r="D1859" s="20"/>
      <c r="E1859" s="20"/>
      <c r="F1859" s="20"/>
      <c r="G1859" s="20" t="str">
        <f aca="false">IF(COUNTBLANK(D1859:F1859)=3,"",IF(OR(D1859="Fail",E1859="Fail",F1859="Fail"),"Fail",IF(AND(D1859="Pass",E1859="Pass",F1859="Pass"),"Pass","Incomplete")))</f>
        <v/>
      </c>
      <c r="H1859" s="18"/>
      <c r="I1859" s="18"/>
    </row>
    <row r="1860" customFormat="false" ht="15.75" hidden="false" customHeight="true" outlineLevel="0" collapsed="false">
      <c r="A1860" s="18"/>
      <c r="B1860" s="18"/>
      <c r="C1860" s="19"/>
      <c r="D1860" s="20"/>
      <c r="E1860" s="20"/>
      <c r="F1860" s="20"/>
      <c r="G1860" s="20" t="str">
        <f aca="false">IF(COUNTBLANK(D1860:F1860)=3,"",IF(OR(D1860="Fail",E1860="Fail",F1860="Fail"),"Fail",IF(AND(D1860="Pass",E1860="Pass",F1860="Pass"),"Pass","Incomplete")))</f>
        <v/>
      </c>
      <c r="H1860" s="18"/>
      <c r="I1860" s="18"/>
    </row>
    <row r="1861" customFormat="false" ht="15.75" hidden="false" customHeight="true" outlineLevel="0" collapsed="false">
      <c r="A1861" s="18"/>
      <c r="B1861" s="18"/>
      <c r="C1861" s="19"/>
      <c r="D1861" s="20"/>
      <c r="E1861" s="20"/>
      <c r="F1861" s="20"/>
      <c r="G1861" s="20" t="str">
        <f aca="false">IF(COUNTBLANK(D1861:F1861)=3,"",IF(OR(D1861="Fail",E1861="Fail",F1861="Fail"),"Fail",IF(AND(D1861="Pass",E1861="Pass",F1861="Pass"),"Pass","Incomplete")))</f>
        <v/>
      </c>
      <c r="H1861" s="18"/>
      <c r="I1861" s="18"/>
    </row>
    <row r="1862" customFormat="false" ht="15.75" hidden="false" customHeight="true" outlineLevel="0" collapsed="false">
      <c r="A1862" s="18"/>
      <c r="B1862" s="18"/>
      <c r="C1862" s="19"/>
      <c r="D1862" s="20"/>
      <c r="E1862" s="20"/>
      <c r="F1862" s="20"/>
      <c r="G1862" s="20" t="str">
        <f aca="false">IF(COUNTBLANK(D1862:F1862)=3,"",IF(OR(D1862="Fail",E1862="Fail",F1862="Fail"),"Fail",IF(AND(D1862="Pass",E1862="Pass",F1862="Pass"),"Pass","Incomplete")))</f>
        <v/>
      </c>
      <c r="H1862" s="18"/>
      <c r="I1862" s="18"/>
    </row>
    <row r="1863" customFormat="false" ht="15.75" hidden="false" customHeight="true" outlineLevel="0" collapsed="false">
      <c r="A1863" s="18"/>
      <c r="B1863" s="18"/>
      <c r="C1863" s="19"/>
      <c r="D1863" s="20"/>
      <c r="E1863" s="20"/>
      <c r="F1863" s="20"/>
      <c r="G1863" s="20" t="str">
        <f aca="false">IF(COUNTBLANK(D1863:F1863)=3,"",IF(OR(D1863="Fail",E1863="Fail",F1863="Fail"),"Fail",IF(AND(D1863="Pass",E1863="Pass",F1863="Pass"),"Pass","Incomplete")))</f>
        <v/>
      </c>
      <c r="H1863" s="18"/>
      <c r="I1863" s="18"/>
    </row>
    <row r="1864" customFormat="false" ht="15.75" hidden="false" customHeight="true" outlineLevel="0" collapsed="false">
      <c r="A1864" s="18"/>
      <c r="B1864" s="18"/>
      <c r="C1864" s="19"/>
      <c r="D1864" s="20"/>
      <c r="E1864" s="20"/>
      <c r="F1864" s="20"/>
      <c r="G1864" s="20" t="str">
        <f aca="false">IF(COUNTBLANK(D1864:F1864)=3,"",IF(OR(D1864="Fail",E1864="Fail",F1864="Fail"),"Fail",IF(AND(D1864="Pass",E1864="Pass",F1864="Pass"),"Pass","Incomplete")))</f>
        <v/>
      </c>
      <c r="H1864" s="18"/>
      <c r="I1864" s="18"/>
    </row>
    <row r="1865" customFormat="false" ht="15.75" hidden="false" customHeight="true" outlineLevel="0" collapsed="false">
      <c r="A1865" s="18"/>
      <c r="B1865" s="18"/>
      <c r="C1865" s="19"/>
      <c r="D1865" s="20"/>
      <c r="E1865" s="20"/>
      <c r="F1865" s="20"/>
      <c r="G1865" s="20" t="str">
        <f aca="false">IF(COUNTBLANK(D1865:F1865)=3,"",IF(OR(D1865="Fail",E1865="Fail",F1865="Fail"),"Fail",IF(AND(D1865="Pass",E1865="Pass",F1865="Pass"),"Pass","Incomplete")))</f>
        <v/>
      </c>
      <c r="H1865" s="18"/>
      <c r="I1865" s="18"/>
    </row>
    <row r="1866" customFormat="false" ht="15.75" hidden="false" customHeight="true" outlineLevel="0" collapsed="false">
      <c r="A1866" s="18"/>
      <c r="B1866" s="18"/>
      <c r="C1866" s="19"/>
      <c r="D1866" s="20"/>
      <c r="E1866" s="20"/>
      <c r="F1866" s="20"/>
      <c r="G1866" s="20" t="str">
        <f aca="false">IF(COUNTBLANK(D1866:F1866)=3,"",IF(OR(D1866="Fail",E1866="Fail",F1866="Fail"),"Fail",IF(AND(D1866="Pass",E1866="Pass",F1866="Pass"),"Pass","Incomplete")))</f>
        <v/>
      </c>
      <c r="H1866" s="18"/>
      <c r="I1866" s="18"/>
    </row>
    <row r="1867" customFormat="false" ht="15.75" hidden="false" customHeight="true" outlineLevel="0" collapsed="false">
      <c r="A1867" s="18"/>
      <c r="B1867" s="18"/>
      <c r="C1867" s="19"/>
      <c r="D1867" s="20"/>
      <c r="E1867" s="20"/>
      <c r="F1867" s="20"/>
      <c r="G1867" s="20" t="str">
        <f aca="false">IF(COUNTBLANK(D1867:F1867)=3,"",IF(OR(D1867="Fail",E1867="Fail",F1867="Fail"),"Fail",IF(AND(D1867="Pass",E1867="Pass",F1867="Pass"),"Pass","Incomplete")))</f>
        <v/>
      </c>
      <c r="H1867" s="18"/>
      <c r="I1867" s="18"/>
    </row>
    <row r="1868" customFormat="false" ht="15.75" hidden="false" customHeight="true" outlineLevel="0" collapsed="false">
      <c r="A1868" s="18"/>
      <c r="B1868" s="18"/>
      <c r="C1868" s="19"/>
      <c r="D1868" s="20"/>
      <c r="E1868" s="20"/>
      <c r="F1868" s="20"/>
      <c r="G1868" s="20" t="str">
        <f aca="false">IF(COUNTBLANK(D1868:F1868)=3,"",IF(OR(D1868="Fail",E1868="Fail",F1868="Fail"),"Fail",IF(AND(D1868="Pass",E1868="Pass",F1868="Pass"),"Pass","Incomplete")))</f>
        <v/>
      </c>
      <c r="H1868" s="18"/>
      <c r="I1868" s="18"/>
    </row>
    <row r="1869" customFormat="false" ht="15.75" hidden="false" customHeight="true" outlineLevel="0" collapsed="false">
      <c r="A1869" s="18"/>
      <c r="B1869" s="18"/>
      <c r="C1869" s="19"/>
      <c r="D1869" s="20"/>
      <c r="E1869" s="20"/>
      <c r="F1869" s="20"/>
      <c r="G1869" s="20" t="str">
        <f aca="false">IF(COUNTBLANK(D1869:F1869)=3,"",IF(OR(D1869="Fail",E1869="Fail",F1869="Fail"),"Fail",IF(AND(D1869="Pass",E1869="Pass",F1869="Pass"),"Pass","Incomplete")))</f>
        <v/>
      </c>
      <c r="H1869" s="18"/>
      <c r="I1869" s="18"/>
    </row>
    <row r="1870" customFormat="false" ht="15.75" hidden="false" customHeight="true" outlineLevel="0" collapsed="false">
      <c r="A1870" s="18"/>
      <c r="B1870" s="18"/>
      <c r="C1870" s="19"/>
      <c r="D1870" s="20"/>
      <c r="E1870" s="20"/>
      <c r="F1870" s="20"/>
      <c r="G1870" s="20" t="str">
        <f aca="false">IF(COUNTBLANK(D1870:F1870)=3,"",IF(OR(D1870="Fail",E1870="Fail",F1870="Fail"),"Fail",IF(AND(D1870="Pass",E1870="Pass",F1870="Pass"),"Pass","Incomplete")))</f>
        <v/>
      </c>
      <c r="H1870" s="18"/>
      <c r="I1870" s="18"/>
    </row>
    <row r="1871" customFormat="false" ht="15.75" hidden="false" customHeight="true" outlineLevel="0" collapsed="false">
      <c r="A1871" s="18"/>
      <c r="B1871" s="18"/>
      <c r="C1871" s="19"/>
      <c r="D1871" s="20"/>
      <c r="E1871" s="20"/>
      <c r="F1871" s="20"/>
      <c r="G1871" s="20" t="str">
        <f aca="false">IF(COUNTBLANK(D1871:F1871)=3,"",IF(OR(D1871="Fail",E1871="Fail",F1871="Fail"),"Fail",IF(AND(D1871="Pass",E1871="Pass",F1871="Pass"),"Pass","Incomplete")))</f>
        <v/>
      </c>
      <c r="H1871" s="18"/>
      <c r="I1871" s="18"/>
    </row>
    <row r="1872" customFormat="false" ht="15.75" hidden="false" customHeight="true" outlineLevel="0" collapsed="false">
      <c r="A1872" s="18"/>
      <c r="B1872" s="18"/>
      <c r="C1872" s="19"/>
      <c r="D1872" s="20"/>
      <c r="E1872" s="20"/>
      <c r="F1872" s="20"/>
      <c r="G1872" s="20" t="str">
        <f aca="false">IF(COUNTBLANK(D1872:F1872)=3,"",IF(OR(D1872="Fail",E1872="Fail",F1872="Fail"),"Fail",IF(AND(D1872="Pass",E1872="Pass",F1872="Pass"),"Pass","Incomplete")))</f>
        <v/>
      </c>
      <c r="H1872" s="18"/>
      <c r="I1872" s="18"/>
    </row>
    <row r="1873" customFormat="false" ht="15.75" hidden="false" customHeight="true" outlineLevel="0" collapsed="false">
      <c r="A1873" s="18"/>
      <c r="B1873" s="18"/>
      <c r="C1873" s="19"/>
      <c r="D1873" s="20"/>
      <c r="E1873" s="20"/>
      <c r="F1873" s="20"/>
      <c r="G1873" s="20" t="str">
        <f aca="false">IF(COUNTBLANK(D1873:F1873)=3,"",IF(OR(D1873="Fail",E1873="Fail",F1873="Fail"),"Fail",IF(AND(D1873="Pass",E1873="Pass",F1873="Pass"),"Pass","Incomplete")))</f>
        <v/>
      </c>
      <c r="H1873" s="18"/>
      <c r="I1873" s="18"/>
    </row>
    <row r="1874" customFormat="false" ht="15.75" hidden="false" customHeight="true" outlineLevel="0" collapsed="false">
      <c r="A1874" s="18"/>
      <c r="B1874" s="18"/>
      <c r="C1874" s="19"/>
      <c r="D1874" s="20"/>
      <c r="E1874" s="20"/>
      <c r="F1874" s="20"/>
      <c r="G1874" s="20" t="str">
        <f aca="false">IF(COUNTBLANK(D1874:F1874)=3,"",IF(OR(D1874="Fail",E1874="Fail",F1874="Fail"),"Fail",IF(AND(D1874="Pass",E1874="Pass",F1874="Pass"),"Pass","Incomplete")))</f>
        <v/>
      </c>
      <c r="H1874" s="18"/>
      <c r="I1874" s="18"/>
    </row>
    <row r="1875" customFormat="false" ht="15.75" hidden="false" customHeight="true" outlineLevel="0" collapsed="false">
      <c r="A1875" s="18"/>
      <c r="B1875" s="18"/>
      <c r="C1875" s="19"/>
      <c r="D1875" s="20"/>
      <c r="E1875" s="20"/>
      <c r="F1875" s="20"/>
      <c r="G1875" s="20" t="str">
        <f aca="false">IF(COUNTBLANK(D1875:F1875)=3,"",IF(OR(D1875="Fail",E1875="Fail",F1875="Fail"),"Fail",IF(AND(D1875="Pass",E1875="Pass",F1875="Pass"),"Pass","Incomplete")))</f>
        <v/>
      </c>
      <c r="H1875" s="18"/>
      <c r="I1875" s="18"/>
    </row>
    <row r="1876" customFormat="false" ht="15.75" hidden="false" customHeight="true" outlineLevel="0" collapsed="false">
      <c r="A1876" s="18"/>
      <c r="B1876" s="18"/>
      <c r="C1876" s="19"/>
      <c r="D1876" s="20"/>
      <c r="E1876" s="20"/>
      <c r="F1876" s="20"/>
      <c r="G1876" s="20" t="str">
        <f aca="false">IF(COUNTBLANK(D1876:F1876)=3,"",IF(OR(D1876="Fail",E1876="Fail",F1876="Fail"),"Fail",IF(AND(D1876="Pass",E1876="Pass",F1876="Pass"),"Pass","Incomplete")))</f>
        <v/>
      </c>
      <c r="H1876" s="18"/>
      <c r="I1876" s="18"/>
    </row>
    <row r="1877" customFormat="false" ht="15.75" hidden="false" customHeight="true" outlineLevel="0" collapsed="false">
      <c r="A1877" s="18"/>
      <c r="B1877" s="18"/>
      <c r="C1877" s="19"/>
      <c r="D1877" s="20"/>
      <c r="E1877" s="20"/>
      <c r="F1877" s="20"/>
      <c r="G1877" s="20" t="str">
        <f aca="false">IF(COUNTBLANK(D1877:F1877)=3,"",IF(OR(D1877="Fail",E1877="Fail",F1877="Fail"),"Fail",IF(AND(D1877="Pass",E1877="Pass",F1877="Pass"),"Pass","Incomplete")))</f>
        <v/>
      </c>
      <c r="H1877" s="18"/>
      <c r="I1877" s="18"/>
    </row>
    <row r="1878" customFormat="false" ht="15.75" hidden="false" customHeight="true" outlineLevel="0" collapsed="false">
      <c r="A1878" s="18"/>
      <c r="B1878" s="18"/>
      <c r="C1878" s="19"/>
      <c r="D1878" s="20"/>
      <c r="E1878" s="20"/>
      <c r="F1878" s="20"/>
      <c r="G1878" s="20" t="str">
        <f aca="false">IF(COUNTBLANK(D1878:F1878)=3,"",IF(OR(D1878="Fail",E1878="Fail",F1878="Fail"),"Fail",IF(AND(D1878="Pass",E1878="Pass",F1878="Pass"),"Pass","Incomplete")))</f>
        <v/>
      </c>
      <c r="H1878" s="18"/>
      <c r="I1878" s="18"/>
    </row>
    <row r="1879" customFormat="false" ht="15.75" hidden="false" customHeight="true" outlineLevel="0" collapsed="false">
      <c r="A1879" s="18"/>
      <c r="B1879" s="18"/>
      <c r="C1879" s="19"/>
      <c r="D1879" s="20"/>
      <c r="E1879" s="20"/>
      <c r="F1879" s="20"/>
      <c r="G1879" s="20" t="str">
        <f aca="false">IF(COUNTBLANK(D1879:F1879)=3,"",IF(OR(D1879="Fail",E1879="Fail",F1879="Fail"),"Fail",IF(AND(D1879="Pass",E1879="Pass",F1879="Pass"),"Pass","Incomplete")))</f>
        <v/>
      </c>
      <c r="H1879" s="18"/>
      <c r="I1879" s="18"/>
    </row>
    <row r="1880" customFormat="false" ht="15.75" hidden="false" customHeight="true" outlineLevel="0" collapsed="false">
      <c r="A1880" s="18"/>
      <c r="B1880" s="18"/>
      <c r="C1880" s="19"/>
      <c r="D1880" s="20"/>
      <c r="E1880" s="20"/>
      <c r="F1880" s="20"/>
      <c r="G1880" s="20" t="str">
        <f aca="false">IF(COUNTBLANK(D1880:F1880)=3,"",IF(OR(D1880="Fail",E1880="Fail",F1880="Fail"),"Fail",IF(AND(D1880="Pass",E1880="Pass",F1880="Pass"),"Pass","Incomplete")))</f>
        <v/>
      </c>
      <c r="H1880" s="18"/>
      <c r="I1880" s="18"/>
    </row>
    <row r="1881" customFormat="false" ht="15.75" hidden="false" customHeight="true" outlineLevel="0" collapsed="false">
      <c r="A1881" s="18"/>
      <c r="B1881" s="18"/>
      <c r="C1881" s="19"/>
      <c r="D1881" s="20"/>
      <c r="E1881" s="20"/>
      <c r="F1881" s="20"/>
      <c r="G1881" s="20" t="str">
        <f aca="false">IF(COUNTBLANK(D1881:F1881)=3,"",IF(OR(D1881="Fail",E1881="Fail",F1881="Fail"),"Fail",IF(AND(D1881="Pass",E1881="Pass",F1881="Pass"),"Pass","Incomplete")))</f>
        <v/>
      </c>
      <c r="H1881" s="18"/>
      <c r="I1881" s="18"/>
    </row>
    <row r="1882" customFormat="false" ht="15.75" hidden="false" customHeight="true" outlineLevel="0" collapsed="false">
      <c r="A1882" s="18"/>
      <c r="B1882" s="18"/>
      <c r="C1882" s="19"/>
      <c r="D1882" s="20"/>
      <c r="E1882" s="20"/>
      <c r="F1882" s="20"/>
      <c r="G1882" s="20" t="str">
        <f aca="false">IF(COUNTBLANK(D1882:F1882)=3,"",IF(OR(D1882="Fail",E1882="Fail",F1882="Fail"),"Fail",IF(AND(D1882="Pass",E1882="Pass",F1882="Pass"),"Pass","Incomplete")))</f>
        <v/>
      </c>
      <c r="H1882" s="18"/>
      <c r="I1882" s="18"/>
    </row>
    <row r="1883" customFormat="false" ht="15.75" hidden="false" customHeight="true" outlineLevel="0" collapsed="false">
      <c r="A1883" s="18"/>
      <c r="B1883" s="18"/>
      <c r="C1883" s="19"/>
      <c r="D1883" s="20"/>
      <c r="E1883" s="20"/>
      <c r="F1883" s="20"/>
      <c r="G1883" s="20" t="str">
        <f aca="false">IF(COUNTBLANK(D1883:F1883)=3,"",IF(OR(D1883="Fail",E1883="Fail",F1883="Fail"),"Fail",IF(AND(D1883="Pass",E1883="Pass",F1883="Pass"),"Pass","Incomplete")))</f>
        <v/>
      </c>
      <c r="H1883" s="18"/>
      <c r="I1883" s="18"/>
    </row>
    <row r="1884" customFormat="false" ht="15.75" hidden="false" customHeight="true" outlineLevel="0" collapsed="false">
      <c r="A1884" s="18"/>
      <c r="B1884" s="18"/>
      <c r="C1884" s="19"/>
      <c r="D1884" s="20"/>
      <c r="E1884" s="20"/>
      <c r="F1884" s="20"/>
      <c r="G1884" s="20" t="str">
        <f aca="false">IF(COUNTBLANK(D1884:F1884)=3,"",IF(OR(D1884="Fail",E1884="Fail",F1884="Fail"),"Fail",IF(AND(D1884="Pass",E1884="Pass",F1884="Pass"),"Pass","Incomplete")))</f>
        <v/>
      </c>
      <c r="H1884" s="18"/>
      <c r="I1884" s="18"/>
    </row>
    <row r="1885" customFormat="false" ht="15.75" hidden="false" customHeight="true" outlineLevel="0" collapsed="false">
      <c r="A1885" s="18"/>
      <c r="B1885" s="18"/>
      <c r="C1885" s="19"/>
      <c r="D1885" s="20"/>
      <c r="E1885" s="20"/>
      <c r="F1885" s="20"/>
      <c r="G1885" s="20" t="str">
        <f aca="false">IF(COUNTBLANK(D1885:F1885)=3,"",IF(OR(D1885="Fail",E1885="Fail",F1885="Fail"),"Fail",IF(AND(D1885="Pass",E1885="Pass",F1885="Pass"),"Pass","Incomplete")))</f>
        <v/>
      </c>
      <c r="H1885" s="18"/>
      <c r="I1885" s="18"/>
    </row>
    <row r="1886" customFormat="false" ht="15.75" hidden="false" customHeight="true" outlineLevel="0" collapsed="false">
      <c r="A1886" s="18"/>
      <c r="B1886" s="18"/>
      <c r="C1886" s="19"/>
      <c r="D1886" s="20"/>
      <c r="E1886" s="20"/>
      <c r="F1886" s="20"/>
      <c r="G1886" s="20" t="str">
        <f aca="false">IF(COUNTBLANK(D1886:F1886)=3,"",IF(OR(D1886="Fail",E1886="Fail",F1886="Fail"),"Fail",IF(AND(D1886="Pass",E1886="Pass",F1886="Pass"),"Pass","Incomplete")))</f>
        <v/>
      </c>
      <c r="H1886" s="18"/>
      <c r="I1886" s="18"/>
    </row>
    <row r="1887" customFormat="false" ht="15.75" hidden="false" customHeight="true" outlineLevel="0" collapsed="false">
      <c r="A1887" s="18"/>
      <c r="B1887" s="18"/>
      <c r="C1887" s="19"/>
      <c r="D1887" s="20"/>
      <c r="E1887" s="20"/>
      <c r="F1887" s="20"/>
      <c r="G1887" s="20" t="str">
        <f aca="false">IF(COUNTBLANK(D1887:F1887)=3,"",IF(OR(D1887="Fail",E1887="Fail",F1887="Fail"),"Fail",IF(AND(D1887="Pass",E1887="Pass",F1887="Pass"),"Pass","Incomplete")))</f>
        <v/>
      </c>
      <c r="H1887" s="18"/>
      <c r="I1887" s="18"/>
    </row>
    <row r="1888" customFormat="false" ht="15.75" hidden="false" customHeight="true" outlineLevel="0" collapsed="false">
      <c r="A1888" s="18"/>
      <c r="B1888" s="18"/>
      <c r="C1888" s="19"/>
      <c r="D1888" s="20"/>
      <c r="E1888" s="20"/>
      <c r="F1888" s="20"/>
      <c r="G1888" s="20" t="str">
        <f aca="false">IF(COUNTBLANK(D1888:F1888)=3,"",IF(OR(D1888="Fail",E1888="Fail",F1888="Fail"),"Fail",IF(AND(D1888="Pass",E1888="Pass",F1888="Pass"),"Pass","Incomplete")))</f>
        <v/>
      </c>
      <c r="H1888" s="18"/>
      <c r="I1888" s="18"/>
    </row>
    <row r="1889" customFormat="false" ht="15.75" hidden="false" customHeight="true" outlineLevel="0" collapsed="false">
      <c r="A1889" s="18"/>
      <c r="B1889" s="18"/>
      <c r="C1889" s="19"/>
      <c r="D1889" s="20"/>
      <c r="E1889" s="20"/>
      <c r="F1889" s="20"/>
      <c r="G1889" s="20" t="str">
        <f aca="false">IF(COUNTBLANK(D1889:F1889)=3,"",IF(OR(D1889="Fail",E1889="Fail",F1889="Fail"),"Fail",IF(AND(D1889="Pass",E1889="Pass",F1889="Pass"),"Pass","Incomplete")))</f>
        <v/>
      </c>
      <c r="H1889" s="18"/>
      <c r="I1889" s="18"/>
    </row>
    <row r="1890" customFormat="false" ht="15.75" hidden="false" customHeight="true" outlineLevel="0" collapsed="false">
      <c r="A1890" s="18"/>
      <c r="B1890" s="18"/>
      <c r="C1890" s="19"/>
      <c r="D1890" s="20"/>
      <c r="E1890" s="20"/>
      <c r="F1890" s="20"/>
      <c r="G1890" s="20" t="str">
        <f aca="false">IF(COUNTBLANK(D1890:F1890)=3,"",IF(OR(D1890="Fail",E1890="Fail",F1890="Fail"),"Fail",IF(AND(D1890="Pass",E1890="Pass",F1890="Pass"),"Pass","Incomplete")))</f>
        <v/>
      </c>
      <c r="H1890" s="18"/>
      <c r="I1890" s="18"/>
    </row>
    <row r="1891" customFormat="false" ht="15.75" hidden="false" customHeight="true" outlineLevel="0" collapsed="false">
      <c r="A1891" s="18"/>
      <c r="B1891" s="18"/>
      <c r="C1891" s="19"/>
      <c r="D1891" s="20"/>
      <c r="E1891" s="20"/>
      <c r="F1891" s="20"/>
      <c r="G1891" s="20" t="str">
        <f aca="false">IF(COUNTBLANK(D1891:F1891)=3,"",IF(OR(D1891="Fail",E1891="Fail",F1891="Fail"),"Fail",IF(AND(D1891="Pass",E1891="Pass",F1891="Pass"),"Pass","Incomplete")))</f>
        <v/>
      </c>
      <c r="H1891" s="18"/>
      <c r="I1891" s="18"/>
    </row>
    <row r="1892" customFormat="false" ht="15.75" hidden="false" customHeight="true" outlineLevel="0" collapsed="false">
      <c r="A1892" s="18"/>
      <c r="B1892" s="18"/>
      <c r="C1892" s="19"/>
      <c r="D1892" s="20"/>
      <c r="E1892" s="20"/>
      <c r="F1892" s="20"/>
      <c r="G1892" s="20" t="str">
        <f aca="false">IF(COUNTBLANK(D1892:F1892)=3,"",IF(OR(D1892="Fail",E1892="Fail",F1892="Fail"),"Fail",IF(AND(D1892="Pass",E1892="Pass",F1892="Pass"),"Pass","Incomplete")))</f>
        <v/>
      </c>
      <c r="H1892" s="18"/>
      <c r="I1892" s="18"/>
    </row>
    <row r="1893" customFormat="false" ht="15.75" hidden="false" customHeight="true" outlineLevel="0" collapsed="false">
      <c r="A1893" s="18"/>
      <c r="B1893" s="18"/>
      <c r="C1893" s="19"/>
      <c r="D1893" s="20"/>
      <c r="E1893" s="20"/>
      <c r="F1893" s="20"/>
      <c r="G1893" s="20" t="str">
        <f aca="false">IF(COUNTBLANK(D1893:F1893)=3,"",IF(OR(D1893="Fail",E1893="Fail",F1893="Fail"),"Fail",IF(AND(D1893="Pass",E1893="Pass",F1893="Pass"),"Pass","Incomplete")))</f>
        <v/>
      </c>
      <c r="H1893" s="18"/>
      <c r="I1893" s="18"/>
    </row>
    <row r="1894" customFormat="false" ht="15.75" hidden="false" customHeight="true" outlineLevel="0" collapsed="false">
      <c r="A1894" s="18"/>
      <c r="B1894" s="18"/>
      <c r="C1894" s="19"/>
      <c r="D1894" s="20"/>
      <c r="E1894" s="20"/>
      <c r="F1894" s="20"/>
      <c r="G1894" s="20" t="str">
        <f aca="false">IF(COUNTBLANK(D1894:F1894)=3,"",IF(OR(D1894="Fail",E1894="Fail",F1894="Fail"),"Fail",IF(AND(D1894="Pass",E1894="Pass",F1894="Pass"),"Pass","Incomplete")))</f>
        <v/>
      </c>
      <c r="H1894" s="18"/>
      <c r="I1894" s="18"/>
    </row>
    <row r="1895" customFormat="false" ht="15.75" hidden="false" customHeight="true" outlineLevel="0" collapsed="false">
      <c r="A1895" s="18"/>
      <c r="B1895" s="18"/>
      <c r="C1895" s="19"/>
      <c r="D1895" s="20"/>
      <c r="E1895" s="20"/>
      <c r="F1895" s="20"/>
      <c r="G1895" s="20" t="str">
        <f aca="false">IF(COUNTBLANK(D1895:F1895)=3,"",IF(OR(D1895="Fail",E1895="Fail",F1895="Fail"),"Fail",IF(AND(D1895="Pass",E1895="Pass",F1895="Pass"),"Pass","Incomplete")))</f>
        <v/>
      </c>
      <c r="H1895" s="18"/>
      <c r="I1895" s="18"/>
    </row>
    <row r="1896" customFormat="false" ht="15.75" hidden="false" customHeight="true" outlineLevel="0" collapsed="false">
      <c r="A1896" s="18"/>
      <c r="B1896" s="18"/>
      <c r="C1896" s="19"/>
      <c r="D1896" s="20"/>
      <c r="E1896" s="20"/>
      <c r="F1896" s="20"/>
      <c r="G1896" s="20" t="str">
        <f aca="false">IF(COUNTBLANK(D1896:F1896)=3,"",IF(OR(D1896="Fail",E1896="Fail",F1896="Fail"),"Fail",IF(AND(D1896="Pass",E1896="Pass",F1896="Pass"),"Pass","Incomplete")))</f>
        <v/>
      </c>
      <c r="H1896" s="18"/>
      <c r="I1896" s="18"/>
    </row>
    <row r="1897" customFormat="false" ht="15.75" hidden="false" customHeight="true" outlineLevel="0" collapsed="false">
      <c r="A1897" s="18"/>
      <c r="B1897" s="18"/>
      <c r="C1897" s="19"/>
      <c r="D1897" s="20"/>
      <c r="E1897" s="20"/>
      <c r="F1897" s="20"/>
      <c r="G1897" s="20" t="str">
        <f aca="false">IF(COUNTBLANK(D1897:F1897)=3,"",IF(OR(D1897="Fail",E1897="Fail",F1897="Fail"),"Fail",IF(AND(D1897="Pass",E1897="Pass",F1897="Pass"),"Pass","Incomplete")))</f>
        <v/>
      </c>
      <c r="H1897" s="18"/>
      <c r="I1897" s="18"/>
    </row>
    <row r="1898" customFormat="false" ht="15.75" hidden="false" customHeight="true" outlineLevel="0" collapsed="false">
      <c r="A1898" s="18"/>
      <c r="B1898" s="18"/>
      <c r="C1898" s="19"/>
      <c r="D1898" s="20"/>
      <c r="E1898" s="20"/>
      <c r="F1898" s="20"/>
      <c r="G1898" s="20" t="str">
        <f aca="false">IF(COUNTBLANK(D1898:F1898)=3,"",IF(OR(D1898="Fail",E1898="Fail",F1898="Fail"),"Fail",IF(AND(D1898="Pass",E1898="Pass",F1898="Pass"),"Pass","Incomplete")))</f>
        <v/>
      </c>
      <c r="H1898" s="18"/>
      <c r="I1898" s="18"/>
    </row>
    <row r="1899" customFormat="false" ht="15.75" hidden="false" customHeight="true" outlineLevel="0" collapsed="false">
      <c r="A1899" s="18"/>
      <c r="B1899" s="18"/>
      <c r="C1899" s="19"/>
      <c r="D1899" s="20"/>
      <c r="E1899" s="20"/>
      <c r="F1899" s="20"/>
      <c r="G1899" s="20" t="str">
        <f aca="false">IF(COUNTBLANK(D1899:F1899)=3,"",IF(OR(D1899="Fail",E1899="Fail",F1899="Fail"),"Fail",IF(AND(D1899="Pass",E1899="Pass",F1899="Pass"),"Pass","Incomplete")))</f>
        <v/>
      </c>
      <c r="H1899" s="18"/>
      <c r="I1899" s="18"/>
    </row>
    <row r="1900" customFormat="false" ht="15.75" hidden="false" customHeight="true" outlineLevel="0" collapsed="false">
      <c r="A1900" s="18"/>
      <c r="B1900" s="18"/>
      <c r="C1900" s="19"/>
      <c r="D1900" s="20"/>
      <c r="E1900" s="20"/>
      <c r="F1900" s="20"/>
      <c r="G1900" s="20" t="str">
        <f aca="false">IF(COUNTBLANK(D1900:F1900)=3,"",IF(OR(D1900="Fail",E1900="Fail",F1900="Fail"),"Fail",IF(AND(D1900="Pass",E1900="Pass",F1900="Pass"),"Pass","Incomplete")))</f>
        <v/>
      </c>
      <c r="H1900" s="18"/>
      <c r="I1900" s="18"/>
    </row>
    <row r="1901" customFormat="false" ht="15.75" hidden="false" customHeight="true" outlineLevel="0" collapsed="false">
      <c r="A1901" s="18"/>
      <c r="B1901" s="18"/>
      <c r="C1901" s="19"/>
      <c r="D1901" s="20"/>
      <c r="E1901" s="20"/>
      <c r="F1901" s="20"/>
      <c r="G1901" s="20" t="str">
        <f aca="false">IF(COUNTBLANK(D1901:F1901)=3,"",IF(OR(D1901="Fail",E1901="Fail",F1901="Fail"),"Fail",IF(AND(D1901="Pass",E1901="Pass",F1901="Pass"),"Pass","Incomplete")))</f>
        <v/>
      </c>
      <c r="H1901" s="18"/>
      <c r="I1901" s="18"/>
    </row>
    <row r="1902" customFormat="false" ht="15.75" hidden="false" customHeight="true" outlineLevel="0" collapsed="false">
      <c r="A1902" s="18"/>
      <c r="B1902" s="18"/>
      <c r="C1902" s="19"/>
      <c r="D1902" s="20"/>
      <c r="E1902" s="20"/>
      <c r="F1902" s="20"/>
      <c r="G1902" s="20" t="str">
        <f aca="false">IF(COUNTBLANK(D1902:F1902)=3,"",IF(OR(D1902="Fail",E1902="Fail",F1902="Fail"),"Fail",IF(AND(D1902="Pass",E1902="Pass",F1902="Pass"),"Pass","Incomplete")))</f>
        <v/>
      </c>
      <c r="H1902" s="18"/>
      <c r="I1902" s="18"/>
    </row>
    <row r="1903" customFormat="false" ht="15.75" hidden="false" customHeight="true" outlineLevel="0" collapsed="false">
      <c r="A1903" s="18"/>
      <c r="B1903" s="18"/>
      <c r="C1903" s="19"/>
      <c r="D1903" s="20"/>
      <c r="E1903" s="20"/>
      <c r="F1903" s="20"/>
      <c r="G1903" s="20" t="str">
        <f aca="false">IF(COUNTBLANK(D1903:F1903)=3,"",IF(OR(D1903="Fail",E1903="Fail",F1903="Fail"),"Fail",IF(AND(D1903="Pass",E1903="Pass",F1903="Pass"),"Pass","Incomplete")))</f>
        <v/>
      </c>
      <c r="H1903" s="18"/>
      <c r="I1903" s="18"/>
    </row>
    <row r="1904" customFormat="false" ht="15.75" hidden="false" customHeight="true" outlineLevel="0" collapsed="false">
      <c r="A1904" s="18"/>
      <c r="B1904" s="18"/>
      <c r="C1904" s="19"/>
      <c r="D1904" s="20"/>
      <c r="E1904" s="20"/>
      <c r="F1904" s="20"/>
      <c r="G1904" s="20" t="str">
        <f aca="false">IF(COUNTBLANK(D1904:F1904)=3,"",IF(OR(D1904="Fail",E1904="Fail",F1904="Fail"),"Fail",IF(AND(D1904="Pass",E1904="Pass",F1904="Pass"),"Pass","Incomplete")))</f>
        <v/>
      </c>
      <c r="H1904" s="18"/>
      <c r="I1904" s="18"/>
    </row>
    <row r="1905" customFormat="false" ht="15.75" hidden="false" customHeight="true" outlineLevel="0" collapsed="false">
      <c r="A1905" s="18"/>
      <c r="B1905" s="18"/>
      <c r="C1905" s="19"/>
      <c r="D1905" s="20"/>
      <c r="E1905" s="20"/>
      <c r="F1905" s="20"/>
      <c r="G1905" s="20" t="str">
        <f aca="false">IF(COUNTBLANK(D1905:F1905)=3,"",IF(OR(D1905="Fail",E1905="Fail",F1905="Fail"),"Fail",IF(AND(D1905="Pass",E1905="Pass",F1905="Pass"),"Pass","Incomplete")))</f>
        <v/>
      </c>
      <c r="H1905" s="18"/>
      <c r="I1905" s="18"/>
    </row>
    <row r="1906" customFormat="false" ht="15.75" hidden="false" customHeight="true" outlineLevel="0" collapsed="false">
      <c r="A1906" s="18"/>
      <c r="B1906" s="18"/>
      <c r="C1906" s="19"/>
      <c r="D1906" s="20"/>
      <c r="E1906" s="20"/>
      <c r="F1906" s="20"/>
      <c r="G1906" s="20" t="str">
        <f aca="false">IF(COUNTBLANK(D1906:F1906)=3,"",IF(OR(D1906="Fail",E1906="Fail",F1906="Fail"),"Fail",IF(AND(D1906="Pass",E1906="Pass",F1906="Pass"),"Pass","Incomplete")))</f>
        <v/>
      </c>
      <c r="H1906" s="18"/>
      <c r="I1906" s="18"/>
    </row>
    <row r="1907" customFormat="false" ht="15.75" hidden="false" customHeight="true" outlineLevel="0" collapsed="false">
      <c r="A1907" s="18"/>
      <c r="B1907" s="18"/>
      <c r="C1907" s="19"/>
      <c r="D1907" s="20"/>
      <c r="E1907" s="20"/>
      <c r="F1907" s="20"/>
      <c r="G1907" s="20" t="str">
        <f aca="false">IF(COUNTBLANK(D1907:F1907)=3,"",IF(OR(D1907="Fail",E1907="Fail",F1907="Fail"),"Fail",IF(AND(D1907="Pass",E1907="Pass",F1907="Pass"),"Pass","Incomplete")))</f>
        <v/>
      </c>
      <c r="H1907" s="18"/>
      <c r="I1907" s="18"/>
    </row>
    <row r="1908" customFormat="false" ht="15.75" hidden="false" customHeight="true" outlineLevel="0" collapsed="false">
      <c r="A1908" s="18"/>
      <c r="B1908" s="18"/>
      <c r="C1908" s="19"/>
      <c r="D1908" s="20"/>
      <c r="E1908" s="20"/>
      <c r="F1908" s="20"/>
      <c r="G1908" s="20" t="str">
        <f aca="false">IF(COUNTBLANK(D1908:F1908)=3,"",IF(OR(D1908="Fail",E1908="Fail",F1908="Fail"),"Fail",IF(AND(D1908="Pass",E1908="Pass",F1908="Pass"),"Pass","Incomplete")))</f>
        <v/>
      </c>
      <c r="H1908" s="18"/>
      <c r="I1908" s="18"/>
    </row>
    <row r="1909" customFormat="false" ht="15.75" hidden="false" customHeight="true" outlineLevel="0" collapsed="false">
      <c r="A1909" s="18"/>
      <c r="B1909" s="18"/>
      <c r="C1909" s="19"/>
      <c r="D1909" s="20"/>
      <c r="E1909" s="20"/>
      <c r="F1909" s="20"/>
      <c r="G1909" s="20" t="str">
        <f aca="false">IF(COUNTBLANK(D1909:F1909)=3,"",IF(OR(D1909="Fail",E1909="Fail",F1909="Fail"),"Fail",IF(AND(D1909="Pass",E1909="Pass",F1909="Pass"),"Pass","Incomplete")))</f>
        <v/>
      </c>
      <c r="H1909" s="18"/>
      <c r="I1909" s="18"/>
    </row>
    <row r="1910" customFormat="false" ht="15.75" hidden="false" customHeight="true" outlineLevel="0" collapsed="false">
      <c r="A1910" s="18"/>
      <c r="B1910" s="18"/>
      <c r="C1910" s="19"/>
      <c r="D1910" s="20"/>
      <c r="E1910" s="20"/>
      <c r="F1910" s="20"/>
      <c r="G1910" s="20" t="str">
        <f aca="false">IF(COUNTBLANK(D1910:F1910)=3,"",IF(OR(D1910="Fail",E1910="Fail",F1910="Fail"),"Fail",IF(AND(D1910="Pass",E1910="Pass",F1910="Pass"),"Pass","Incomplete")))</f>
        <v/>
      </c>
      <c r="H1910" s="18"/>
      <c r="I1910" s="18"/>
    </row>
    <row r="1911" customFormat="false" ht="15.75" hidden="false" customHeight="true" outlineLevel="0" collapsed="false">
      <c r="A1911" s="18"/>
      <c r="B1911" s="18"/>
      <c r="C1911" s="19"/>
      <c r="D1911" s="20"/>
      <c r="E1911" s="20"/>
      <c r="F1911" s="20"/>
      <c r="G1911" s="20" t="str">
        <f aca="false">IF(COUNTBLANK(D1911:F1911)=3,"",IF(OR(D1911="Fail",E1911="Fail",F1911="Fail"),"Fail",IF(AND(D1911="Pass",E1911="Pass",F1911="Pass"),"Pass","Incomplete")))</f>
        <v/>
      </c>
      <c r="H1911" s="18"/>
      <c r="I1911" s="18"/>
    </row>
    <row r="1912" customFormat="false" ht="15.75" hidden="false" customHeight="true" outlineLevel="0" collapsed="false">
      <c r="A1912" s="18"/>
      <c r="B1912" s="18"/>
      <c r="C1912" s="19"/>
      <c r="D1912" s="20"/>
      <c r="E1912" s="20"/>
      <c r="F1912" s="20"/>
      <c r="G1912" s="20" t="str">
        <f aca="false">IF(COUNTBLANK(D1912:F1912)=3,"",IF(OR(D1912="Fail",E1912="Fail",F1912="Fail"),"Fail",IF(AND(D1912="Pass",E1912="Pass",F1912="Pass"),"Pass","Incomplete")))</f>
        <v/>
      </c>
      <c r="H1912" s="18"/>
      <c r="I1912" s="18"/>
    </row>
    <row r="1913" customFormat="false" ht="15.75" hidden="false" customHeight="true" outlineLevel="0" collapsed="false">
      <c r="A1913" s="18"/>
      <c r="B1913" s="18"/>
      <c r="C1913" s="19"/>
      <c r="D1913" s="20"/>
      <c r="E1913" s="20"/>
      <c r="F1913" s="20"/>
      <c r="G1913" s="20" t="str">
        <f aca="false">IF(COUNTBLANK(D1913:F1913)=3,"",IF(OR(D1913="Fail",E1913="Fail",F1913="Fail"),"Fail",IF(AND(D1913="Pass",E1913="Pass",F1913="Pass"),"Pass","Incomplete")))</f>
        <v/>
      </c>
      <c r="H1913" s="18"/>
      <c r="I1913" s="18"/>
    </row>
    <row r="1914" customFormat="false" ht="15.75" hidden="false" customHeight="true" outlineLevel="0" collapsed="false">
      <c r="A1914" s="18"/>
      <c r="B1914" s="18"/>
      <c r="C1914" s="19"/>
      <c r="D1914" s="20"/>
      <c r="E1914" s="20"/>
      <c r="F1914" s="20"/>
      <c r="G1914" s="20" t="str">
        <f aca="false">IF(COUNTBLANK(D1914:F1914)=3,"",IF(OR(D1914="Fail",E1914="Fail",F1914="Fail"),"Fail",IF(AND(D1914="Pass",E1914="Pass",F1914="Pass"),"Pass","Incomplete")))</f>
        <v/>
      </c>
      <c r="H1914" s="18"/>
      <c r="I1914" s="18"/>
    </row>
    <row r="1915" customFormat="false" ht="15.75" hidden="false" customHeight="true" outlineLevel="0" collapsed="false">
      <c r="A1915" s="18"/>
      <c r="B1915" s="18"/>
      <c r="C1915" s="19"/>
      <c r="D1915" s="20"/>
      <c r="E1915" s="20"/>
      <c r="F1915" s="20"/>
      <c r="G1915" s="20" t="str">
        <f aca="false">IF(COUNTBLANK(D1915:F1915)=3,"",IF(OR(D1915="Fail",E1915="Fail",F1915="Fail"),"Fail",IF(AND(D1915="Pass",E1915="Pass",F1915="Pass"),"Pass","Incomplete")))</f>
        <v/>
      </c>
      <c r="H1915" s="18"/>
      <c r="I1915" s="18"/>
    </row>
    <row r="1916" customFormat="false" ht="15.75" hidden="false" customHeight="true" outlineLevel="0" collapsed="false">
      <c r="A1916" s="18"/>
      <c r="B1916" s="18"/>
      <c r="C1916" s="19"/>
      <c r="D1916" s="20"/>
      <c r="E1916" s="20"/>
      <c r="F1916" s="20"/>
      <c r="G1916" s="20" t="str">
        <f aca="false">IF(COUNTBLANK(D1916:F1916)=3,"",IF(OR(D1916="Fail",E1916="Fail",F1916="Fail"),"Fail",IF(AND(D1916="Pass",E1916="Pass",F1916="Pass"),"Pass","Incomplete")))</f>
        <v/>
      </c>
      <c r="H1916" s="18"/>
      <c r="I1916" s="18"/>
    </row>
    <row r="1917" customFormat="false" ht="15.75" hidden="false" customHeight="true" outlineLevel="0" collapsed="false">
      <c r="A1917" s="18"/>
      <c r="B1917" s="18"/>
      <c r="C1917" s="19"/>
      <c r="D1917" s="20"/>
      <c r="E1917" s="20"/>
      <c r="F1917" s="20"/>
      <c r="G1917" s="20" t="str">
        <f aca="false">IF(COUNTBLANK(D1917:F1917)=3,"",IF(OR(D1917="Fail",E1917="Fail",F1917="Fail"),"Fail",IF(AND(D1917="Pass",E1917="Pass",F1917="Pass"),"Pass","Incomplete")))</f>
        <v/>
      </c>
      <c r="H1917" s="18"/>
      <c r="I1917" s="18"/>
    </row>
    <row r="1918" customFormat="false" ht="15.75" hidden="false" customHeight="true" outlineLevel="0" collapsed="false">
      <c r="A1918" s="18"/>
      <c r="B1918" s="18"/>
      <c r="C1918" s="19"/>
      <c r="D1918" s="20"/>
      <c r="E1918" s="20"/>
      <c r="F1918" s="20"/>
      <c r="G1918" s="20" t="str">
        <f aca="false">IF(COUNTBLANK(D1918:F1918)=3,"",IF(OR(D1918="Fail",E1918="Fail",F1918="Fail"),"Fail",IF(AND(D1918="Pass",E1918="Pass",F1918="Pass"),"Pass","Incomplete")))</f>
        <v/>
      </c>
      <c r="H1918" s="18"/>
      <c r="I1918" s="18"/>
    </row>
    <row r="1919" customFormat="false" ht="15.75" hidden="false" customHeight="true" outlineLevel="0" collapsed="false">
      <c r="A1919" s="18"/>
      <c r="B1919" s="18"/>
      <c r="C1919" s="19"/>
      <c r="D1919" s="20"/>
      <c r="E1919" s="20"/>
      <c r="F1919" s="20"/>
      <c r="G1919" s="20" t="str">
        <f aca="false">IF(COUNTBLANK(D1919:F1919)=3,"",IF(OR(D1919="Fail",E1919="Fail",F1919="Fail"),"Fail",IF(AND(D1919="Pass",E1919="Pass",F1919="Pass"),"Pass","Incomplete")))</f>
        <v/>
      </c>
      <c r="H1919" s="18"/>
      <c r="I1919" s="18"/>
    </row>
    <row r="1920" customFormat="false" ht="15.75" hidden="false" customHeight="true" outlineLevel="0" collapsed="false">
      <c r="A1920" s="18"/>
      <c r="B1920" s="18"/>
      <c r="C1920" s="19"/>
      <c r="D1920" s="20"/>
      <c r="E1920" s="20"/>
      <c r="F1920" s="20"/>
      <c r="G1920" s="20" t="str">
        <f aca="false">IF(COUNTBLANK(D1920:F1920)=3,"",IF(OR(D1920="Fail",E1920="Fail",F1920="Fail"),"Fail",IF(AND(D1920="Pass",E1920="Pass",F1920="Pass"),"Pass","Incomplete")))</f>
        <v/>
      </c>
      <c r="H1920" s="18"/>
      <c r="I1920" s="18"/>
    </row>
    <row r="1921" customFormat="false" ht="15.75" hidden="false" customHeight="true" outlineLevel="0" collapsed="false">
      <c r="A1921" s="18"/>
      <c r="B1921" s="18"/>
      <c r="C1921" s="19"/>
      <c r="D1921" s="20"/>
      <c r="E1921" s="20"/>
      <c r="F1921" s="20"/>
      <c r="G1921" s="20" t="str">
        <f aca="false">IF(COUNTBLANK(D1921:F1921)=3,"",IF(OR(D1921="Fail",E1921="Fail",F1921="Fail"),"Fail",IF(AND(D1921="Pass",E1921="Pass",F1921="Pass"),"Pass","Incomplete")))</f>
        <v/>
      </c>
      <c r="H1921" s="18"/>
      <c r="I1921" s="18"/>
    </row>
    <row r="1922" customFormat="false" ht="15.75" hidden="false" customHeight="true" outlineLevel="0" collapsed="false">
      <c r="A1922" s="18"/>
      <c r="B1922" s="18"/>
      <c r="C1922" s="19"/>
      <c r="D1922" s="20"/>
      <c r="E1922" s="20"/>
      <c r="F1922" s="20"/>
      <c r="G1922" s="20" t="str">
        <f aca="false">IF(COUNTBLANK(D1922:F1922)=3,"",IF(OR(D1922="Fail",E1922="Fail",F1922="Fail"),"Fail",IF(AND(D1922="Pass",E1922="Pass",F1922="Pass"),"Pass","Incomplete")))</f>
        <v/>
      </c>
      <c r="H1922" s="18"/>
      <c r="I1922" s="18"/>
    </row>
    <row r="1923" customFormat="false" ht="15.75" hidden="false" customHeight="true" outlineLevel="0" collapsed="false">
      <c r="A1923" s="18"/>
      <c r="B1923" s="18"/>
      <c r="C1923" s="19"/>
      <c r="D1923" s="20"/>
      <c r="E1923" s="20"/>
      <c r="F1923" s="20"/>
      <c r="G1923" s="20" t="str">
        <f aca="false">IF(COUNTBLANK(D1923:F1923)=3,"",IF(OR(D1923="Fail",E1923="Fail",F1923="Fail"),"Fail",IF(AND(D1923="Pass",E1923="Pass",F1923="Pass"),"Pass","Incomplete")))</f>
        <v/>
      </c>
      <c r="H1923" s="18"/>
      <c r="I1923" s="18"/>
    </row>
    <row r="1924" customFormat="false" ht="15.75" hidden="false" customHeight="true" outlineLevel="0" collapsed="false">
      <c r="A1924" s="18"/>
      <c r="B1924" s="18"/>
      <c r="C1924" s="19"/>
      <c r="D1924" s="20"/>
      <c r="E1924" s="20"/>
      <c r="F1924" s="20"/>
      <c r="G1924" s="20" t="str">
        <f aca="false">IF(COUNTBLANK(D1924:F1924)=3,"",IF(OR(D1924="Fail",E1924="Fail",F1924="Fail"),"Fail",IF(AND(D1924="Pass",E1924="Pass",F1924="Pass"),"Pass","Incomplete")))</f>
        <v/>
      </c>
      <c r="H1924" s="18"/>
      <c r="I1924" s="18"/>
    </row>
    <row r="1925" customFormat="false" ht="15.75" hidden="false" customHeight="true" outlineLevel="0" collapsed="false">
      <c r="A1925" s="18"/>
      <c r="B1925" s="18"/>
      <c r="C1925" s="19"/>
      <c r="D1925" s="20"/>
      <c r="E1925" s="20"/>
      <c r="F1925" s="20"/>
      <c r="G1925" s="20" t="str">
        <f aca="false">IF(COUNTBLANK(D1925:F1925)=3,"",IF(OR(D1925="Fail",E1925="Fail",F1925="Fail"),"Fail",IF(AND(D1925="Pass",E1925="Pass",F1925="Pass"),"Pass","Incomplete")))</f>
        <v/>
      </c>
      <c r="H1925" s="18"/>
      <c r="I1925" s="18"/>
    </row>
    <row r="1926" customFormat="false" ht="15.75" hidden="false" customHeight="true" outlineLevel="0" collapsed="false">
      <c r="A1926" s="18"/>
      <c r="B1926" s="18"/>
      <c r="C1926" s="19"/>
      <c r="D1926" s="20"/>
      <c r="E1926" s="20"/>
      <c r="F1926" s="20"/>
      <c r="G1926" s="20" t="str">
        <f aca="false">IF(COUNTBLANK(D1926:F1926)=3,"",IF(OR(D1926="Fail",E1926="Fail",F1926="Fail"),"Fail",IF(AND(D1926="Pass",E1926="Pass",F1926="Pass"),"Pass","Incomplete")))</f>
        <v/>
      </c>
      <c r="H1926" s="18"/>
      <c r="I1926" s="18"/>
    </row>
    <row r="1927" customFormat="false" ht="15.75" hidden="false" customHeight="true" outlineLevel="0" collapsed="false">
      <c r="A1927" s="18"/>
      <c r="B1927" s="18"/>
      <c r="C1927" s="19"/>
      <c r="D1927" s="20"/>
      <c r="E1927" s="20"/>
      <c r="F1927" s="20"/>
      <c r="G1927" s="20" t="str">
        <f aca="false">IF(COUNTBLANK(D1927:F1927)=3,"",IF(OR(D1927="Fail",E1927="Fail",F1927="Fail"),"Fail",IF(AND(D1927="Pass",E1927="Pass",F1927="Pass"),"Pass","Incomplete")))</f>
        <v/>
      </c>
      <c r="H1927" s="18"/>
      <c r="I1927" s="18"/>
    </row>
    <row r="1928" customFormat="false" ht="15.75" hidden="false" customHeight="true" outlineLevel="0" collapsed="false">
      <c r="A1928" s="18"/>
      <c r="B1928" s="18"/>
      <c r="C1928" s="19"/>
      <c r="D1928" s="20"/>
      <c r="E1928" s="20"/>
      <c r="F1928" s="20"/>
      <c r="G1928" s="20" t="str">
        <f aca="false">IF(COUNTBLANK(D1928:F1928)=3,"",IF(OR(D1928="Fail",E1928="Fail",F1928="Fail"),"Fail",IF(AND(D1928="Pass",E1928="Pass",F1928="Pass"),"Pass","Incomplete")))</f>
        <v/>
      </c>
      <c r="H1928" s="18"/>
      <c r="I1928" s="18"/>
    </row>
    <row r="1929" customFormat="false" ht="15.75" hidden="false" customHeight="true" outlineLevel="0" collapsed="false">
      <c r="A1929" s="18"/>
      <c r="B1929" s="18"/>
      <c r="C1929" s="19"/>
      <c r="D1929" s="20"/>
      <c r="E1929" s="20"/>
      <c r="F1929" s="20"/>
      <c r="G1929" s="20" t="str">
        <f aca="false">IF(COUNTBLANK(D1929:F1929)=3,"",IF(OR(D1929="Fail",E1929="Fail",F1929="Fail"),"Fail",IF(AND(D1929="Pass",E1929="Pass",F1929="Pass"),"Pass","Incomplete")))</f>
        <v/>
      </c>
      <c r="H1929" s="18"/>
      <c r="I1929" s="18"/>
    </row>
    <row r="1930" customFormat="false" ht="15.75" hidden="false" customHeight="true" outlineLevel="0" collapsed="false">
      <c r="A1930" s="18"/>
      <c r="B1930" s="18"/>
      <c r="C1930" s="19"/>
      <c r="D1930" s="20"/>
      <c r="E1930" s="20"/>
      <c r="F1930" s="20"/>
      <c r="G1930" s="20" t="str">
        <f aca="false">IF(COUNTBLANK(D1930:F1930)=3,"",IF(OR(D1930="Fail",E1930="Fail",F1930="Fail"),"Fail",IF(AND(D1930="Pass",E1930="Pass",F1930="Pass"),"Pass","Incomplete")))</f>
        <v/>
      </c>
      <c r="H1930" s="18"/>
      <c r="I1930" s="18"/>
    </row>
    <row r="1931" customFormat="false" ht="15.75" hidden="false" customHeight="true" outlineLevel="0" collapsed="false">
      <c r="A1931" s="18"/>
      <c r="B1931" s="18"/>
      <c r="C1931" s="19"/>
      <c r="D1931" s="20"/>
      <c r="E1931" s="20"/>
      <c r="F1931" s="20"/>
      <c r="G1931" s="20" t="str">
        <f aca="false">IF(COUNTBLANK(D1931:F1931)=3,"",IF(OR(D1931="Fail",E1931="Fail",F1931="Fail"),"Fail",IF(AND(D1931="Pass",E1931="Pass",F1931="Pass"),"Pass","Incomplete")))</f>
        <v/>
      </c>
      <c r="H1931" s="18"/>
      <c r="I1931" s="18"/>
    </row>
    <row r="1932" customFormat="false" ht="15.75" hidden="false" customHeight="true" outlineLevel="0" collapsed="false">
      <c r="A1932" s="18"/>
      <c r="B1932" s="18"/>
      <c r="C1932" s="19"/>
      <c r="D1932" s="20"/>
      <c r="E1932" s="20"/>
      <c r="F1932" s="20"/>
      <c r="G1932" s="20" t="str">
        <f aca="false">IF(COUNTBLANK(D1932:F1932)=3,"",IF(OR(D1932="Fail",E1932="Fail",F1932="Fail"),"Fail",IF(AND(D1932="Pass",E1932="Pass",F1932="Pass"),"Pass","Incomplete")))</f>
        <v/>
      </c>
      <c r="H1932" s="18"/>
      <c r="I1932" s="18"/>
    </row>
    <row r="1933" customFormat="false" ht="15.75" hidden="false" customHeight="true" outlineLevel="0" collapsed="false">
      <c r="A1933" s="18"/>
      <c r="B1933" s="18"/>
      <c r="C1933" s="19"/>
      <c r="D1933" s="20"/>
      <c r="E1933" s="20"/>
      <c r="F1933" s="20"/>
      <c r="G1933" s="20" t="str">
        <f aca="false">IF(COUNTBLANK(D1933:F1933)=3,"",IF(OR(D1933="Fail",E1933="Fail",F1933="Fail"),"Fail",IF(AND(D1933="Pass",E1933="Pass",F1933="Pass"),"Pass","Incomplete")))</f>
        <v/>
      </c>
      <c r="H1933" s="18"/>
      <c r="I1933" s="18"/>
    </row>
    <row r="1934" customFormat="false" ht="15.75" hidden="false" customHeight="true" outlineLevel="0" collapsed="false">
      <c r="A1934" s="18"/>
      <c r="B1934" s="18"/>
      <c r="C1934" s="19"/>
      <c r="D1934" s="20"/>
      <c r="E1934" s="20"/>
      <c r="F1934" s="20"/>
      <c r="G1934" s="20" t="str">
        <f aca="false">IF(COUNTBLANK(D1934:F1934)=3,"",IF(OR(D1934="Fail",E1934="Fail",F1934="Fail"),"Fail",IF(AND(D1934="Pass",E1934="Pass",F1934="Pass"),"Pass","Incomplete")))</f>
        <v/>
      </c>
      <c r="H1934" s="18"/>
      <c r="I1934" s="18"/>
    </row>
    <row r="1935" customFormat="false" ht="15.75" hidden="false" customHeight="true" outlineLevel="0" collapsed="false">
      <c r="A1935" s="18"/>
      <c r="B1935" s="18"/>
      <c r="C1935" s="19"/>
      <c r="D1935" s="20"/>
      <c r="E1935" s="20"/>
      <c r="F1935" s="20"/>
      <c r="G1935" s="20" t="str">
        <f aca="false">IF(COUNTBLANK(D1935:F1935)=3,"",IF(OR(D1935="Fail",E1935="Fail",F1935="Fail"),"Fail",IF(AND(D1935="Pass",E1935="Pass",F1935="Pass"),"Pass","Incomplete")))</f>
        <v/>
      </c>
      <c r="H1935" s="18"/>
      <c r="I1935" s="18"/>
    </row>
    <row r="1936" customFormat="false" ht="15.75" hidden="false" customHeight="true" outlineLevel="0" collapsed="false">
      <c r="A1936" s="18"/>
      <c r="B1936" s="18"/>
      <c r="C1936" s="19"/>
      <c r="D1936" s="20"/>
      <c r="E1936" s="20"/>
      <c r="F1936" s="20"/>
      <c r="G1936" s="20" t="str">
        <f aca="false">IF(COUNTBLANK(D1936:F1936)=3,"",IF(OR(D1936="Fail",E1936="Fail",F1936="Fail"),"Fail",IF(AND(D1936="Pass",E1936="Pass",F1936="Pass"),"Pass","Incomplete")))</f>
        <v/>
      </c>
      <c r="H1936" s="18"/>
      <c r="I1936" s="18"/>
    </row>
    <row r="1937" customFormat="false" ht="15.75" hidden="false" customHeight="true" outlineLevel="0" collapsed="false">
      <c r="A1937" s="18"/>
      <c r="B1937" s="18"/>
      <c r="C1937" s="19"/>
      <c r="D1937" s="20"/>
      <c r="E1937" s="20"/>
      <c r="F1937" s="20"/>
      <c r="G1937" s="20" t="str">
        <f aca="false">IF(COUNTBLANK(D1937:F1937)=3,"",IF(OR(D1937="Fail",E1937="Fail",F1937="Fail"),"Fail",IF(AND(D1937="Pass",E1937="Pass",F1937="Pass"),"Pass","Incomplete")))</f>
        <v/>
      </c>
      <c r="H1937" s="18"/>
      <c r="I1937" s="18"/>
    </row>
    <row r="1938" customFormat="false" ht="15.75" hidden="false" customHeight="true" outlineLevel="0" collapsed="false">
      <c r="A1938" s="18"/>
      <c r="B1938" s="18"/>
      <c r="C1938" s="19"/>
      <c r="D1938" s="20"/>
      <c r="E1938" s="20"/>
      <c r="F1938" s="20"/>
      <c r="G1938" s="20" t="str">
        <f aca="false">IF(COUNTBLANK(D1938:F1938)=3,"",IF(OR(D1938="Fail",E1938="Fail",F1938="Fail"),"Fail",IF(AND(D1938="Pass",E1938="Pass",F1938="Pass"),"Pass","Incomplete")))</f>
        <v/>
      </c>
      <c r="H1938" s="18"/>
      <c r="I1938" s="18"/>
    </row>
    <row r="1939" customFormat="false" ht="15.75" hidden="false" customHeight="true" outlineLevel="0" collapsed="false">
      <c r="A1939" s="18"/>
      <c r="B1939" s="18"/>
      <c r="C1939" s="19"/>
      <c r="D1939" s="20"/>
      <c r="E1939" s="20"/>
      <c r="F1939" s="20"/>
      <c r="G1939" s="20" t="str">
        <f aca="false">IF(COUNTBLANK(D1939:F1939)=3,"",IF(OR(D1939="Fail",E1939="Fail",F1939="Fail"),"Fail",IF(AND(D1939="Pass",E1939="Pass",F1939="Pass"),"Pass","Incomplete")))</f>
        <v/>
      </c>
      <c r="H1939" s="18"/>
      <c r="I1939" s="18"/>
    </row>
    <row r="1940" customFormat="false" ht="15.75" hidden="false" customHeight="true" outlineLevel="0" collapsed="false">
      <c r="A1940" s="18"/>
      <c r="B1940" s="18"/>
      <c r="C1940" s="19"/>
      <c r="D1940" s="20"/>
      <c r="E1940" s="20"/>
      <c r="F1940" s="20"/>
      <c r="G1940" s="20" t="str">
        <f aca="false">IF(COUNTBLANK(D1940:F1940)=3,"",IF(OR(D1940="Fail",E1940="Fail",F1940="Fail"),"Fail",IF(AND(D1940="Pass",E1940="Pass",F1940="Pass"),"Pass","Incomplete")))</f>
        <v/>
      </c>
      <c r="H1940" s="18"/>
      <c r="I1940" s="18"/>
    </row>
    <row r="1941" customFormat="false" ht="15.75" hidden="false" customHeight="true" outlineLevel="0" collapsed="false">
      <c r="A1941" s="18"/>
      <c r="B1941" s="18"/>
      <c r="C1941" s="19"/>
      <c r="D1941" s="20"/>
      <c r="E1941" s="20"/>
      <c r="F1941" s="20"/>
      <c r="G1941" s="20" t="str">
        <f aca="false">IF(COUNTBLANK(D1941:F1941)=3,"",IF(OR(D1941="Fail",E1941="Fail",F1941="Fail"),"Fail",IF(AND(D1941="Pass",E1941="Pass",F1941="Pass"),"Pass","Incomplete")))</f>
        <v/>
      </c>
      <c r="H1941" s="18"/>
      <c r="I1941" s="18"/>
    </row>
    <row r="1942" customFormat="false" ht="15.75" hidden="false" customHeight="true" outlineLevel="0" collapsed="false">
      <c r="A1942" s="18"/>
      <c r="B1942" s="18"/>
      <c r="C1942" s="19"/>
      <c r="D1942" s="20"/>
      <c r="E1942" s="20"/>
      <c r="F1942" s="20"/>
      <c r="G1942" s="20" t="str">
        <f aca="false">IF(COUNTBLANK(D1942:F1942)=3,"",IF(OR(D1942="Fail",E1942="Fail",F1942="Fail"),"Fail",IF(AND(D1942="Pass",E1942="Pass",F1942="Pass"),"Pass","Incomplete")))</f>
        <v/>
      </c>
      <c r="H1942" s="18"/>
      <c r="I1942" s="18"/>
    </row>
    <row r="1943" customFormat="false" ht="15.75" hidden="false" customHeight="true" outlineLevel="0" collapsed="false">
      <c r="A1943" s="18"/>
      <c r="B1943" s="18"/>
      <c r="C1943" s="19"/>
      <c r="D1943" s="20"/>
      <c r="E1943" s="20"/>
      <c r="F1943" s="20"/>
      <c r="G1943" s="20" t="str">
        <f aca="false">IF(COUNTBLANK(D1943:F1943)=3,"",IF(OR(D1943="Fail",E1943="Fail",F1943="Fail"),"Fail",IF(AND(D1943="Pass",E1943="Pass",F1943="Pass"),"Pass","Incomplete")))</f>
        <v/>
      </c>
      <c r="H1943" s="18"/>
      <c r="I1943" s="18"/>
    </row>
    <row r="1944" customFormat="false" ht="15.75" hidden="false" customHeight="true" outlineLevel="0" collapsed="false">
      <c r="A1944" s="18"/>
      <c r="B1944" s="18"/>
      <c r="C1944" s="19"/>
      <c r="D1944" s="20"/>
      <c r="E1944" s="20"/>
      <c r="F1944" s="20"/>
      <c r="G1944" s="20" t="str">
        <f aca="false">IF(COUNTBLANK(D1944:F1944)=3,"",IF(OR(D1944="Fail",E1944="Fail",F1944="Fail"),"Fail",IF(AND(D1944="Pass",E1944="Pass",F1944="Pass"),"Pass","Incomplete")))</f>
        <v/>
      </c>
      <c r="H1944" s="18"/>
      <c r="I1944" s="18"/>
    </row>
    <row r="1945" customFormat="false" ht="15.75" hidden="false" customHeight="true" outlineLevel="0" collapsed="false">
      <c r="A1945" s="18"/>
      <c r="B1945" s="18"/>
      <c r="C1945" s="19"/>
      <c r="D1945" s="20"/>
      <c r="E1945" s="20"/>
      <c r="F1945" s="20"/>
      <c r="G1945" s="20" t="str">
        <f aca="false">IF(COUNTBLANK(D1945:F1945)=3,"",IF(OR(D1945="Fail",E1945="Fail",F1945="Fail"),"Fail",IF(AND(D1945="Pass",E1945="Pass",F1945="Pass"),"Pass","Incomplete")))</f>
        <v/>
      </c>
      <c r="H1945" s="18"/>
      <c r="I1945" s="18"/>
    </row>
    <row r="1946" customFormat="false" ht="15.75" hidden="false" customHeight="true" outlineLevel="0" collapsed="false">
      <c r="A1946" s="18"/>
      <c r="B1946" s="18"/>
      <c r="C1946" s="19"/>
      <c r="D1946" s="20"/>
      <c r="E1946" s="20"/>
      <c r="F1946" s="20"/>
      <c r="G1946" s="20" t="str">
        <f aca="false">IF(COUNTBLANK(D1946:F1946)=3,"",IF(OR(D1946="Fail",E1946="Fail",F1946="Fail"),"Fail",IF(AND(D1946="Pass",E1946="Pass",F1946="Pass"),"Pass","Incomplete")))</f>
        <v/>
      </c>
      <c r="H1946" s="18"/>
      <c r="I1946" s="18"/>
    </row>
    <row r="1947" customFormat="false" ht="15.75" hidden="false" customHeight="true" outlineLevel="0" collapsed="false">
      <c r="A1947" s="18"/>
      <c r="B1947" s="18"/>
      <c r="C1947" s="19"/>
      <c r="D1947" s="20"/>
      <c r="E1947" s="20"/>
      <c r="F1947" s="20"/>
      <c r="G1947" s="20" t="str">
        <f aca="false">IF(COUNTBLANK(D1947:F1947)=3,"",IF(OR(D1947="Fail",E1947="Fail",F1947="Fail"),"Fail",IF(AND(D1947="Pass",E1947="Pass",F1947="Pass"),"Pass","Incomplete")))</f>
        <v/>
      </c>
      <c r="H1947" s="18"/>
      <c r="I1947" s="18"/>
    </row>
    <row r="1948" customFormat="false" ht="15.75" hidden="false" customHeight="true" outlineLevel="0" collapsed="false">
      <c r="A1948" s="18"/>
      <c r="B1948" s="18"/>
      <c r="C1948" s="19"/>
      <c r="D1948" s="20"/>
      <c r="E1948" s="20"/>
      <c r="F1948" s="20"/>
      <c r="G1948" s="20" t="str">
        <f aca="false">IF(COUNTBLANK(D1948:F1948)=3,"",IF(OR(D1948="Fail",E1948="Fail",F1948="Fail"),"Fail",IF(AND(D1948="Pass",E1948="Pass",F1948="Pass"),"Pass","Incomplete")))</f>
        <v/>
      </c>
      <c r="H1948" s="18"/>
      <c r="I1948" s="18"/>
    </row>
    <row r="1949" customFormat="false" ht="15.75" hidden="false" customHeight="true" outlineLevel="0" collapsed="false">
      <c r="A1949" s="18"/>
      <c r="B1949" s="18"/>
      <c r="C1949" s="19"/>
      <c r="D1949" s="20"/>
      <c r="E1949" s="20"/>
      <c r="F1949" s="20"/>
      <c r="G1949" s="20" t="str">
        <f aca="false">IF(COUNTBLANK(D1949:F1949)=3,"",IF(OR(D1949="Fail",E1949="Fail",F1949="Fail"),"Fail",IF(AND(D1949="Pass",E1949="Pass",F1949="Pass"),"Pass","Incomplete")))</f>
        <v/>
      </c>
      <c r="H1949" s="18"/>
      <c r="I1949" s="18"/>
    </row>
    <row r="1950" customFormat="false" ht="15.75" hidden="false" customHeight="true" outlineLevel="0" collapsed="false">
      <c r="A1950" s="18"/>
      <c r="B1950" s="18"/>
      <c r="C1950" s="19"/>
      <c r="D1950" s="20"/>
      <c r="E1950" s="20"/>
      <c r="F1950" s="20"/>
      <c r="G1950" s="20" t="str">
        <f aca="false">IF(COUNTBLANK(D1950:F1950)=3,"",IF(OR(D1950="Fail",E1950="Fail",F1950="Fail"),"Fail",IF(AND(D1950="Pass",E1950="Pass",F1950="Pass"),"Pass","Incomplete")))</f>
        <v/>
      </c>
      <c r="H1950" s="18"/>
      <c r="I1950" s="18"/>
    </row>
    <row r="1951" customFormat="false" ht="15.75" hidden="false" customHeight="true" outlineLevel="0" collapsed="false">
      <c r="A1951" s="18"/>
      <c r="B1951" s="18"/>
      <c r="C1951" s="19"/>
      <c r="D1951" s="20"/>
      <c r="E1951" s="20"/>
      <c r="F1951" s="20"/>
      <c r="G1951" s="20" t="str">
        <f aca="false">IF(COUNTBLANK(D1951:F1951)=3,"",IF(OR(D1951="Fail",E1951="Fail",F1951="Fail"),"Fail",IF(AND(D1951="Pass",E1951="Pass",F1951="Pass"),"Pass","Incomplete")))</f>
        <v/>
      </c>
      <c r="H1951" s="18"/>
      <c r="I1951" s="18"/>
    </row>
    <row r="1952" customFormat="false" ht="15.75" hidden="false" customHeight="true" outlineLevel="0" collapsed="false">
      <c r="A1952" s="18"/>
      <c r="B1952" s="18"/>
      <c r="C1952" s="19"/>
      <c r="D1952" s="20"/>
      <c r="E1952" s="20"/>
      <c r="F1952" s="20"/>
      <c r="G1952" s="20" t="str">
        <f aca="false">IF(COUNTBLANK(D1952:F1952)=3,"",IF(OR(D1952="Fail",E1952="Fail",F1952="Fail"),"Fail",IF(AND(D1952="Pass",E1952="Pass",F1952="Pass"),"Pass","Incomplete")))</f>
        <v/>
      </c>
      <c r="H1952" s="18"/>
      <c r="I1952" s="18"/>
    </row>
    <row r="1953" customFormat="false" ht="15.75" hidden="false" customHeight="true" outlineLevel="0" collapsed="false">
      <c r="A1953" s="18"/>
      <c r="B1953" s="18"/>
      <c r="C1953" s="19"/>
      <c r="D1953" s="20"/>
      <c r="E1953" s="20"/>
      <c r="F1953" s="20"/>
      <c r="G1953" s="20" t="str">
        <f aca="false">IF(COUNTBLANK(D1953:F1953)=3,"",IF(OR(D1953="Fail",E1953="Fail",F1953="Fail"),"Fail",IF(AND(D1953="Pass",E1953="Pass",F1953="Pass"),"Pass","Incomplete")))</f>
        <v/>
      </c>
      <c r="H1953" s="18"/>
      <c r="I1953" s="18"/>
    </row>
    <row r="1954" customFormat="false" ht="15.75" hidden="false" customHeight="true" outlineLevel="0" collapsed="false">
      <c r="A1954" s="18"/>
      <c r="B1954" s="18"/>
      <c r="C1954" s="19"/>
      <c r="D1954" s="20"/>
      <c r="E1954" s="20"/>
      <c r="F1954" s="20"/>
      <c r="G1954" s="20" t="str">
        <f aca="false">IF(COUNTBLANK(D1954:F1954)=3,"",IF(OR(D1954="Fail",E1954="Fail",F1954="Fail"),"Fail",IF(AND(D1954="Pass",E1954="Pass",F1954="Pass"),"Pass","Incomplete")))</f>
        <v/>
      </c>
      <c r="H1954" s="18"/>
      <c r="I1954" s="18"/>
    </row>
    <row r="1955" customFormat="false" ht="15.75" hidden="false" customHeight="true" outlineLevel="0" collapsed="false">
      <c r="A1955" s="18"/>
      <c r="B1955" s="18"/>
      <c r="C1955" s="19"/>
      <c r="D1955" s="20"/>
      <c r="E1955" s="20"/>
      <c r="F1955" s="20"/>
      <c r="G1955" s="20" t="str">
        <f aca="false">IF(COUNTBLANK(D1955:F1955)=3,"",IF(OR(D1955="Fail",E1955="Fail",F1955="Fail"),"Fail",IF(AND(D1955="Pass",E1955="Pass",F1955="Pass"),"Pass","Incomplete")))</f>
        <v/>
      </c>
      <c r="H1955" s="18"/>
      <c r="I1955" s="18"/>
    </row>
    <row r="1956" customFormat="false" ht="15.75" hidden="false" customHeight="true" outlineLevel="0" collapsed="false">
      <c r="A1956" s="18"/>
      <c r="B1956" s="18"/>
      <c r="C1956" s="19"/>
      <c r="D1956" s="20"/>
      <c r="E1956" s="20"/>
      <c r="F1956" s="20"/>
      <c r="G1956" s="20" t="str">
        <f aca="false">IF(COUNTBLANK(D1956:F1956)=3,"",IF(OR(D1956="Fail",E1956="Fail",F1956="Fail"),"Fail",IF(AND(D1956="Pass",E1956="Pass",F1956="Pass"),"Pass","Incomplete")))</f>
        <v/>
      </c>
      <c r="H1956" s="18"/>
      <c r="I1956" s="18"/>
    </row>
    <row r="1957" customFormat="false" ht="15.75" hidden="false" customHeight="true" outlineLevel="0" collapsed="false">
      <c r="A1957" s="18"/>
      <c r="B1957" s="18"/>
      <c r="C1957" s="19"/>
      <c r="D1957" s="20"/>
      <c r="E1957" s="20"/>
      <c r="F1957" s="20"/>
      <c r="G1957" s="20" t="str">
        <f aca="false">IF(COUNTBLANK(D1957:F1957)=3,"",IF(OR(D1957="Fail",E1957="Fail",F1957="Fail"),"Fail",IF(AND(D1957="Pass",E1957="Pass",F1957="Pass"),"Pass","Incomplete")))</f>
        <v/>
      </c>
      <c r="H1957" s="18"/>
      <c r="I1957" s="18"/>
    </row>
    <row r="1958" customFormat="false" ht="15.75" hidden="false" customHeight="true" outlineLevel="0" collapsed="false">
      <c r="A1958" s="18"/>
      <c r="B1958" s="18"/>
      <c r="C1958" s="19"/>
      <c r="D1958" s="20"/>
      <c r="E1958" s="20"/>
      <c r="F1958" s="20"/>
      <c r="G1958" s="20" t="str">
        <f aca="false">IF(COUNTBLANK(D1958:F1958)=3,"",IF(OR(D1958="Fail",E1958="Fail",F1958="Fail"),"Fail",IF(AND(D1958="Pass",E1958="Pass",F1958="Pass"),"Pass","Incomplete")))</f>
        <v/>
      </c>
      <c r="H1958" s="18"/>
      <c r="I1958" s="18"/>
    </row>
    <row r="1959" customFormat="false" ht="15.75" hidden="false" customHeight="true" outlineLevel="0" collapsed="false">
      <c r="A1959" s="18"/>
      <c r="B1959" s="18"/>
      <c r="C1959" s="19"/>
      <c r="D1959" s="20"/>
      <c r="E1959" s="20"/>
      <c r="F1959" s="20"/>
      <c r="G1959" s="20" t="str">
        <f aca="false">IF(COUNTBLANK(D1959:F1959)=3,"",IF(OR(D1959="Fail",E1959="Fail",F1959="Fail"),"Fail",IF(AND(D1959="Pass",E1959="Pass",F1959="Pass"),"Pass","Incomplete")))</f>
        <v/>
      </c>
      <c r="H1959" s="18"/>
      <c r="I1959" s="18"/>
    </row>
    <row r="1960" customFormat="false" ht="15.75" hidden="false" customHeight="true" outlineLevel="0" collapsed="false">
      <c r="A1960" s="18"/>
      <c r="B1960" s="18"/>
      <c r="C1960" s="19"/>
      <c r="D1960" s="20"/>
      <c r="E1960" s="20"/>
      <c r="F1960" s="20"/>
      <c r="G1960" s="20" t="str">
        <f aca="false">IF(COUNTBLANK(D1960:F1960)=3,"",IF(OR(D1960="Fail",E1960="Fail",F1960="Fail"),"Fail",IF(AND(D1960="Pass",E1960="Pass",F1960="Pass"),"Pass","Incomplete")))</f>
        <v/>
      </c>
      <c r="H1960" s="18"/>
      <c r="I1960" s="18"/>
    </row>
    <row r="1961" customFormat="false" ht="15.75" hidden="false" customHeight="true" outlineLevel="0" collapsed="false">
      <c r="A1961" s="18"/>
      <c r="B1961" s="18"/>
      <c r="C1961" s="19"/>
      <c r="D1961" s="20"/>
      <c r="E1961" s="20"/>
      <c r="F1961" s="20"/>
      <c r="G1961" s="20" t="str">
        <f aca="false">IF(COUNTBLANK(D1961:F1961)=3,"",IF(OR(D1961="Fail",E1961="Fail",F1961="Fail"),"Fail",IF(AND(D1961="Pass",E1961="Pass",F1961="Pass"),"Pass","Incomplete")))</f>
        <v/>
      </c>
      <c r="H1961" s="18"/>
      <c r="I1961" s="18"/>
    </row>
    <row r="1962" customFormat="false" ht="15.75" hidden="false" customHeight="true" outlineLevel="0" collapsed="false">
      <c r="A1962" s="18"/>
      <c r="B1962" s="18"/>
      <c r="C1962" s="19"/>
      <c r="D1962" s="20"/>
      <c r="E1962" s="20"/>
      <c r="F1962" s="20"/>
      <c r="G1962" s="20" t="str">
        <f aca="false">IF(COUNTBLANK(D1962:F1962)=3,"",IF(OR(D1962="Fail",E1962="Fail",F1962="Fail"),"Fail",IF(AND(D1962="Pass",E1962="Pass",F1962="Pass"),"Pass","Incomplete")))</f>
        <v/>
      </c>
      <c r="H1962" s="18"/>
      <c r="I1962" s="18"/>
    </row>
    <row r="1963" customFormat="false" ht="15.75" hidden="false" customHeight="true" outlineLevel="0" collapsed="false">
      <c r="A1963" s="18"/>
      <c r="B1963" s="18"/>
      <c r="C1963" s="19"/>
      <c r="D1963" s="20"/>
      <c r="E1963" s="20"/>
      <c r="F1963" s="20"/>
      <c r="G1963" s="20" t="str">
        <f aca="false">IF(COUNTBLANK(D1963:F1963)=3,"",IF(OR(D1963="Fail",E1963="Fail",F1963="Fail"),"Fail",IF(AND(D1963="Pass",E1963="Pass",F1963="Pass"),"Pass","Incomplete")))</f>
        <v/>
      </c>
      <c r="H1963" s="18"/>
      <c r="I1963" s="18"/>
    </row>
    <row r="1964" customFormat="false" ht="15.75" hidden="false" customHeight="true" outlineLevel="0" collapsed="false">
      <c r="A1964" s="18"/>
      <c r="B1964" s="18"/>
      <c r="C1964" s="19"/>
      <c r="D1964" s="20"/>
      <c r="E1964" s="20"/>
      <c r="F1964" s="20"/>
      <c r="G1964" s="20" t="str">
        <f aca="false">IF(COUNTBLANK(D1964:F1964)=3,"",IF(OR(D1964="Fail",E1964="Fail",F1964="Fail"),"Fail",IF(AND(D1964="Pass",E1964="Pass",F1964="Pass"),"Pass","Incomplete")))</f>
        <v/>
      </c>
      <c r="H1964" s="18"/>
      <c r="I1964" s="18"/>
    </row>
    <row r="1965" customFormat="false" ht="15.75" hidden="false" customHeight="true" outlineLevel="0" collapsed="false">
      <c r="A1965" s="18"/>
      <c r="B1965" s="18"/>
      <c r="C1965" s="19"/>
      <c r="D1965" s="20"/>
      <c r="E1965" s="20"/>
      <c r="F1965" s="20"/>
      <c r="G1965" s="20" t="str">
        <f aca="false">IF(COUNTBLANK(D1965:F1965)=3,"",IF(OR(D1965="Fail",E1965="Fail",F1965="Fail"),"Fail",IF(AND(D1965="Pass",E1965="Pass",F1965="Pass"),"Pass","Incomplete")))</f>
        <v/>
      </c>
      <c r="H1965" s="18"/>
      <c r="I1965" s="18"/>
    </row>
    <row r="1966" customFormat="false" ht="15.75" hidden="false" customHeight="true" outlineLevel="0" collapsed="false">
      <c r="A1966" s="18"/>
      <c r="B1966" s="18"/>
      <c r="C1966" s="19"/>
      <c r="D1966" s="20"/>
      <c r="E1966" s="20"/>
      <c r="F1966" s="20"/>
      <c r="G1966" s="20" t="str">
        <f aca="false">IF(COUNTBLANK(D1966:F1966)=3,"",IF(OR(D1966="Fail",E1966="Fail",F1966="Fail"),"Fail",IF(AND(D1966="Pass",E1966="Pass",F1966="Pass"),"Pass","Incomplete")))</f>
        <v/>
      </c>
      <c r="H1966" s="18"/>
      <c r="I1966" s="18"/>
    </row>
    <row r="1967" customFormat="false" ht="15.75" hidden="false" customHeight="true" outlineLevel="0" collapsed="false">
      <c r="A1967" s="18"/>
      <c r="B1967" s="18"/>
      <c r="C1967" s="19"/>
      <c r="D1967" s="20"/>
      <c r="E1967" s="20"/>
      <c r="F1967" s="20"/>
      <c r="G1967" s="20" t="str">
        <f aca="false">IF(COUNTBLANK(D1967:F1967)=3,"",IF(OR(D1967="Fail",E1967="Fail",F1967="Fail"),"Fail",IF(AND(D1967="Pass",E1967="Pass",F1967="Pass"),"Pass","Incomplete")))</f>
        <v/>
      </c>
      <c r="H1967" s="18"/>
      <c r="I1967" s="18"/>
    </row>
    <row r="1968" customFormat="false" ht="15.75" hidden="false" customHeight="true" outlineLevel="0" collapsed="false">
      <c r="A1968" s="18"/>
      <c r="B1968" s="18"/>
      <c r="C1968" s="19"/>
      <c r="D1968" s="20"/>
      <c r="E1968" s="20"/>
      <c r="F1968" s="20"/>
      <c r="G1968" s="20" t="str">
        <f aca="false">IF(COUNTBLANK(D1968:F1968)=3,"",IF(OR(D1968="Fail",E1968="Fail",F1968="Fail"),"Fail",IF(AND(D1968="Pass",E1968="Pass",F1968="Pass"),"Pass","Incomplete")))</f>
        <v/>
      </c>
      <c r="H1968" s="18"/>
      <c r="I1968" s="18"/>
    </row>
    <row r="1969" customFormat="false" ht="15.75" hidden="false" customHeight="true" outlineLevel="0" collapsed="false">
      <c r="A1969" s="18"/>
      <c r="B1969" s="18"/>
      <c r="C1969" s="19"/>
      <c r="D1969" s="20"/>
      <c r="E1969" s="20"/>
      <c r="F1969" s="20"/>
      <c r="G1969" s="20" t="str">
        <f aca="false">IF(COUNTBLANK(D1969:F1969)=3,"",IF(OR(D1969="Fail",E1969="Fail",F1969="Fail"),"Fail",IF(AND(D1969="Pass",E1969="Pass",F1969="Pass"),"Pass","Incomplete")))</f>
        <v/>
      </c>
      <c r="H1969" s="18"/>
      <c r="I1969" s="18"/>
    </row>
    <row r="1970" customFormat="false" ht="15.75" hidden="false" customHeight="true" outlineLevel="0" collapsed="false">
      <c r="A1970" s="18"/>
      <c r="B1970" s="18"/>
      <c r="C1970" s="19"/>
      <c r="D1970" s="20"/>
      <c r="E1970" s="20"/>
      <c r="F1970" s="20"/>
      <c r="G1970" s="20" t="str">
        <f aca="false">IF(COUNTBLANK(D1970:F1970)=3,"",IF(OR(D1970="Fail",E1970="Fail",F1970="Fail"),"Fail",IF(AND(D1970="Pass",E1970="Pass",F1970="Pass"),"Pass","Incomplete")))</f>
        <v/>
      </c>
      <c r="H1970" s="18"/>
      <c r="I1970" s="18"/>
    </row>
    <row r="1971" customFormat="false" ht="15.75" hidden="false" customHeight="true" outlineLevel="0" collapsed="false">
      <c r="A1971" s="18"/>
      <c r="B1971" s="18"/>
      <c r="C1971" s="19"/>
      <c r="D1971" s="20"/>
      <c r="E1971" s="20"/>
      <c r="F1971" s="20"/>
      <c r="G1971" s="20" t="str">
        <f aca="false">IF(COUNTBLANK(D1971:F1971)=3,"",IF(OR(D1971="Fail",E1971="Fail",F1971="Fail"),"Fail",IF(AND(D1971="Pass",E1971="Pass",F1971="Pass"),"Pass","Incomplete")))</f>
        <v/>
      </c>
      <c r="H1971" s="18"/>
      <c r="I1971" s="18"/>
    </row>
    <row r="1972" customFormat="false" ht="15.75" hidden="false" customHeight="true" outlineLevel="0" collapsed="false">
      <c r="A1972" s="18"/>
      <c r="B1972" s="18"/>
      <c r="C1972" s="19"/>
      <c r="D1972" s="20"/>
      <c r="E1972" s="20"/>
      <c r="F1972" s="20"/>
      <c r="G1972" s="20" t="str">
        <f aca="false">IF(COUNTBLANK(D1972:F1972)=3,"",IF(OR(D1972="Fail",E1972="Fail",F1972="Fail"),"Fail",IF(AND(D1972="Pass",E1972="Pass",F1972="Pass"),"Pass","Incomplete")))</f>
        <v/>
      </c>
      <c r="H1972" s="18"/>
      <c r="I1972" s="18"/>
    </row>
    <row r="1973" customFormat="false" ht="15.75" hidden="false" customHeight="true" outlineLevel="0" collapsed="false">
      <c r="A1973" s="18"/>
      <c r="B1973" s="18"/>
      <c r="C1973" s="19"/>
      <c r="D1973" s="20"/>
      <c r="E1973" s="20"/>
      <c r="F1973" s="20"/>
      <c r="G1973" s="20" t="str">
        <f aca="false">IF(COUNTBLANK(D1973:F1973)=3,"",IF(OR(D1973="Fail",E1973="Fail",F1973="Fail"),"Fail",IF(AND(D1973="Pass",E1973="Pass",F1973="Pass"),"Pass","Incomplete")))</f>
        <v/>
      </c>
      <c r="H1973" s="18"/>
      <c r="I1973" s="18"/>
    </row>
    <row r="1974" customFormat="false" ht="15.75" hidden="false" customHeight="true" outlineLevel="0" collapsed="false">
      <c r="A1974" s="18"/>
      <c r="B1974" s="18"/>
      <c r="C1974" s="19"/>
      <c r="D1974" s="20"/>
      <c r="E1974" s="20"/>
      <c r="F1974" s="20"/>
      <c r="G1974" s="20" t="str">
        <f aca="false">IF(COUNTBLANK(D1974:F1974)=3,"",IF(OR(D1974="Fail",E1974="Fail",F1974="Fail"),"Fail",IF(AND(D1974="Pass",E1974="Pass",F1974="Pass"),"Pass","Incomplete")))</f>
        <v/>
      </c>
      <c r="H1974" s="18"/>
      <c r="I1974" s="18"/>
    </row>
    <row r="1975" customFormat="false" ht="15.75" hidden="false" customHeight="true" outlineLevel="0" collapsed="false">
      <c r="A1975" s="18"/>
      <c r="B1975" s="18"/>
      <c r="C1975" s="19"/>
      <c r="D1975" s="20"/>
      <c r="E1975" s="20"/>
      <c r="F1975" s="20"/>
      <c r="G1975" s="20" t="str">
        <f aca="false">IF(COUNTBLANK(D1975:F1975)=3,"",IF(OR(D1975="Fail",E1975="Fail",F1975="Fail"),"Fail",IF(AND(D1975="Pass",E1975="Pass",F1975="Pass"),"Pass","Incomplete")))</f>
        <v/>
      </c>
      <c r="H1975" s="18"/>
      <c r="I1975" s="18"/>
    </row>
    <row r="1976" customFormat="false" ht="15.75" hidden="false" customHeight="true" outlineLevel="0" collapsed="false">
      <c r="A1976" s="18"/>
      <c r="B1976" s="18"/>
      <c r="C1976" s="19"/>
      <c r="D1976" s="20"/>
      <c r="E1976" s="20"/>
      <c r="F1976" s="20"/>
      <c r="G1976" s="20" t="str">
        <f aca="false">IF(COUNTBLANK(D1976:F1976)=3,"",IF(OR(D1976="Fail",E1976="Fail",F1976="Fail"),"Fail",IF(AND(D1976="Pass",E1976="Pass",F1976="Pass"),"Pass","Incomplete")))</f>
        <v/>
      </c>
      <c r="H1976" s="18"/>
      <c r="I1976" s="18"/>
    </row>
    <row r="1977" customFormat="false" ht="15.75" hidden="false" customHeight="true" outlineLevel="0" collapsed="false">
      <c r="A1977" s="18"/>
      <c r="B1977" s="18"/>
      <c r="C1977" s="19"/>
      <c r="D1977" s="20"/>
      <c r="E1977" s="20"/>
      <c r="F1977" s="20"/>
      <c r="G1977" s="20" t="str">
        <f aca="false">IF(COUNTBLANK(D1977:F1977)=3,"",IF(OR(D1977="Fail",E1977="Fail",F1977="Fail"),"Fail",IF(AND(D1977="Pass",E1977="Pass",F1977="Pass"),"Pass","Incomplete")))</f>
        <v/>
      </c>
      <c r="H1977" s="18"/>
      <c r="I1977" s="18"/>
    </row>
    <row r="1978" customFormat="false" ht="15.75" hidden="false" customHeight="true" outlineLevel="0" collapsed="false">
      <c r="A1978" s="18"/>
      <c r="B1978" s="18"/>
      <c r="C1978" s="19"/>
      <c r="D1978" s="20"/>
      <c r="E1978" s="20"/>
      <c r="F1978" s="20"/>
      <c r="G1978" s="20" t="str">
        <f aca="false">IF(COUNTBLANK(D1978:F1978)=3,"",IF(OR(D1978="Fail",E1978="Fail",F1978="Fail"),"Fail",IF(AND(D1978="Pass",E1978="Pass",F1978="Pass"),"Pass","Incomplete")))</f>
        <v/>
      </c>
      <c r="H1978" s="18"/>
      <c r="I1978" s="18"/>
    </row>
    <row r="1979" customFormat="false" ht="15.75" hidden="false" customHeight="true" outlineLevel="0" collapsed="false">
      <c r="A1979" s="18"/>
      <c r="B1979" s="18"/>
      <c r="C1979" s="19"/>
      <c r="D1979" s="20"/>
      <c r="E1979" s="20"/>
      <c r="F1979" s="20"/>
      <c r="G1979" s="20" t="str">
        <f aca="false">IF(COUNTBLANK(D1979:F1979)=3,"",IF(OR(D1979="Fail",E1979="Fail",F1979="Fail"),"Fail",IF(AND(D1979="Pass",E1979="Pass",F1979="Pass"),"Pass","Incomplete")))</f>
        <v/>
      </c>
      <c r="H1979" s="18"/>
      <c r="I1979" s="18"/>
    </row>
    <row r="1980" customFormat="false" ht="15.75" hidden="false" customHeight="true" outlineLevel="0" collapsed="false">
      <c r="A1980" s="18"/>
      <c r="B1980" s="18"/>
      <c r="C1980" s="19"/>
      <c r="D1980" s="20"/>
      <c r="E1980" s="20"/>
      <c r="F1980" s="20"/>
      <c r="G1980" s="20" t="str">
        <f aca="false">IF(COUNTBLANK(D1980:F1980)=3,"",IF(OR(D1980="Fail",E1980="Fail",F1980="Fail"),"Fail",IF(AND(D1980="Pass",E1980="Pass",F1980="Pass"),"Pass","Incomplete")))</f>
        <v/>
      </c>
      <c r="H1980" s="18"/>
      <c r="I1980" s="18"/>
    </row>
    <row r="1981" customFormat="false" ht="15.75" hidden="false" customHeight="true" outlineLevel="0" collapsed="false">
      <c r="A1981" s="18"/>
      <c r="B1981" s="18"/>
      <c r="C1981" s="19"/>
      <c r="D1981" s="20"/>
      <c r="E1981" s="20"/>
      <c r="F1981" s="20"/>
      <c r="G1981" s="20" t="str">
        <f aca="false">IF(COUNTBLANK(D1981:F1981)=3,"",IF(OR(D1981="Fail",E1981="Fail",F1981="Fail"),"Fail",IF(AND(D1981="Pass",E1981="Pass",F1981="Pass"),"Pass","Incomplete")))</f>
        <v/>
      </c>
      <c r="H1981" s="18"/>
      <c r="I1981" s="18"/>
    </row>
    <row r="1982" customFormat="false" ht="15.75" hidden="false" customHeight="true" outlineLevel="0" collapsed="false">
      <c r="A1982" s="18"/>
      <c r="B1982" s="18"/>
      <c r="C1982" s="19"/>
      <c r="D1982" s="20"/>
      <c r="E1982" s="20"/>
      <c r="F1982" s="20"/>
      <c r="G1982" s="20" t="str">
        <f aca="false">IF(COUNTBLANK(D1982:F1982)=3,"",IF(OR(D1982="Fail",E1982="Fail",F1982="Fail"),"Fail",IF(AND(D1982="Pass",E1982="Pass",F1982="Pass"),"Pass","Incomplete")))</f>
        <v/>
      </c>
      <c r="H1982" s="18"/>
      <c r="I1982" s="18"/>
    </row>
    <row r="1983" customFormat="false" ht="15.75" hidden="false" customHeight="true" outlineLevel="0" collapsed="false">
      <c r="A1983" s="18"/>
      <c r="B1983" s="18"/>
      <c r="C1983" s="19"/>
      <c r="D1983" s="20"/>
      <c r="E1983" s="20"/>
      <c r="F1983" s="20"/>
      <c r="G1983" s="20" t="str">
        <f aca="false">IF(COUNTBLANK(D1983:F1983)=3,"",IF(OR(D1983="Fail",E1983="Fail",F1983="Fail"),"Fail",IF(AND(D1983="Pass",E1983="Pass",F1983="Pass"),"Pass","Incomplete")))</f>
        <v/>
      </c>
      <c r="H1983" s="18"/>
      <c r="I1983" s="18"/>
    </row>
    <row r="1984" customFormat="false" ht="15.75" hidden="false" customHeight="true" outlineLevel="0" collapsed="false">
      <c r="A1984" s="18"/>
      <c r="B1984" s="18"/>
      <c r="C1984" s="19"/>
      <c r="D1984" s="20"/>
      <c r="E1984" s="20"/>
      <c r="F1984" s="20"/>
      <c r="G1984" s="20" t="str">
        <f aca="false">IF(COUNTBLANK(D1984:F1984)=3,"",IF(OR(D1984="Fail",E1984="Fail",F1984="Fail"),"Fail",IF(AND(D1984="Pass",E1984="Pass",F1984="Pass"),"Pass","Incomplete")))</f>
        <v/>
      </c>
      <c r="H1984" s="18"/>
      <c r="I1984" s="18"/>
    </row>
    <row r="1985" customFormat="false" ht="15.75" hidden="false" customHeight="true" outlineLevel="0" collapsed="false">
      <c r="A1985" s="18"/>
      <c r="B1985" s="18"/>
      <c r="C1985" s="19"/>
      <c r="D1985" s="20"/>
      <c r="E1985" s="20"/>
      <c r="F1985" s="20"/>
      <c r="G1985" s="20" t="str">
        <f aca="false">IF(COUNTBLANK(D1985:F1985)=3,"",IF(OR(D1985="Fail",E1985="Fail",F1985="Fail"),"Fail",IF(AND(D1985="Pass",E1985="Pass",F1985="Pass"),"Pass","Incomplete")))</f>
        <v/>
      </c>
      <c r="H1985" s="18"/>
      <c r="I1985" s="18"/>
    </row>
    <row r="1986" customFormat="false" ht="15.75" hidden="false" customHeight="true" outlineLevel="0" collapsed="false">
      <c r="A1986" s="18"/>
      <c r="B1986" s="18"/>
      <c r="C1986" s="19"/>
      <c r="D1986" s="20"/>
      <c r="E1986" s="20"/>
      <c r="F1986" s="20"/>
      <c r="G1986" s="20" t="str">
        <f aca="false">IF(COUNTBLANK(D1986:F1986)=3,"",IF(OR(D1986="Fail",E1986="Fail",F1986="Fail"),"Fail",IF(AND(D1986="Pass",E1986="Pass",F1986="Pass"),"Pass","Incomplete")))</f>
        <v/>
      </c>
      <c r="H1986" s="18"/>
      <c r="I1986" s="18"/>
    </row>
    <row r="1987" customFormat="false" ht="15.75" hidden="false" customHeight="true" outlineLevel="0" collapsed="false">
      <c r="A1987" s="18"/>
      <c r="B1987" s="18"/>
      <c r="C1987" s="19"/>
      <c r="D1987" s="20"/>
      <c r="E1987" s="20"/>
      <c r="F1987" s="20"/>
      <c r="G1987" s="20" t="str">
        <f aca="false">IF(COUNTBLANK(D1987:F1987)=3,"",IF(OR(D1987="Fail",E1987="Fail",F1987="Fail"),"Fail",IF(AND(D1987="Pass",E1987="Pass",F1987="Pass"),"Pass","Incomplete")))</f>
        <v/>
      </c>
      <c r="H1987" s="18"/>
      <c r="I1987" s="18"/>
    </row>
    <row r="1988" customFormat="false" ht="15.75" hidden="false" customHeight="true" outlineLevel="0" collapsed="false">
      <c r="A1988" s="18"/>
      <c r="B1988" s="18"/>
      <c r="C1988" s="19"/>
      <c r="D1988" s="20"/>
      <c r="E1988" s="20"/>
      <c r="F1988" s="20"/>
      <c r="G1988" s="20" t="str">
        <f aca="false">IF(COUNTBLANK(D1988:F1988)=3,"",IF(OR(D1988="Fail",E1988="Fail",F1988="Fail"),"Fail",IF(AND(D1988="Pass",E1988="Pass",F1988="Pass"),"Pass","Incomplete")))</f>
        <v/>
      </c>
      <c r="H1988" s="18"/>
      <c r="I1988" s="18"/>
    </row>
    <row r="1989" customFormat="false" ht="15.75" hidden="false" customHeight="true" outlineLevel="0" collapsed="false">
      <c r="A1989" s="18"/>
      <c r="B1989" s="18"/>
      <c r="C1989" s="19"/>
      <c r="D1989" s="20"/>
      <c r="E1989" s="20"/>
      <c r="F1989" s="20"/>
      <c r="G1989" s="20" t="str">
        <f aca="false">IF(COUNTBLANK(D1989:F1989)=3,"",IF(OR(D1989="Fail",E1989="Fail",F1989="Fail"),"Fail",IF(AND(D1989="Pass",E1989="Pass",F1989="Pass"),"Pass","Incomplete")))</f>
        <v/>
      </c>
      <c r="H1989" s="18"/>
      <c r="I1989" s="18"/>
    </row>
    <row r="1990" customFormat="false" ht="15.75" hidden="false" customHeight="true" outlineLevel="0" collapsed="false">
      <c r="A1990" s="18"/>
      <c r="B1990" s="18"/>
      <c r="C1990" s="19"/>
      <c r="D1990" s="20"/>
      <c r="E1990" s="20"/>
      <c r="F1990" s="20"/>
      <c r="G1990" s="20" t="str">
        <f aca="false">IF(COUNTBLANK(D1990:F1990)=3,"",IF(OR(D1990="Fail",E1990="Fail",F1990="Fail"),"Fail",IF(AND(D1990="Pass",E1990="Pass",F1990="Pass"),"Pass","Incomplete")))</f>
        <v/>
      </c>
      <c r="H1990" s="18"/>
      <c r="I1990" s="18"/>
    </row>
    <row r="1991" customFormat="false" ht="15.75" hidden="false" customHeight="true" outlineLevel="0" collapsed="false">
      <c r="A1991" s="18"/>
      <c r="B1991" s="18"/>
      <c r="C1991" s="19"/>
      <c r="D1991" s="20"/>
      <c r="E1991" s="20"/>
      <c r="F1991" s="20"/>
      <c r="G1991" s="20" t="str">
        <f aca="false">IF(COUNTBLANK(D1991:F1991)=3,"",IF(OR(D1991="Fail",E1991="Fail",F1991="Fail"),"Fail",IF(AND(D1991="Pass",E1991="Pass",F1991="Pass"),"Pass","Incomplete")))</f>
        <v/>
      </c>
      <c r="H1991" s="18"/>
      <c r="I1991" s="18"/>
    </row>
    <row r="1992" customFormat="false" ht="15.75" hidden="false" customHeight="true" outlineLevel="0" collapsed="false">
      <c r="A1992" s="18"/>
      <c r="B1992" s="18"/>
      <c r="C1992" s="19"/>
      <c r="D1992" s="20"/>
      <c r="E1992" s="20"/>
      <c r="F1992" s="20"/>
      <c r="G1992" s="20" t="str">
        <f aca="false">IF(COUNTBLANK(D1992:F1992)=3,"",IF(OR(D1992="Fail",E1992="Fail",F1992="Fail"),"Fail",IF(AND(D1992="Pass",E1992="Pass",F1992="Pass"),"Pass","Incomplete")))</f>
        <v/>
      </c>
      <c r="H1992" s="18"/>
      <c r="I1992" s="18"/>
    </row>
    <row r="1993" customFormat="false" ht="15.75" hidden="false" customHeight="true" outlineLevel="0" collapsed="false">
      <c r="A1993" s="18"/>
      <c r="B1993" s="18"/>
      <c r="C1993" s="19"/>
      <c r="D1993" s="20"/>
      <c r="E1993" s="20"/>
      <c r="F1993" s="20"/>
      <c r="G1993" s="20" t="str">
        <f aca="false">IF(COUNTBLANK(D1993:F1993)=3,"",IF(OR(D1993="Fail",E1993="Fail",F1993="Fail"),"Fail",IF(AND(D1993="Pass",E1993="Pass",F1993="Pass"),"Pass","Incomplete")))</f>
        <v/>
      </c>
      <c r="H1993" s="18"/>
      <c r="I1993" s="18"/>
    </row>
    <row r="1994" customFormat="false" ht="15.75" hidden="false" customHeight="true" outlineLevel="0" collapsed="false">
      <c r="A1994" s="18"/>
      <c r="B1994" s="18"/>
      <c r="C1994" s="19"/>
      <c r="D1994" s="20"/>
      <c r="E1994" s="20"/>
      <c r="F1994" s="20"/>
      <c r="G1994" s="20" t="str">
        <f aca="false">IF(COUNTBLANK(D1994:F1994)=3,"",IF(OR(D1994="Fail",E1994="Fail",F1994="Fail"),"Fail",IF(AND(D1994="Pass",E1994="Pass",F1994="Pass"),"Pass","Incomplete")))</f>
        <v/>
      </c>
      <c r="H1994" s="18"/>
      <c r="I1994" s="18"/>
    </row>
    <row r="1995" customFormat="false" ht="15.75" hidden="false" customHeight="true" outlineLevel="0" collapsed="false">
      <c r="A1995" s="18"/>
      <c r="B1995" s="18"/>
      <c r="C1995" s="19"/>
      <c r="D1995" s="20"/>
      <c r="E1995" s="20"/>
      <c r="F1995" s="20"/>
      <c r="G1995" s="20" t="str">
        <f aca="false">IF(COUNTBLANK(D1995:F1995)=3,"",IF(OR(D1995="Fail",E1995="Fail",F1995="Fail"),"Fail",IF(AND(D1995="Pass",E1995="Pass",F1995="Pass"),"Pass","Incomplete")))</f>
        <v/>
      </c>
      <c r="H1995" s="18"/>
      <c r="I1995" s="18"/>
    </row>
    <row r="1996" customFormat="false" ht="15.75" hidden="false" customHeight="true" outlineLevel="0" collapsed="false">
      <c r="A1996" s="18"/>
      <c r="B1996" s="18"/>
      <c r="C1996" s="19"/>
      <c r="D1996" s="20"/>
      <c r="E1996" s="20"/>
      <c r="F1996" s="20"/>
      <c r="G1996" s="20" t="str">
        <f aca="false">IF(COUNTBLANK(D1996:F1996)=3,"",IF(OR(D1996="Fail",E1996="Fail",F1996="Fail"),"Fail",IF(AND(D1996="Pass",E1996="Pass",F1996="Pass"),"Pass","Incomplete")))</f>
        <v/>
      </c>
      <c r="H1996" s="18"/>
      <c r="I1996" s="18"/>
    </row>
    <row r="1997" customFormat="false" ht="15.75" hidden="false" customHeight="true" outlineLevel="0" collapsed="false">
      <c r="A1997" s="18"/>
      <c r="B1997" s="18"/>
      <c r="C1997" s="19"/>
      <c r="D1997" s="20"/>
      <c r="E1997" s="20"/>
      <c r="F1997" s="20"/>
      <c r="G1997" s="20" t="str">
        <f aca="false">IF(COUNTBLANK(D1997:F1997)=3,"",IF(OR(D1997="Fail",E1997="Fail",F1997="Fail"),"Fail",IF(AND(D1997="Pass",E1997="Pass",F1997="Pass"),"Pass","Incomplete")))</f>
        <v/>
      </c>
      <c r="H1997" s="18"/>
      <c r="I1997" s="18"/>
    </row>
    <row r="1998" customFormat="false" ht="15.75" hidden="false" customHeight="true" outlineLevel="0" collapsed="false">
      <c r="A1998" s="18"/>
      <c r="B1998" s="18"/>
      <c r="C1998" s="19"/>
      <c r="D1998" s="20"/>
      <c r="E1998" s="20"/>
      <c r="F1998" s="20"/>
      <c r="G1998" s="20" t="str">
        <f aca="false">IF(COUNTBLANK(D1998:F1998)=3,"",IF(OR(D1998="Fail",E1998="Fail",F1998="Fail"),"Fail",IF(AND(D1998="Pass",E1998="Pass",F1998="Pass"),"Pass","Incomplete")))</f>
        <v/>
      </c>
      <c r="H1998" s="18"/>
      <c r="I1998" s="18"/>
    </row>
    <row r="1999" customFormat="false" ht="15.75" hidden="false" customHeight="true" outlineLevel="0" collapsed="false">
      <c r="A1999" s="18"/>
      <c r="B1999" s="18"/>
      <c r="C1999" s="19"/>
      <c r="D1999" s="20"/>
      <c r="E1999" s="20"/>
      <c r="F1999" s="20"/>
      <c r="G1999" s="20" t="str">
        <f aca="false">IF(COUNTBLANK(D1999:F1999)=3,"",IF(OR(D1999="Fail",E1999="Fail",F1999="Fail"),"Fail",IF(AND(D1999="Pass",E1999="Pass",F1999="Pass"),"Pass","Incomplete")))</f>
        <v/>
      </c>
      <c r="H1999" s="18"/>
      <c r="I1999" s="18"/>
    </row>
    <row r="2000" customFormat="false" ht="15.75" hidden="false" customHeight="true" outlineLevel="0" collapsed="false">
      <c r="A2000" s="18"/>
      <c r="B2000" s="18"/>
      <c r="C2000" s="19"/>
      <c r="D2000" s="20"/>
      <c r="E2000" s="20"/>
      <c r="F2000" s="20"/>
      <c r="G2000" s="20" t="str">
        <f aca="false">IF(COUNTBLANK(D2000:F2000)=3,"",IF(OR(D2000="Fail",E2000="Fail",F2000="Fail"),"Fail",IF(AND(D2000="Pass",E2000="Pass",F2000="Pass"),"Pass","Incomplete")))</f>
        <v/>
      </c>
      <c r="H2000" s="18"/>
      <c r="I2000" s="18"/>
    </row>
    <row r="2001" customFormat="false" ht="15.75" hidden="false" customHeight="true" outlineLevel="0" collapsed="false">
      <c r="A2001" s="18"/>
      <c r="B2001" s="18"/>
      <c r="C2001" s="19"/>
      <c r="D2001" s="20"/>
      <c r="E2001" s="20"/>
      <c r="F2001" s="20"/>
      <c r="G2001" s="20" t="str">
        <f aca="false">IF(COUNTBLANK(D2001:F2001)=3,"",IF(OR(D2001="Fail",E2001="Fail",F2001="Fail"),"Fail",IF(AND(D2001="Pass",E2001="Pass",F2001="Pass"),"Pass","Incomplete")))</f>
        <v/>
      </c>
      <c r="H2001" s="18"/>
      <c r="I2001" s="18"/>
    </row>
    <row r="2002" customFormat="false" ht="15.75" hidden="false" customHeight="true" outlineLevel="0" collapsed="false">
      <c r="A2002" s="18"/>
      <c r="B2002" s="18"/>
      <c r="C2002" s="19"/>
      <c r="D2002" s="20"/>
      <c r="E2002" s="20"/>
      <c r="F2002" s="20"/>
      <c r="G2002" s="20" t="str">
        <f aca="false">IF(COUNTBLANK(D2002:F2002)=3,"",IF(OR(D2002="Fail",E2002="Fail",F2002="Fail"),"Fail",IF(AND(D2002="Pass",E2002="Pass",F2002="Pass"),"Pass","Incomplete")))</f>
        <v/>
      </c>
      <c r="H2002" s="18"/>
      <c r="I2002" s="18"/>
    </row>
    <row r="2003" customFormat="false" ht="15.75" hidden="false" customHeight="true" outlineLevel="0" collapsed="false">
      <c r="A2003" s="18"/>
      <c r="B2003" s="18"/>
      <c r="C2003" s="19"/>
      <c r="D2003" s="20"/>
      <c r="E2003" s="20"/>
      <c r="F2003" s="20"/>
      <c r="G2003" s="20" t="str">
        <f aca="false">IF(COUNTBLANK(D2003:F2003)=3,"",IF(OR(D2003="Fail",E2003="Fail",F2003="Fail"),"Fail",IF(AND(D2003="Pass",E2003="Pass",F2003="Pass"),"Pass","Incomplete")))</f>
        <v/>
      </c>
      <c r="H2003" s="18"/>
      <c r="I2003" s="18"/>
    </row>
    <row r="2004" customFormat="false" ht="15.75" hidden="false" customHeight="true" outlineLevel="0" collapsed="false">
      <c r="A2004" s="18"/>
      <c r="B2004" s="18"/>
      <c r="C2004" s="19"/>
      <c r="D2004" s="20"/>
      <c r="E2004" s="20"/>
      <c r="F2004" s="20"/>
      <c r="G2004" s="20" t="str">
        <f aca="false">IF(COUNTBLANK(D2004:F2004)=3,"",IF(OR(D2004="Fail",E2004="Fail",F2004="Fail"),"Fail",IF(AND(D2004="Pass",E2004="Pass",F2004="Pass"),"Pass","Incomplete")))</f>
        <v/>
      </c>
      <c r="H2004" s="18"/>
      <c r="I2004" s="18"/>
    </row>
    <row r="2005" customFormat="false" ht="15.75" hidden="false" customHeight="true" outlineLevel="0" collapsed="false">
      <c r="A2005" s="18"/>
      <c r="B2005" s="18"/>
      <c r="C2005" s="19"/>
      <c r="D2005" s="20"/>
      <c r="E2005" s="20"/>
      <c r="F2005" s="20"/>
      <c r="G2005" s="20" t="str">
        <f aca="false">IF(COUNTBLANK(D2005:F2005)=3,"",IF(OR(D2005="Fail",E2005="Fail",F2005="Fail"),"Fail",IF(AND(D2005="Pass",E2005="Pass",F2005="Pass"),"Pass","Incomplete")))</f>
        <v/>
      </c>
      <c r="H2005" s="18"/>
      <c r="I2005" s="18"/>
    </row>
    <row r="2006" customFormat="false" ht="15.75" hidden="false" customHeight="true" outlineLevel="0" collapsed="false">
      <c r="A2006" s="18"/>
      <c r="B2006" s="18"/>
      <c r="C2006" s="19"/>
      <c r="D2006" s="20"/>
      <c r="E2006" s="20"/>
      <c r="F2006" s="20"/>
      <c r="G2006" s="20" t="str">
        <f aca="false">IF(COUNTBLANK(D2006:F2006)=3,"",IF(OR(D2006="Fail",E2006="Fail",F2006="Fail"),"Fail",IF(AND(D2006="Pass",E2006="Pass",F2006="Pass"),"Pass","Incomplete")))</f>
        <v/>
      </c>
      <c r="H2006" s="18"/>
      <c r="I2006" s="18"/>
    </row>
  </sheetData>
  <mergeCells count="3">
    <mergeCell ref="A1:I1"/>
    <mergeCell ref="A2:I2"/>
    <mergeCell ref="A3:I3"/>
  </mergeCells>
  <conditionalFormatting sqref="G7:G2006">
    <cfRule type="cellIs" priority="2" operator="equal" aboveAverage="0" equalAverage="0" bottom="0" percent="0" rank="0" text="" dxfId="2">
      <formula>"Pass"</formula>
    </cfRule>
    <cfRule type="cellIs" priority="3" operator="equal" aboveAverage="0" equalAverage="0" bottom="0" percent="0" rank="0" text="" dxfId="0">
      <formula>"Fail"</formula>
    </cfRule>
    <cfRule type="cellIs" priority="4" operator="equal" aboveAverage="0" equalAverage="0" bottom="0" percent="0" rank="0" text="" dxfId="1">
      <formula>"Incomplete"</formula>
    </cfRule>
  </conditionalFormatting>
  <conditionalFormatting sqref="D7:D2006">
    <cfRule type="cellIs" priority="5" operator="equal" aboveAverage="0" equalAverage="0" bottom="0" percent="0" rank="0" text="" dxfId="2">
      <formula>"Pass"</formula>
    </cfRule>
    <cfRule type="cellIs" priority="6" operator="equal" aboveAverage="0" equalAverage="0" bottom="0" percent="0" rank="0" text="" dxfId="0">
      <formula>"Fail"</formula>
    </cfRule>
  </conditionalFormatting>
  <conditionalFormatting sqref="E7:E2006">
    <cfRule type="cellIs" priority="7" operator="equal" aboveAverage="0" equalAverage="0" bottom="0" percent="0" rank="0" text="" dxfId="2">
      <formula>"Pass"</formula>
    </cfRule>
    <cfRule type="cellIs" priority="8" operator="equal" aboveAverage="0" equalAverage="0" bottom="0" percent="0" rank="0" text="" dxfId="0">
      <formula>"Fail"</formula>
    </cfRule>
  </conditionalFormatting>
  <conditionalFormatting sqref="F7:F2006">
    <cfRule type="cellIs" priority="9" operator="equal" aboveAverage="0" equalAverage="0" bottom="0" percent="0" rank="0" text="" dxfId="2">
      <formula>"Pass"</formula>
    </cfRule>
    <cfRule type="cellIs" priority="10" operator="equal" aboveAverage="0" equalAverage="0" bottom="0" percent="0" rank="0" text="" dxfId="0">
      <formula>"Fail"</formula>
    </cfRule>
  </conditionalFormatting>
  <dataValidations count="2">
    <dataValidation allowBlank="true" errorStyle="stop" operator="between" showDropDown="false" showErrorMessage="false" showInputMessage="false" sqref="A7:A2006" type="list">
      <formula1>'Station Master List'!$A$7:$A$506</formula1>
      <formula2>0</formula2>
    </dataValidation>
    <dataValidation allowBlank="true" errorStyle="stop" operator="between" showDropDown="false" showErrorMessage="false" showInputMessage="false" sqref="D7:F2006"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R5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8" min="3" style="1" width="13"/>
    <col collapsed="false" customWidth="true" hidden="false" outlineLevel="0" max="10" min="9" style="1" width="12"/>
    <col collapsed="false" customWidth="true" hidden="false" outlineLevel="0" max="11" min="11" style="1" width="11"/>
    <col collapsed="false" customWidth="true" hidden="false" outlineLevel="0" max="12" min="12" style="1" width="12"/>
    <col collapsed="false" customWidth="true" hidden="false" outlineLevel="0" max="13" min="13" style="1" width="13"/>
    <col collapsed="false" customWidth="true" hidden="false" outlineLevel="0" max="14" min="14" style="1" width="11"/>
    <col collapsed="false" customWidth="true" hidden="false" outlineLevel="0" max="15" min="15" style="1" width="13"/>
    <col collapsed="false" customWidth="true" hidden="false" outlineLevel="0" max="17" min="16" style="1" width="22"/>
    <col collapsed="false" customWidth="true" hidden="false" outlineLevel="0" max="18" min="18" style="1" width="13"/>
  </cols>
  <sheetData>
    <row r="1" customFormat="false" ht="27.75" hidden="false" customHeight="true" outlineLevel="0" collapsed="false">
      <c r="A1" s="15" t="s">
        <v>35</v>
      </c>
      <c r="B1" s="15"/>
      <c r="C1" s="15"/>
      <c r="D1" s="15"/>
      <c r="E1" s="15"/>
      <c r="F1" s="15"/>
      <c r="G1" s="15"/>
      <c r="H1" s="15"/>
      <c r="I1" s="15"/>
      <c r="J1" s="15"/>
      <c r="K1" s="15"/>
      <c r="L1" s="15"/>
      <c r="M1" s="15"/>
      <c r="N1" s="15"/>
      <c r="O1" s="15"/>
      <c r="P1" s="15"/>
      <c r="Q1" s="15"/>
      <c r="R1" s="15"/>
    </row>
    <row r="2" customFormat="false" ht="24" hidden="false" customHeight="true" outlineLevel="0" collapsed="false">
      <c r="A2" s="16" t="s">
        <v>36</v>
      </c>
      <c r="B2" s="16"/>
      <c r="C2" s="16"/>
      <c r="D2" s="16"/>
      <c r="E2" s="16"/>
      <c r="F2" s="16"/>
      <c r="G2" s="16"/>
      <c r="H2" s="16"/>
      <c r="I2" s="16"/>
      <c r="J2" s="16"/>
      <c r="K2" s="16"/>
      <c r="L2" s="16"/>
      <c r="M2" s="16"/>
      <c r="N2" s="16"/>
      <c r="O2" s="16"/>
      <c r="P2" s="16"/>
      <c r="Q2" s="16"/>
      <c r="R2" s="16"/>
    </row>
    <row r="3" customFormat="false" ht="6" hidden="false" customHeight="true" outlineLevel="0" collapsed="false">
      <c r="A3" s="4"/>
      <c r="B3" s="4"/>
      <c r="C3" s="4"/>
      <c r="D3" s="4"/>
      <c r="E3" s="4"/>
      <c r="F3" s="4"/>
      <c r="G3" s="4"/>
      <c r="H3" s="4"/>
      <c r="I3" s="4"/>
      <c r="J3" s="4"/>
      <c r="K3" s="4"/>
      <c r="L3" s="4"/>
      <c r="M3" s="4"/>
      <c r="N3" s="4"/>
      <c r="O3" s="4"/>
      <c r="P3" s="4"/>
      <c r="Q3" s="4"/>
      <c r="R3" s="4"/>
    </row>
    <row r="6" customFormat="false" ht="42" hidden="false" customHeight="true" outlineLevel="0" collapsed="false">
      <c r="A6" s="21" t="s">
        <v>26</v>
      </c>
      <c r="B6" s="21" t="s">
        <v>27</v>
      </c>
      <c r="C6" s="21" t="s">
        <v>37</v>
      </c>
      <c r="D6" s="21" t="s">
        <v>38</v>
      </c>
      <c r="E6" s="21" t="s">
        <v>39</v>
      </c>
      <c r="F6" s="21" t="s">
        <v>40</v>
      </c>
      <c r="G6" s="21" t="s">
        <v>41</v>
      </c>
      <c r="H6" s="21" t="s">
        <v>42</v>
      </c>
      <c r="I6" s="21" t="s">
        <v>43</v>
      </c>
      <c r="J6" s="21" t="s">
        <v>44</v>
      </c>
      <c r="K6" s="21" t="s">
        <v>45</v>
      </c>
      <c r="L6" s="21" t="s">
        <v>46</v>
      </c>
      <c r="M6" s="21" t="s">
        <v>47</v>
      </c>
      <c r="N6" s="21" t="s">
        <v>32</v>
      </c>
      <c r="O6" s="21" t="s">
        <v>48</v>
      </c>
      <c r="P6" s="21" t="s">
        <v>33</v>
      </c>
      <c r="Q6" s="21" t="s">
        <v>49</v>
      </c>
      <c r="R6" s="21" t="s">
        <v>50</v>
      </c>
    </row>
    <row r="7" customFormat="false" ht="15.75" hidden="false" customHeight="true" outlineLevel="0" collapsed="false">
      <c r="A7" s="18"/>
      <c r="B7" s="18"/>
      <c r="C7" s="19"/>
      <c r="D7" s="19" t="str">
        <f aca="false">IF(C7="","",DATE(YEAR(C7)+1,MONTH(C7),DAY(C7)))</f>
        <v/>
      </c>
      <c r="E7" s="20"/>
      <c r="F7" s="20"/>
      <c r="G7" s="20"/>
      <c r="H7" s="20"/>
      <c r="I7" s="20"/>
      <c r="J7" s="20"/>
      <c r="K7" s="20"/>
      <c r="L7" s="20"/>
      <c r="M7" s="20"/>
      <c r="N7" s="18" t="str">
        <f aca="false">IF(COUNTBLANK(E7:M7)=9,"",IF(COUNTIF(E7:M7,"Fail")&gt;0,"Fail",IF(COUNTBLANK(E7:M7)&gt;0,"Incomplete","Pass")))</f>
        <v/>
      </c>
      <c r="O7" s="18" t="str">
        <f aca="true">IF(N7="","Not Yet Inspected",IF(N7="Fail","Fail",IF(D7="","",IF(D7&lt;TODAY(),"Overdue",IF(D7&lt;=TODAY()+30,"Due (within 30 days)","Pass")))))</f>
        <v>Not Yet Inspected</v>
      </c>
      <c r="P7" s="18"/>
      <c r="Q7" s="18"/>
      <c r="R7" s="19"/>
    </row>
    <row r="8" customFormat="false" ht="15.75" hidden="false" customHeight="true" outlineLevel="0" collapsed="false">
      <c r="A8" s="18"/>
      <c r="B8" s="18"/>
      <c r="C8" s="19"/>
      <c r="D8" s="19" t="str">
        <f aca="false">IF(C8="","",DATE(YEAR(C8)+1,MONTH(C8),DAY(C8)))</f>
        <v/>
      </c>
      <c r="E8" s="20"/>
      <c r="F8" s="20"/>
      <c r="G8" s="20"/>
      <c r="H8" s="20"/>
      <c r="I8" s="20"/>
      <c r="J8" s="20"/>
      <c r="K8" s="20"/>
      <c r="L8" s="20"/>
      <c r="M8" s="20"/>
      <c r="N8" s="18" t="str">
        <f aca="false">IF(COUNTBLANK(E8:M8)=9,"",IF(COUNTIF(E8:M8,"Fail")&gt;0,"Fail",IF(COUNTBLANK(E8:M8)&gt;0,"Incomplete","Pass")))</f>
        <v/>
      </c>
      <c r="O8" s="18" t="str">
        <f aca="true">IF(N8="","Not Yet Inspected",IF(N8="Fail","Fail",IF(D8="","",IF(D8&lt;TODAY(),"Overdue",IF(D8&lt;=TODAY()+30,"Due (within 30 days)","Pass")))))</f>
        <v>Not Yet Inspected</v>
      </c>
      <c r="P8" s="18"/>
      <c r="Q8" s="18"/>
      <c r="R8" s="19"/>
    </row>
    <row r="9" customFormat="false" ht="15.75" hidden="false" customHeight="true" outlineLevel="0" collapsed="false">
      <c r="A9" s="18"/>
      <c r="B9" s="18"/>
      <c r="C9" s="19"/>
      <c r="D9" s="19" t="str">
        <f aca="false">IF(C9="","",DATE(YEAR(C9)+1,MONTH(C9),DAY(C9)))</f>
        <v/>
      </c>
      <c r="E9" s="20"/>
      <c r="F9" s="20"/>
      <c r="G9" s="20"/>
      <c r="H9" s="20"/>
      <c r="I9" s="20"/>
      <c r="J9" s="20"/>
      <c r="K9" s="20"/>
      <c r="L9" s="20"/>
      <c r="M9" s="20"/>
      <c r="N9" s="18" t="str">
        <f aca="false">IF(COUNTBLANK(E9:M9)=9,"",IF(COUNTIF(E9:M9,"Fail")&gt;0,"Fail",IF(COUNTBLANK(E9:M9)&gt;0,"Incomplete","Pass")))</f>
        <v/>
      </c>
      <c r="O9" s="18" t="str">
        <f aca="true">IF(N9="","Not Yet Inspected",IF(N9="Fail","Fail",IF(D9="","",IF(D9&lt;TODAY(),"Overdue",IF(D9&lt;=TODAY()+30,"Due (within 30 days)","Pass")))))</f>
        <v>Not Yet Inspected</v>
      </c>
      <c r="P9" s="18"/>
      <c r="Q9" s="18"/>
      <c r="R9" s="19"/>
    </row>
    <row r="10" customFormat="false" ht="15.75" hidden="false" customHeight="true" outlineLevel="0" collapsed="false">
      <c r="A10" s="18"/>
      <c r="B10" s="18"/>
      <c r="C10" s="19"/>
      <c r="D10" s="19" t="str">
        <f aca="false">IF(C10="","",DATE(YEAR(C10)+1,MONTH(C10),DAY(C10)))</f>
        <v/>
      </c>
      <c r="E10" s="20"/>
      <c r="F10" s="20"/>
      <c r="G10" s="20"/>
      <c r="H10" s="20"/>
      <c r="I10" s="20"/>
      <c r="J10" s="20"/>
      <c r="K10" s="20"/>
      <c r="L10" s="20"/>
      <c r="M10" s="20"/>
      <c r="N10" s="18" t="str">
        <f aca="false">IF(COUNTBLANK(E10:M10)=9,"",IF(COUNTIF(E10:M10,"Fail")&gt;0,"Fail",IF(COUNTBLANK(E10:M10)&gt;0,"Incomplete","Pass")))</f>
        <v/>
      </c>
      <c r="O10" s="18" t="str">
        <f aca="true">IF(N10="","Not Yet Inspected",IF(N10="Fail","Fail",IF(D10="","",IF(D10&lt;TODAY(),"Overdue",IF(D10&lt;=TODAY()+30,"Due (within 30 days)","Pass")))))</f>
        <v>Not Yet Inspected</v>
      </c>
      <c r="P10" s="18"/>
      <c r="Q10" s="18"/>
      <c r="R10" s="19"/>
    </row>
    <row r="11" customFormat="false" ht="15.75" hidden="false" customHeight="true" outlineLevel="0" collapsed="false">
      <c r="A11" s="18"/>
      <c r="B11" s="18"/>
      <c r="C11" s="19"/>
      <c r="D11" s="19" t="str">
        <f aca="false">IF(C11="","",DATE(YEAR(C11)+1,MONTH(C11),DAY(C11)))</f>
        <v/>
      </c>
      <c r="E11" s="20"/>
      <c r="F11" s="20"/>
      <c r="G11" s="20"/>
      <c r="H11" s="20"/>
      <c r="I11" s="20"/>
      <c r="J11" s="20"/>
      <c r="K11" s="20"/>
      <c r="L11" s="20"/>
      <c r="M11" s="20"/>
      <c r="N11" s="18" t="str">
        <f aca="false">IF(COUNTBLANK(E11:M11)=9,"",IF(COUNTIF(E11:M11,"Fail")&gt;0,"Fail",IF(COUNTBLANK(E11:M11)&gt;0,"Incomplete","Pass")))</f>
        <v/>
      </c>
      <c r="O11" s="18" t="str">
        <f aca="true">IF(N11="","Not Yet Inspected",IF(N11="Fail","Fail",IF(D11="","",IF(D11&lt;TODAY(),"Overdue",IF(D11&lt;=TODAY()+30,"Due (within 30 days)","Pass")))))</f>
        <v>Not Yet Inspected</v>
      </c>
      <c r="P11" s="18"/>
      <c r="Q11" s="18"/>
      <c r="R11" s="19"/>
    </row>
    <row r="12" customFormat="false" ht="15.75" hidden="false" customHeight="true" outlineLevel="0" collapsed="false">
      <c r="A12" s="18"/>
      <c r="B12" s="18"/>
      <c r="C12" s="19"/>
      <c r="D12" s="19" t="str">
        <f aca="false">IF(C12="","",DATE(YEAR(C12)+1,MONTH(C12),DAY(C12)))</f>
        <v/>
      </c>
      <c r="E12" s="20"/>
      <c r="F12" s="20"/>
      <c r="G12" s="20"/>
      <c r="H12" s="20"/>
      <c r="I12" s="20"/>
      <c r="J12" s="20"/>
      <c r="K12" s="20"/>
      <c r="L12" s="20"/>
      <c r="M12" s="20"/>
      <c r="N12" s="18" t="str">
        <f aca="false">IF(COUNTBLANK(E12:M12)=9,"",IF(COUNTIF(E12:M12,"Fail")&gt;0,"Fail",IF(COUNTBLANK(E12:M12)&gt;0,"Incomplete","Pass")))</f>
        <v/>
      </c>
      <c r="O12" s="18" t="str">
        <f aca="true">IF(N12="","Not Yet Inspected",IF(N12="Fail","Fail",IF(D12="","",IF(D12&lt;TODAY(),"Overdue",IF(D12&lt;=TODAY()+30,"Due (within 30 days)","Pass")))))</f>
        <v>Not Yet Inspected</v>
      </c>
      <c r="P12" s="18"/>
      <c r="Q12" s="18"/>
      <c r="R12" s="19"/>
    </row>
    <row r="13" customFormat="false" ht="15.75" hidden="false" customHeight="true" outlineLevel="0" collapsed="false">
      <c r="A13" s="18"/>
      <c r="B13" s="18"/>
      <c r="C13" s="19"/>
      <c r="D13" s="19" t="str">
        <f aca="false">IF(C13="","",DATE(YEAR(C13)+1,MONTH(C13),DAY(C13)))</f>
        <v/>
      </c>
      <c r="E13" s="20"/>
      <c r="F13" s="20"/>
      <c r="G13" s="20"/>
      <c r="H13" s="20"/>
      <c r="I13" s="20"/>
      <c r="J13" s="20"/>
      <c r="K13" s="20"/>
      <c r="L13" s="20"/>
      <c r="M13" s="20"/>
      <c r="N13" s="18" t="str">
        <f aca="false">IF(COUNTBLANK(E13:M13)=9,"",IF(COUNTIF(E13:M13,"Fail")&gt;0,"Fail",IF(COUNTBLANK(E13:M13)&gt;0,"Incomplete","Pass")))</f>
        <v/>
      </c>
      <c r="O13" s="18" t="str">
        <f aca="true">IF(N13="","Not Yet Inspected",IF(N13="Fail","Fail",IF(D13="","",IF(D13&lt;TODAY(),"Overdue",IF(D13&lt;=TODAY()+30,"Due (within 30 days)","Pass")))))</f>
        <v>Not Yet Inspected</v>
      </c>
      <c r="P13" s="18"/>
      <c r="Q13" s="18"/>
      <c r="R13" s="19"/>
    </row>
    <row r="14" customFormat="false" ht="15.75" hidden="false" customHeight="true" outlineLevel="0" collapsed="false">
      <c r="A14" s="18"/>
      <c r="B14" s="18"/>
      <c r="C14" s="19"/>
      <c r="D14" s="19" t="str">
        <f aca="false">IF(C14="","",DATE(YEAR(C14)+1,MONTH(C14),DAY(C14)))</f>
        <v/>
      </c>
      <c r="E14" s="20"/>
      <c r="F14" s="20"/>
      <c r="G14" s="20"/>
      <c r="H14" s="20"/>
      <c r="I14" s="20"/>
      <c r="J14" s="20"/>
      <c r="K14" s="20"/>
      <c r="L14" s="20"/>
      <c r="M14" s="20"/>
      <c r="N14" s="18" t="str">
        <f aca="false">IF(COUNTBLANK(E14:M14)=9,"",IF(COUNTIF(E14:M14,"Fail")&gt;0,"Fail",IF(COUNTBLANK(E14:M14)&gt;0,"Incomplete","Pass")))</f>
        <v/>
      </c>
      <c r="O14" s="18" t="str">
        <f aca="true">IF(N14="","Not Yet Inspected",IF(N14="Fail","Fail",IF(D14="","",IF(D14&lt;TODAY(),"Overdue",IF(D14&lt;=TODAY()+30,"Due (within 30 days)","Pass")))))</f>
        <v>Not Yet Inspected</v>
      </c>
      <c r="P14" s="18"/>
      <c r="Q14" s="18"/>
      <c r="R14" s="19"/>
    </row>
    <row r="15" customFormat="false" ht="15.75" hidden="false" customHeight="true" outlineLevel="0" collapsed="false">
      <c r="A15" s="18"/>
      <c r="B15" s="18"/>
      <c r="C15" s="19"/>
      <c r="D15" s="19" t="str">
        <f aca="false">IF(C15="","",DATE(YEAR(C15)+1,MONTH(C15),DAY(C15)))</f>
        <v/>
      </c>
      <c r="E15" s="20"/>
      <c r="F15" s="20"/>
      <c r="G15" s="20"/>
      <c r="H15" s="20"/>
      <c r="I15" s="20"/>
      <c r="J15" s="20"/>
      <c r="K15" s="20"/>
      <c r="L15" s="20"/>
      <c r="M15" s="20"/>
      <c r="N15" s="18" t="str">
        <f aca="false">IF(COUNTBLANK(E15:M15)=9,"",IF(COUNTIF(E15:M15,"Fail")&gt;0,"Fail",IF(COUNTBLANK(E15:M15)&gt;0,"Incomplete","Pass")))</f>
        <v/>
      </c>
      <c r="O15" s="18" t="str">
        <f aca="true">IF(N15="","Not Yet Inspected",IF(N15="Fail","Fail",IF(D15="","",IF(D15&lt;TODAY(),"Overdue",IF(D15&lt;=TODAY()+30,"Due (within 30 days)","Pass")))))</f>
        <v>Not Yet Inspected</v>
      </c>
      <c r="P15" s="18"/>
      <c r="Q15" s="18"/>
      <c r="R15" s="19"/>
    </row>
    <row r="16" customFormat="false" ht="15.75" hidden="false" customHeight="true" outlineLevel="0" collapsed="false">
      <c r="A16" s="18"/>
      <c r="B16" s="18"/>
      <c r="C16" s="19"/>
      <c r="D16" s="19" t="str">
        <f aca="false">IF(C16="","",DATE(YEAR(C16)+1,MONTH(C16),DAY(C16)))</f>
        <v/>
      </c>
      <c r="E16" s="20"/>
      <c r="F16" s="20"/>
      <c r="G16" s="20"/>
      <c r="H16" s="20"/>
      <c r="I16" s="20"/>
      <c r="J16" s="20"/>
      <c r="K16" s="20"/>
      <c r="L16" s="20"/>
      <c r="M16" s="20"/>
      <c r="N16" s="18" t="str">
        <f aca="false">IF(COUNTBLANK(E16:M16)=9,"",IF(COUNTIF(E16:M16,"Fail")&gt;0,"Fail",IF(COUNTBLANK(E16:M16)&gt;0,"Incomplete","Pass")))</f>
        <v/>
      </c>
      <c r="O16" s="18" t="str">
        <f aca="true">IF(N16="","Not Yet Inspected",IF(N16="Fail","Fail",IF(D16="","",IF(D16&lt;TODAY(),"Overdue",IF(D16&lt;=TODAY()+30,"Due (within 30 days)","Pass")))))</f>
        <v>Not Yet Inspected</v>
      </c>
      <c r="P16" s="18"/>
      <c r="Q16" s="18"/>
      <c r="R16" s="19"/>
    </row>
    <row r="17" customFormat="false" ht="15.75" hidden="false" customHeight="true" outlineLevel="0" collapsed="false">
      <c r="A17" s="18"/>
      <c r="B17" s="18"/>
      <c r="C17" s="19"/>
      <c r="D17" s="19" t="str">
        <f aca="false">IF(C17="","",DATE(YEAR(C17)+1,MONTH(C17),DAY(C17)))</f>
        <v/>
      </c>
      <c r="E17" s="20"/>
      <c r="F17" s="20"/>
      <c r="G17" s="20"/>
      <c r="H17" s="20"/>
      <c r="I17" s="20"/>
      <c r="J17" s="20"/>
      <c r="K17" s="20"/>
      <c r="L17" s="20"/>
      <c r="M17" s="20"/>
      <c r="N17" s="18" t="str">
        <f aca="false">IF(COUNTBLANK(E17:M17)=9,"",IF(COUNTIF(E17:M17,"Fail")&gt;0,"Fail",IF(COUNTBLANK(E17:M17)&gt;0,"Incomplete","Pass")))</f>
        <v/>
      </c>
      <c r="O17" s="18" t="str">
        <f aca="true">IF(N17="","Not Yet Inspected",IF(N17="Fail","Fail",IF(D17="","",IF(D17&lt;TODAY(),"Overdue",IF(D17&lt;=TODAY()+30,"Due (within 30 days)","Pass")))))</f>
        <v>Not Yet Inspected</v>
      </c>
      <c r="P17" s="18"/>
      <c r="Q17" s="18"/>
      <c r="R17" s="19"/>
    </row>
    <row r="18" customFormat="false" ht="15.75" hidden="false" customHeight="true" outlineLevel="0" collapsed="false">
      <c r="A18" s="18"/>
      <c r="B18" s="18"/>
      <c r="C18" s="19"/>
      <c r="D18" s="19" t="str">
        <f aca="false">IF(C18="","",DATE(YEAR(C18)+1,MONTH(C18),DAY(C18)))</f>
        <v/>
      </c>
      <c r="E18" s="20"/>
      <c r="F18" s="20"/>
      <c r="G18" s="20"/>
      <c r="H18" s="20"/>
      <c r="I18" s="20"/>
      <c r="J18" s="20"/>
      <c r="K18" s="20"/>
      <c r="L18" s="20"/>
      <c r="M18" s="20"/>
      <c r="N18" s="18" t="str">
        <f aca="false">IF(COUNTBLANK(E18:M18)=9,"",IF(COUNTIF(E18:M18,"Fail")&gt;0,"Fail",IF(COUNTBLANK(E18:M18)&gt;0,"Incomplete","Pass")))</f>
        <v/>
      </c>
      <c r="O18" s="18" t="str">
        <f aca="true">IF(N18="","Not Yet Inspected",IF(N18="Fail","Fail",IF(D18="","",IF(D18&lt;TODAY(),"Overdue",IF(D18&lt;=TODAY()+30,"Due (within 30 days)","Pass")))))</f>
        <v>Not Yet Inspected</v>
      </c>
      <c r="P18" s="18"/>
      <c r="Q18" s="18"/>
      <c r="R18" s="19"/>
    </row>
    <row r="19" customFormat="false" ht="15.75" hidden="false" customHeight="true" outlineLevel="0" collapsed="false">
      <c r="A19" s="18"/>
      <c r="B19" s="18"/>
      <c r="C19" s="19"/>
      <c r="D19" s="19" t="str">
        <f aca="false">IF(C19="","",DATE(YEAR(C19)+1,MONTH(C19),DAY(C19)))</f>
        <v/>
      </c>
      <c r="E19" s="20"/>
      <c r="F19" s="20"/>
      <c r="G19" s="20"/>
      <c r="H19" s="20"/>
      <c r="I19" s="20"/>
      <c r="J19" s="20"/>
      <c r="K19" s="20"/>
      <c r="L19" s="20"/>
      <c r="M19" s="20"/>
      <c r="N19" s="18" t="str">
        <f aca="false">IF(COUNTBLANK(E19:M19)=9,"",IF(COUNTIF(E19:M19,"Fail")&gt;0,"Fail",IF(COUNTBLANK(E19:M19)&gt;0,"Incomplete","Pass")))</f>
        <v/>
      </c>
      <c r="O19" s="18" t="str">
        <f aca="true">IF(N19="","Not Yet Inspected",IF(N19="Fail","Fail",IF(D19="","",IF(D19&lt;TODAY(),"Overdue",IF(D19&lt;=TODAY()+30,"Due (within 30 days)","Pass")))))</f>
        <v>Not Yet Inspected</v>
      </c>
      <c r="P19" s="18"/>
      <c r="Q19" s="18"/>
      <c r="R19" s="19"/>
    </row>
    <row r="20" customFormat="false" ht="15.75" hidden="false" customHeight="true" outlineLevel="0" collapsed="false">
      <c r="A20" s="18"/>
      <c r="B20" s="18"/>
      <c r="C20" s="19"/>
      <c r="D20" s="19" t="str">
        <f aca="false">IF(C20="","",DATE(YEAR(C20)+1,MONTH(C20),DAY(C20)))</f>
        <v/>
      </c>
      <c r="E20" s="20"/>
      <c r="F20" s="20"/>
      <c r="G20" s="20"/>
      <c r="H20" s="20"/>
      <c r="I20" s="20"/>
      <c r="J20" s="20"/>
      <c r="K20" s="20"/>
      <c r="L20" s="20"/>
      <c r="M20" s="20"/>
      <c r="N20" s="18" t="str">
        <f aca="false">IF(COUNTBLANK(E20:M20)=9,"",IF(COUNTIF(E20:M20,"Fail")&gt;0,"Fail",IF(COUNTBLANK(E20:M20)&gt;0,"Incomplete","Pass")))</f>
        <v/>
      </c>
      <c r="O20" s="18" t="str">
        <f aca="true">IF(N20="","Not Yet Inspected",IF(N20="Fail","Fail",IF(D20="","",IF(D20&lt;TODAY(),"Overdue",IF(D20&lt;=TODAY()+30,"Due (within 30 days)","Pass")))))</f>
        <v>Not Yet Inspected</v>
      </c>
      <c r="P20" s="18"/>
      <c r="Q20" s="18"/>
      <c r="R20" s="19"/>
    </row>
    <row r="21" customFormat="false" ht="15.75" hidden="false" customHeight="true" outlineLevel="0" collapsed="false">
      <c r="A21" s="18"/>
      <c r="B21" s="18"/>
      <c r="C21" s="19"/>
      <c r="D21" s="19" t="str">
        <f aca="false">IF(C21="","",DATE(YEAR(C21)+1,MONTH(C21),DAY(C21)))</f>
        <v/>
      </c>
      <c r="E21" s="20"/>
      <c r="F21" s="20"/>
      <c r="G21" s="20"/>
      <c r="H21" s="20"/>
      <c r="I21" s="20"/>
      <c r="J21" s="20"/>
      <c r="K21" s="20"/>
      <c r="L21" s="20"/>
      <c r="M21" s="20"/>
      <c r="N21" s="18" t="str">
        <f aca="false">IF(COUNTBLANK(E21:M21)=9,"",IF(COUNTIF(E21:M21,"Fail")&gt;0,"Fail",IF(COUNTBLANK(E21:M21)&gt;0,"Incomplete","Pass")))</f>
        <v/>
      </c>
      <c r="O21" s="18" t="str">
        <f aca="true">IF(N21="","Not Yet Inspected",IF(N21="Fail","Fail",IF(D21="","",IF(D21&lt;TODAY(),"Overdue",IF(D21&lt;=TODAY()+30,"Due (within 30 days)","Pass")))))</f>
        <v>Not Yet Inspected</v>
      </c>
      <c r="P21" s="18"/>
      <c r="Q21" s="18"/>
      <c r="R21" s="19"/>
    </row>
    <row r="22" customFormat="false" ht="15.75" hidden="false" customHeight="true" outlineLevel="0" collapsed="false">
      <c r="A22" s="18"/>
      <c r="B22" s="18"/>
      <c r="C22" s="19"/>
      <c r="D22" s="19" t="str">
        <f aca="false">IF(C22="","",DATE(YEAR(C22)+1,MONTH(C22),DAY(C22)))</f>
        <v/>
      </c>
      <c r="E22" s="20"/>
      <c r="F22" s="20"/>
      <c r="G22" s="20"/>
      <c r="H22" s="20"/>
      <c r="I22" s="20"/>
      <c r="J22" s="20"/>
      <c r="K22" s="20"/>
      <c r="L22" s="20"/>
      <c r="M22" s="20"/>
      <c r="N22" s="18" t="str">
        <f aca="false">IF(COUNTBLANK(E22:M22)=9,"",IF(COUNTIF(E22:M22,"Fail")&gt;0,"Fail",IF(COUNTBLANK(E22:M22)&gt;0,"Incomplete","Pass")))</f>
        <v/>
      </c>
      <c r="O22" s="18" t="str">
        <f aca="true">IF(N22="","Not Yet Inspected",IF(N22="Fail","Fail",IF(D22="","",IF(D22&lt;TODAY(),"Overdue",IF(D22&lt;=TODAY()+30,"Due (within 30 days)","Pass")))))</f>
        <v>Not Yet Inspected</v>
      </c>
      <c r="P22" s="18"/>
      <c r="Q22" s="18"/>
      <c r="R22" s="19"/>
    </row>
    <row r="23" customFormat="false" ht="15.75" hidden="false" customHeight="true" outlineLevel="0" collapsed="false">
      <c r="A23" s="18"/>
      <c r="B23" s="18"/>
      <c r="C23" s="19"/>
      <c r="D23" s="19" t="str">
        <f aca="false">IF(C23="","",DATE(YEAR(C23)+1,MONTH(C23),DAY(C23)))</f>
        <v/>
      </c>
      <c r="E23" s="20"/>
      <c r="F23" s="20"/>
      <c r="G23" s="20"/>
      <c r="H23" s="20"/>
      <c r="I23" s="20"/>
      <c r="J23" s="20"/>
      <c r="K23" s="20"/>
      <c r="L23" s="20"/>
      <c r="M23" s="20"/>
      <c r="N23" s="18" t="str">
        <f aca="false">IF(COUNTBLANK(E23:M23)=9,"",IF(COUNTIF(E23:M23,"Fail")&gt;0,"Fail",IF(COUNTBLANK(E23:M23)&gt;0,"Incomplete","Pass")))</f>
        <v/>
      </c>
      <c r="O23" s="18" t="str">
        <f aca="true">IF(N23="","Not Yet Inspected",IF(N23="Fail","Fail",IF(D23="","",IF(D23&lt;TODAY(),"Overdue",IF(D23&lt;=TODAY()+30,"Due (within 30 days)","Pass")))))</f>
        <v>Not Yet Inspected</v>
      </c>
      <c r="P23" s="18"/>
      <c r="Q23" s="18"/>
      <c r="R23" s="19"/>
    </row>
    <row r="24" customFormat="false" ht="15.75" hidden="false" customHeight="true" outlineLevel="0" collapsed="false">
      <c r="A24" s="18"/>
      <c r="B24" s="18"/>
      <c r="C24" s="19"/>
      <c r="D24" s="19" t="str">
        <f aca="false">IF(C24="","",DATE(YEAR(C24)+1,MONTH(C24),DAY(C24)))</f>
        <v/>
      </c>
      <c r="E24" s="20"/>
      <c r="F24" s="20"/>
      <c r="G24" s="20"/>
      <c r="H24" s="20"/>
      <c r="I24" s="20"/>
      <c r="J24" s="20"/>
      <c r="K24" s="20"/>
      <c r="L24" s="20"/>
      <c r="M24" s="20"/>
      <c r="N24" s="18" t="str">
        <f aca="false">IF(COUNTBLANK(E24:M24)=9,"",IF(COUNTIF(E24:M24,"Fail")&gt;0,"Fail",IF(COUNTBLANK(E24:M24)&gt;0,"Incomplete","Pass")))</f>
        <v/>
      </c>
      <c r="O24" s="18" t="str">
        <f aca="true">IF(N24="","Not Yet Inspected",IF(N24="Fail","Fail",IF(D24="","",IF(D24&lt;TODAY(),"Overdue",IF(D24&lt;=TODAY()+30,"Due (within 30 days)","Pass")))))</f>
        <v>Not Yet Inspected</v>
      </c>
      <c r="P24" s="18"/>
      <c r="Q24" s="18"/>
      <c r="R24" s="19"/>
    </row>
    <row r="25" customFormat="false" ht="15.75" hidden="false" customHeight="true" outlineLevel="0" collapsed="false">
      <c r="A25" s="18"/>
      <c r="B25" s="18"/>
      <c r="C25" s="19"/>
      <c r="D25" s="19" t="str">
        <f aca="false">IF(C25="","",DATE(YEAR(C25)+1,MONTH(C25),DAY(C25)))</f>
        <v/>
      </c>
      <c r="E25" s="20"/>
      <c r="F25" s="20"/>
      <c r="G25" s="20"/>
      <c r="H25" s="20"/>
      <c r="I25" s="20"/>
      <c r="J25" s="20"/>
      <c r="K25" s="20"/>
      <c r="L25" s="20"/>
      <c r="M25" s="20"/>
      <c r="N25" s="18" t="str">
        <f aca="false">IF(COUNTBLANK(E25:M25)=9,"",IF(COUNTIF(E25:M25,"Fail")&gt;0,"Fail",IF(COUNTBLANK(E25:M25)&gt;0,"Incomplete","Pass")))</f>
        <v/>
      </c>
      <c r="O25" s="18" t="str">
        <f aca="true">IF(N25="","Not Yet Inspected",IF(N25="Fail","Fail",IF(D25="","",IF(D25&lt;TODAY(),"Overdue",IF(D25&lt;=TODAY()+30,"Due (within 30 days)","Pass")))))</f>
        <v>Not Yet Inspected</v>
      </c>
      <c r="P25" s="18"/>
      <c r="Q25" s="18"/>
      <c r="R25" s="19"/>
    </row>
    <row r="26" customFormat="false" ht="15.75" hidden="false" customHeight="true" outlineLevel="0" collapsed="false">
      <c r="A26" s="18"/>
      <c r="B26" s="18"/>
      <c r="C26" s="19"/>
      <c r="D26" s="19" t="str">
        <f aca="false">IF(C26="","",DATE(YEAR(C26)+1,MONTH(C26),DAY(C26)))</f>
        <v/>
      </c>
      <c r="E26" s="20"/>
      <c r="F26" s="20"/>
      <c r="G26" s="20"/>
      <c r="H26" s="20"/>
      <c r="I26" s="20"/>
      <c r="J26" s="20"/>
      <c r="K26" s="20"/>
      <c r="L26" s="20"/>
      <c r="M26" s="20"/>
      <c r="N26" s="18" t="str">
        <f aca="false">IF(COUNTBLANK(E26:M26)=9,"",IF(COUNTIF(E26:M26,"Fail")&gt;0,"Fail",IF(COUNTBLANK(E26:M26)&gt;0,"Incomplete","Pass")))</f>
        <v/>
      </c>
      <c r="O26" s="18" t="str">
        <f aca="true">IF(N26="","Not Yet Inspected",IF(N26="Fail","Fail",IF(D26="","",IF(D26&lt;TODAY(),"Overdue",IF(D26&lt;=TODAY()+30,"Due (within 30 days)","Pass")))))</f>
        <v>Not Yet Inspected</v>
      </c>
      <c r="P26" s="18"/>
      <c r="Q26" s="18"/>
      <c r="R26" s="19"/>
    </row>
    <row r="27" customFormat="false" ht="15.75" hidden="false" customHeight="true" outlineLevel="0" collapsed="false">
      <c r="A27" s="18"/>
      <c r="B27" s="18"/>
      <c r="C27" s="19"/>
      <c r="D27" s="19" t="str">
        <f aca="false">IF(C27="","",DATE(YEAR(C27)+1,MONTH(C27),DAY(C27)))</f>
        <v/>
      </c>
      <c r="E27" s="20"/>
      <c r="F27" s="20"/>
      <c r="G27" s="20"/>
      <c r="H27" s="20"/>
      <c r="I27" s="20"/>
      <c r="J27" s="20"/>
      <c r="K27" s="20"/>
      <c r="L27" s="20"/>
      <c r="M27" s="20"/>
      <c r="N27" s="18" t="str">
        <f aca="false">IF(COUNTBLANK(E27:M27)=9,"",IF(COUNTIF(E27:M27,"Fail")&gt;0,"Fail",IF(COUNTBLANK(E27:M27)&gt;0,"Incomplete","Pass")))</f>
        <v/>
      </c>
      <c r="O27" s="18" t="str">
        <f aca="true">IF(N27="","Not Yet Inspected",IF(N27="Fail","Fail",IF(D27="","",IF(D27&lt;TODAY(),"Overdue",IF(D27&lt;=TODAY()+30,"Due (within 30 days)","Pass")))))</f>
        <v>Not Yet Inspected</v>
      </c>
      <c r="P27" s="18"/>
      <c r="Q27" s="18"/>
      <c r="R27" s="19"/>
    </row>
    <row r="28" customFormat="false" ht="15.75" hidden="false" customHeight="true" outlineLevel="0" collapsed="false">
      <c r="A28" s="18"/>
      <c r="B28" s="18"/>
      <c r="C28" s="19"/>
      <c r="D28" s="19" t="str">
        <f aca="false">IF(C28="","",DATE(YEAR(C28)+1,MONTH(C28),DAY(C28)))</f>
        <v/>
      </c>
      <c r="E28" s="20"/>
      <c r="F28" s="20"/>
      <c r="G28" s="20"/>
      <c r="H28" s="20"/>
      <c r="I28" s="20"/>
      <c r="J28" s="20"/>
      <c r="K28" s="20"/>
      <c r="L28" s="20"/>
      <c r="M28" s="20"/>
      <c r="N28" s="18" t="str">
        <f aca="false">IF(COUNTBLANK(E28:M28)=9,"",IF(COUNTIF(E28:M28,"Fail")&gt;0,"Fail",IF(COUNTBLANK(E28:M28)&gt;0,"Incomplete","Pass")))</f>
        <v/>
      </c>
      <c r="O28" s="18" t="str">
        <f aca="true">IF(N28="","Not Yet Inspected",IF(N28="Fail","Fail",IF(D28="","",IF(D28&lt;TODAY(),"Overdue",IF(D28&lt;=TODAY()+30,"Due (within 30 days)","Pass")))))</f>
        <v>Not Yet Inspected</v>
      </c>
      <c r="P28" s="18"/>
      <c r="Q28" s="18"/>
      <c r="R28" s="19"/>
    </row>
    <row r="29" customFormat="false" ht="15.75" hidden="false" customHeight="true" outlineLevel="0" collapsed="false">
      <c r="A29" s="18"/>
      <c r="B29" s="18"/>
      <c r="C29" s="19"/>
      <c r="D29" s="19" t="str">
        <f aca="false">IF(C29="","",DATE(YEAR(C29)+1,MONTH(C29),DAY(C29)))</f>
        <v/>
      </c>
      <c r="E29" s="20"/>
      <c r="F29" s="20"/>
      <c r="G29" s="20"/>
      <c r="H29" s="20"/>
      <c r="I29" s="20"/>
      <c r="J29" s="20"/>
      <c r="K29" s="20"/>
      <c r="L29" s="20"/>
      <c r="M29" s="20"/>
      <c r="N29" s="18" t="str">
        <f aca="false">IF(COUNTBLANK(E29:M29)=9,"",IF(COUNTIF(E29:M29,"Fail")&gt;0,"Fail",IF(COUNTBLANK(E29:M29)&gt;0,"Incomplete","Pass")))</f>
        <v/>
      </c>
      <c r="O29" s="18" t="str">
        <f aca="true">IF(N29="","Not Yet Inspected",IF(N29="Fail","Fail",IF(D29="","",IF(D29&lt;TODAY(),"Overdue",IF(D29&lt;=TODAY()+30,"Due (within 30 days)","Pass")))))</f>
        <v>Not Yet Inspected</v>
      </c>
      <c r="P29" s="18"/>
      <c r="Q29" s="18"/>
      <c r="R29" s="19"/>
    </row>
    <row r="30" customFormat="false" ht="15.75" hidden="false" customHeight="true" outlineLevel="0" collapsed="false">
      <c r="A30" s="18"/>
      <c r="B30" s="18"/>
      <c r="C30" s="19"/>
      <c r="D30" s="19" t="str">
        <f aca="false">IF(C30="","",DATE(YEAR(C30)+1,MONTH(C30),DAY(C30)))</f>
        <v/>
      </c>
      <c r="E30" s="20"/>
      <c r="F30" s="20"/>
      <c r="G30" s="20"/>
      <c r="H30" s="20"/>
      <c r="I30" s="20"/>
      <c r="J30" s="20"/>
      <c r="K30" s="20"/>
      <c r="L30" s="20"/>
      <c r="M30" s="20"/>
      <c r="N30" s="18" t="str">
        <f aca="false">IF(COUNTBLANK(E30:M30)=9,"",IF(COUNTIF(E30:M30,"Fail")&gt;0,"Fail",IF(COUNTBLANK(E30:M30)&gt;0,"Incomplete","Pass")))</f>
        <v/>
      </c>
      <c r="O30" s="18" t="str">
        <f aca="true">IF(N30="","Not Yet Inspected",IF(N30="Fail","Fail",IF(D30="","",IF(D30&lt;TODAY(),"Overdue",IF(D30&lt;=TODAY()+30,"Due (within 30 days)","Pass")))))</f>
        <v>Not Yet Inspected</v>
      </c>
      <c r="P30" s="18"/>
      <c r="Q30" s="18"/>
      <c r="R30" s="19"/>
    </row>
    <row r="31" customFormat="false" ht="15.75" hidden="false" customHeight="true" outlineLevel="0" collapsed="false">
      <c r="A31" s="18"/>
      <c r="B31" s="18"/>
      <c r="C31" s="19"/>
      <c r="D31" s="19" t="str">
        <f aca="false">IF(C31="","",DATE(YEAR(C31)+1,MONTH(C31),DAY(C31)))</f>
        <v/>
      </c>
      <c r="E31" s="20"/>
      <c r="F31" s="20"/>
      <c r="G31" s="20"/>
      <c r="H31" s="20"/>
      <c r="I31" s="20"/>
      <c r="J31" s="20"/>
      <c r="K31" s="20"/>
      <c r="L31" s="20"/>
      <c r="M31" s="20"/>
      <c r="N31" s="18" t="str">
        <f aca="false">IF(COUNTBLANK(E31:M31)=9,"",IF(COUNTIF(E31:M31,"Fail")&gt;0,"Fail",IF(COUNTBLANK(E31:M31)&gt;0,"Incomplete","Pass")))</f>
        <v/>
      </c>
      <c r="O31" s="18" t="str">
        <f aca="true">IF(N31="","Not Yet Inspected",IF(N31="Fail","Fail",IF(D31="","",IF(D31&lt;TODAY(),"Overdue",IF(D31&lt;=TODAY()+30,"Due (within 30 days)","Pass")))))</f>
        <v>Not Yet Inspected</v>
      </c>
      <c r="P31" s="18"/>
      <c r="Q31" s="18"/>
      <c r="R31" s="19"/>
    </row>
    <row r="32" customFormat="false" ht="15.75" hidden="false" customHeight="true" outlineLevel="0" collapsed="false">
      <c r="A32" s="18"/>
      <c r="B32" s="18"/>
      <c r="C32" s="19"/>
      <c r="D32" s="19" t="str">
        <f aca="false">IF(C32="","",DATE(YEAR(C32)+1,MONTH(C32),DAY(C32)))</f>
        <v/>
      </c>
      <c r="E32" s="20"/>
      <c r="F32" s="20"/>
      <c r="G32" s="20"/>
      <c r="H32" s="20"/>
      <c r="I32" s="20"/>
      <c r="J32" s="20"/>
      <c r="K32" s="20"/>
      <c r="L32" s="20"/>
      <c r="M32" s="20"/>
      <c r="N32" s="18" t="str">
        <f aca="false">IF(COUNTBLANK(E32:M32)=9,"",IF(COUNTIF(E32:M32,"Fail")&gt;0,"Fail",IF(COUNTBLANK(E32:M32)&gt;0,"Incomplete","Pass")))</f>
        <v/>
      </c>
      <c r="O32" s="18" t="str">
        <f aca="true">IF(N32="","Not Yet Inspected",IF(N32="Fail","Fail",IF(D32="","",IF(D32&lt;TODAY(),"Overdue",IF(D32&lt;=TODAY()+30,"Due (within 30 days)","Pass")))))</f>
        <v>Not Yet Inspected</v>
      </c>
      <c r="P32" s="18"/>
      <c r="Q32" s="18"/>
      <c r="R32" s="19"/>
    </row>
    <row r="33" customFormat="false" ht="15.75" hidden="false" customHeight="true" outlineLevel="0" collapsed="false">
      <c r="A33" s="18"/>
      <c r="B33" s="18"/>
      <c r="C33" s="19"/>
      <c r="D33" s="19" t="str">
        <f aca="false">IF(C33="","",DATE(YEAR(C33)+1,MONTH(C33),DAY(C33)))</f>
        <v/>
      </c>
      <c r="E33" s="20"/>
      <c r="F33" s="20"/>
      <c r="G33" s="20"/>
      <c r="H33" s="20"/>
      <c r="I33" s="20"/>
      <c r="J33" s="20"/>
      <c r="K33" s="20"/>
      <c r="L33" s="20"/>
      <c r="M33" s="20"/>
      <c r="N33" s="18" t="str">
        <f aca="false">IF(COUNTBLANK(E33:M33)=9,"",IF(COUNTIF(E33:M33,"Fail")&gt;0,"Fail",IF(COUNTBLANK(E33:M33)&gt;0,"Incomplete","Pass")))</f>
        <v/>
      </c>
      <c r="O33" s="18" t="str">
        <f aca="true">IF(N33="","Not Yet Inspected",IF(N33="Fail","Fail",IF(D33="","",IF(D33&lt;TODAY(),"Overdue",IF(D33&lt;=TODAY()+30,"Due (within 30 days)","Pass")))))</f>
        <v>Not Yet Inspected</v>
      </c>
      <c r="P33" s="18"/>
      <c r="Q33" s="18"/>
      <c r="R33" s="19"/>
    </row>
    <row r="34" customFormat="false" ht="15.75" hidden="false" customHeight="true" outlineLevel="0" collapsed="false">
      <c r="A34" s="18"/>
      <c r="B34" s="18"/>
      <c r="C34" s="19"/>
      <c r="D34" s="19" t="str">
        <f aca="false">IF(C34="","",DATE(YEAR(C34)+1,MONTH(C34),DAY(C34)))</f>
        <v/>
      </c>
      <c r="E34" s="20"/>
      <c r="F34" s="20"/>
      <c r="G34" s="20"/>
      <c r="H34" s="20"/>
      <c r="I34" s="20"/>
      <c r="J34" s="20"/>
      <c r="K34" s="20"/>
      <c r="L34" s="20"/>
      <c r="M34" s="20"/>
      <c r="N34" s="18" t="str">
        <f aca="false">IF(COUNTBLANK(E34:M34)=9,"",IF(COUNTIF(E34:M34,"Fail")&gt;0,"Fail",IF(COUNTBLANK(E34:M34)&gt;0,"Incomplete","Pass")))</f>
        <v/>
      </c>
      <c r="O34" s="18" t="str">
        <f aca="true">IF(N34="","Not Yet Inspected",IF(N34="Fail","Fail",IF(D34="","",IF(D34&lt;TODAY(),"Overdue",IF(D34&lt;=TODAY()+30,"Due (within 30 days)","Pass")))))</f>
        <v>Not Yet Inspected</v>
      </c>
      <c r="P34" s="18"/>
      <c r="Q34" s="18"/>
      <c r="R34" s="19"/>
    </row>
    <row r="35" customFormat="false" ht="15.75" hidden="false" customHeight="true" outlineLevel="0" collapsed="false">
      <c r="A35" s="18"/>
      <c r="B35" s="18"/>
      <c r="C35" s="19"/>
      <c r="D35" s="19" t="str">
        <f aca="false">IF(C35="","",DATE(YEAR(C35)+1,MONTH(C35),DAY(C35)))</f>
        <v/>
      </c>
      <c r="E35" s="20"/>
      <c r="F35" s="20"/>
      <c r="G35" s="20"/>
      <c r="H35" s="20"/>
      <c r="I35" s="20"/>
      <c r="J35" s="20"/>
      <c r="K35" s="20"/>
      <c r="L35" s="20"/>
      <c r="M35" s="20"/>
      <c r="N35" s="18" t="str">
        <f aca="false">IF(COUNTBLANK(E35:M35)=9,"",IF(COUNTIF(E35:M35,"Fail")&gt;0,"Fail",IF(COUNTBLANK(E35:M35)&gt;0,"Incomplete","Pass")))</f>
        <v/>
      </c>
      <c r="O35" s="18" t="str">
        <f aca="true">IF(N35="","Not Yet Inspected",IF(N35="Fail","Fail",IF(D35="","",IF(D35&lt;TODAY(),"Overdue",IF(D35&lt;=TODAY()+30,"Due (within 30 days)","Pass")))))</f>
        <v>Not Yet Inspected</v>
      </c>
      <c r="P35" s="18"/>
      <c r="Q35" s="18"/>
      <c r="R35" s="19"/>
    </row>
    <row r="36" customFormat="false" ht="15.75" hidden="false" customHeight="true" outlineLevel="0" collapsed="false">
      <c r="A36" s="18"/>
      <c r="B36" s="18"/>
      <c r="C36" s="19"/>
      <c r="D36" s="19" t="str">
        <f aca="false">IF(C36="","",DATE(YEAR(C36)+1,MONTH(C36),DAY(C36)))</f>
        <v/>
      </c>
      <c r="E36" s="20"/>
      <c r="F36" s="20"/>
      <c r="G36" s="20"/>
      <c r="H36" s="20"/>
      <c r="I36" s="20"/>
      <c r="J36" s="20"/>
      <c r="K36" s="20"/>
      <c r="L36" s="20"/>
      <c r="M36" s="20"/>
      <c r="N36" s="18" t="str">
        <f aca="false">IF(COUNTBLANK(E36:M36)=9,"",IF(COUNTIF(E36:M36,"Fail")&gt;0,"Fail",IF(COUNTBLANK(E36:M36)&gt;0,"Incomplete","Pass")))</f>
        <v/>
      </c>
      <c r="O36" s="18" t="str">
        <f aca="true">IF(N36="","Not Yet Inspected",IF(N36="Fail","Fail",IF(D36="","",IF(D36&lt;TODAY(),"Overdue",IF(D36&lt;=TODAY()+30,"Due (within 30 days)","Pass")))))</f>
        <v>Not Yet Inspected</v>
      </c>
      <c r="P36" s="18"/>
      <c r="Q36" s="18"/>
      <c r="R36" s="19"/>
    </row>
    <row r="37" customFormat="false" ht="15.75" hidden="false" customHeight="true" outlineLevel="0" collapsed="false">
      <c r="A37" s="18"/>
      <c r="B37" s="18"/>
      <c r="C37" s="19"/>
      <c r="D37" s="19" t="str">
        <f aca="false">IF(C37="","",DATE(YEAR(C37)+1,MONTH(C37),DAY(C37)))</f>
        <v/>
      </c>
      <c r="E37" s="20"/>
      <c r="F37" s="20"/>
      <c r="G37" s="20"/>
      <c r="H37" s="20"/>
      <c r="I37" s="20"/>
      <c r="J37" s="20"/>
      <c r="K37" s="20"/>
      <c r="L37" s="20"/>
      <c r="M37" s="20"/>
      <c r="N37" s="18" t="str">
        <f aca="false">IF(COUNTBLANK(E37:M37)=9,"",IF(COUNTIF(E37:M37,"Fail")&gt;0,"Fail",IF(COUNTBLANK(E37:M37)&gt;0,"Incomplete","Pass")))</f>
        <v/>
      </c>
      <c r="O37" s="18" t="str">
        <f aca="true">IF(N37="","Not Yet Inspected",IF(N37="Fail","Fail",IF(D37="","",IF(D37&lt;TODAY(),"Overdue",IF(D37&lt;=TODAY()+30,"Due (within 30 days)","Pass")))))</f>
        <v>Not Yet Inspected</v>
      </c>
      <c r="P37" s="18"/>
      <c r="Q37" s="18"/>
      <c r="R37" s="19"/>
    </row>
    <row r="38" customFormat="false" ht="15.75" hidden="false" customHeight="true" outlineLevel="0" collapsed="false">
      <c r="A38" s="18"/>
      <c r="B38" s="18"/>
      <c r="C38" s="19"/>
      <c r="D38" s="19" t="str">
        <f aca="false">IF(C38="","",DATE(YEAR(C38)+1,MONTH(C38),DAY(C38)))</f>
        <v/>
      </c>
      <c r="E38" s="20"/>
      <c r="F38" s="20"/>
      <c r="G38" s="20"/>
      <c r="H38" s="20"/>
      <c r="I38" s="20"/>
      <c r="J38" s="20"/>
      <c r="K38" s="20"/>
      <c r="L38" s="20"/>
      <c r="M38" s="20"/>
      <c r="N38" s="18" t="str">
        <f aca="false">IF(COUNTBLANK(E38:M38)=9,"",IF(COUNTIF(E38:M38,"Fail")&gt;0,"Fail",IF(COUNTBLANK(E38:M38)&gt;0,"Incomplete","Pass")))</f>
        <v/>
      </c>
      <c r="O38" s="18" t="str">
        <f aca="true">IF(N38="","Not Yet Inspected",IF(N38="Fail","Fail",IF(D38="","",IF(D38&lt;TODAY(),"Overdue",IF(D38&lt;=TODAY()+30,"Due (within 30 days)","Pass")))))</f>
        <v>Not Yet Inspected</v>
      </c>
      <c r="P38" s="18"/>
      <c r="Q38" s="18"/>
      <c r="R38" s="19"/>
    </row>
    <row r="39" customFormat="false" ht="15.75" hidden="false" customHeight="true" outlineLevel="0" collapsed="false">
      <c r="A39" s="18"/>
      <c r="B39" s="18"/>
      <c r="C39" s="19"/>
      <c r="D39" s="19" t="str">
        <f aca="false">IF(C39="","",DATE(YEAR(C39)+1,MONTH(C39),DAY(C39)))</f>
        <v/>
      </c>
      <c r="E39" s="20"/>
      <c r="F39" s="20"/>
      <c r="G39" s="20"/>
      <c r="H39" s="20"/>
      <c r="I39" s="20"/>
      <c r="J39" s="20"/>
      <c r="K39" s="20"/>
      <c r="L39" s="20"/>
      <c r="M39" s="20"/>
      <c r="N39" s="18" t="str">
        <f aca="false">IF(COUNTBLANK(E39:M39)=9,"",IF(COUNTIF(E39:M39,"Fail")&gt;0,"Fail",IF(COUNTBLANK(E39:M39)&gt;0,"Incomplete","Pass")))</f>
        <v/>
      </c>
      <c r="O39" s="18" t="str">
        <f aca="true">IF(N39="","Not Yet Inspected",IF(N39="Fail","Fail",IF(D39="","",IF(D39&lt;TODAY(),"Overdue",IF(D39&lt;=TODAY()+30,"Due (within 30 days)","Pass")))))</f>
        <v>Not Yet Inspected</v>
      </c>
      <c r="P39" s="18"/>
      <c r="Q39" s="18"/>
      <c r="R39" s="19"/>
    </row>
    <row r="40" customFormat="false" ht="15.75" hidden="false" customHeight="true" outlineLevel="0" collapsed="false">
      <c r="A40" s="18"/>
      <c r="B40" s="18"/>
      <c r="C40" s="19"/>
      <c r="D40" s="19" t="str">
        <f aca="false">IF(C40="","",DATE(YEAR(C40)+1,MONTH(C40),DAY(C40)))</f>
        <v/>
      </c>
      <c r="E40" s="20"/>
      <c r="F40" s="20"/>
      <c r="G40" s="20"/>
      <c r="H40" s="20"/>
      <c r="I40" s="20"/>
      <c r="J40" s="20"/>
      <c r="K40" s="20"/>
      <c r="L40" s="20"/>
      <c r="M40" s="20"/>
      <c r="N40" s="18" t="str">
        <f aca="false">IF(COUNTBLANK(E40:M40)=9,"",IF(COUNTIF(E40:M40,"Fail")&gt;0,"Fail",IF(COUNTBLANK(E40:M40)&gt;0,"Incomplete","Pass")))</f>
        <v/>
      </c>
      <c r="O40" s="18" t="str">
        <f aca="true">IF(N40="","Not Yet Inspected",IF(N40="Fail","Fail",IF(D40="","",IF(D40&lt;TODAY(),"Overdue",IF(D40&lt;=TODAY()+30,"Due (within 30 days)","Pass")))))</f>
        <v>Not Yet Inspected</v>
      </c>
      <c r="P40" s="18"/>
      <c r="Q40" s="18"/>
      <c r="R40" s="19"/>
    </row>
    <row r="41" customFormat="false" ht="15.75" hidden="false" customHeight="true" outlineLevel="0" collapsed="false">
      <c r="A41" s="18"/>
      <c r="B41" s="18"/>
      <c r="C41" s="19"/>
      <c r="D41" s="19" t="str">
        <f aca="false">IF(C41="","",DATE(YEAR(C41)+1,MONTH(C41),DAY(C41)))</f>
        <v/>
      </c>
      <c r="E41" s="20"/>
      <c r="F41" s="20"/>
      <c r="G41" s="20"/>
      <c r="H41" s="20"/>
      <c r="I41" s="20"/>
      <c r="J41" s="20"/>
      <c r="K41" s="20"/>
      <c r="L41" s="20"/>
      <c r="M41" s="20"/>
      <c r="N41" s="18" t="str">
        <f aca="false">IF(COUNTBLANK(E41:M41)=9,"",IF(COUNTIF(E41:M41,"Fail")&gt;0,"Fail",IF(COUNTBLANK(E41:M41)&gt;0,"Incomplete","Pass")))</f>
        <v/>
      </c>
      <c r="O41" s="18" t="str">
        <f aca="true">IF(N41="","Not Yet Inspected",IF(N41="Fail","Fail",IF(D41="","",IF(D41&lt;TODAY(),"Overdue",IF(D41&lt;=TODAY()+30,"Due (within 30 days)","Pass")))))</f>
        <v>Not Yet Inspected</v>
      </c>
      <c r="P41" s="18"/>
      <c r="Q41" s="18"/>
      <c r="R41" s="19"/>
    </row>
    <row r="42" customFormat="false" ht="15.75" hidden="false" customHeight="true" outlineLevel="0" collapsed="false">
      <c r="A42" s="18"/>
      <c r="B42" s="18"/>
      <c r="C42" s="19"/>
      <c r="D42" s="19" t="str">
        <f aca="false">IF(C42="","",DATE(YEAR(C42)+1,MONTH(C42),DAY(C42)))</f>
        <v/>
      </c>
      <c r="E42" s="20"/>
      <c r="F42" s="20"/>
      <c r="G42" s="20"/>
      <c r="H42" s="20"/>
      <c r="I42" s="20"/>
      <c r="J42" s="20"/>
      <c r="K42" s="20"/>
      <c r="L42" s="20"/>
      <c r="M42" s="20"/>
      <c r="N42" s="18" t="str">
        <f aca="false">IF(COUNTBLANK(E42:M42)=9,"",IF(COUNTIF(E42:M42,"Fail")&gt;0,"Fail",IF(COUNTBLANK(E42:M42)&gt;0,"Incomplete","Pass")))</f>
        <v/>
      </c>
      <c r="O42" s="18" t="str">
        <f aca="true">IF(N42="","Not Yet Inspected",IF(N42="Fail","Fail",IF(D42="","",IF(D42&lt;TODAY(),"Overdue",IF(D42&lt;=TODAY()+30,"Due (within 30 days)","Pass")))))</f>
        <v>Not Yet Inspected</v>
      </c>
      <c r="P42" s="18"/>
      <c r="Q42" s="18"/>
      <c r="R42" s="19"/>
    </row>
    <row r="43" customFormat="false" ht="15.75" hidden="false" customHeight="true" outlineLevel="0" collapsed="false">
      <c r="A43" s="18"/>
      <c r="B43" s="18"/>
      <c r="C43" s="19"/>
      <c r="D43" s="19" t="str">
        <f aca="false">IF(C43="","",DATE(YEAR(C43)+1,MONTH(C43),DAY(C43)))</f>
        <v/>
      </c>
      <c r="E43" s="20"/>
      <c r="F43" s="20"/>
      <c r="G43" s="20"/>
      <c r="H43" s="20"/>
      <c r="I43" s="20"/>
      <c r="J43" s="20"/>
      <c r="K43" s="20"/>
      <c r="L43" s="20"/>
      <c r="M43" s="20"/>
      <c r="N43" s="18" t="str">
        <f aca="false">IF(COUNTBLANK(E43:M43)=9,"",IF(COUNTIF(E43:M43,"Fail")&gt;0,"Fail",IF(COUNTBLANK(E43:M43)&gt;0,"Incomplete","Pass")))</f>
        <v/>
      </c>
      <c r="O43" s="18" t="str">
        <f aca="true">IF(N43="","Not Yet Inspected",IF(N43="Fail","Fail",IF(D43="","",IF(D43&lt;TODAY(),"Overdue",IF(D43&lt;=TODAY()+30,"Due (within 30 days)","Pass")))))</f>
        <v>Not Yet Inspected</v>
      </c>
      <c r="P43" s="18"/>
      <c r="Q43" s="18"/>
      <c r="R43" s="19"/>
    </row>
    <row r="44" customFormat="false" ht="15.75" hidden="false" customHeight="true" outlineLevel="0" collapsed="false">
      <c r="A44" s="18"/>
      <c r="B44" s="18"/>
      <c r="C44" s="19"/>
      <c r="D44" s="19" t="str">
        <f aca="false">IF(C44="","",DATE(YEAR(C44)+1,MONTH(C44),DAY(C44)))</f>
        <v/>
      </c>
      <c r="E44" s="20"/>
      <c r="F44" s="20"/>
      <c r="G44" s="20"/>
      <c r="H44" s="20"/>
      <c r="I44" s="20"/>
      <c r="J44" s="20"/>
      <c r="K44" s="20"/>
      <c r="L44" s="20"/>
      <c r="M44" s="20"/>
      <c r="N44" s="18" t="str">
        <f aca="false">IF(COUNTBLANK(E44:M44)=9,"",IF(COUNTIF(E44:M44,"Fail")&gt;0,"Fail",IF(COUNTBLANK(E44:M44)&gt;0,"Incomplete","Pass")))</f>
        <v/>
      </c>
      <c r="O44" s="18" t="str">
        <f aca="true">IF(N44="","Not Yet Inspected",IF(N44="Fail","Fail",IF(D44="","",IF(D44&lt;TODAY(),"Overdue",IF(D44&lt;=TODAY()+30,"Due (within 30 days)","Pass")))))</f>
        <v>Not Yet Inspected</v>
      </c>
      <c r="P44" s="18"/>
      <c r="Q44" s="18"/>
      <c r="R44" s="19"/>
    </row>
    <row r="45" customFormat="false" ht="15.75" hidden="false" customHeight="true" outlineLevel="0" collapsed="false">
      <c r="A45" s="18"/>
      <c r="B45" s="18"/>
      <c r="C45" s="19"/>
      <c r="D45" s="19" t="str">
        <f aca="false">IF(C45="","",DATE(YEAR(C45)+1,MONTH(C45),DAY(C45)))</f>
        <v/>
      </c>
      <c r="E45" s="20"/>
      <c r="F45" s="20"/>
      <c r="G45" s="20"/>
      <c r="H45" s="20"/>
      <c r="I45" s="20"/>
      <c r="J45" s="20"/>
      <c r="K45" s="20"/>
      <c r="L45" s="20"/>
      <c r="M45" s="20"/>
      <c r="N45" s="18" t="str">
        <f aca="false">IF(COUNTBLANK(E45:M45)=9,"",IF(COUNTIF(E45:M45,"Fail")&gt;0,"Fail",IF(COUNTBLANK(E45:M45)&gt;0,"Incomplete","Pass")))</f>
        <v/>
      </c>
      <c r="O45" s="18" t="str">
        <f aca="true">IF(N45="","Not Yet Inspected",IF(N45="Fail","Fail",IF(D45="","",IF(D45&lt;TODAY(),"Overdue",IF(D45&lt;=TODAY()+30,"Due (within 30 days)","Pass")))))</f>
        <v>Not Yet Inspected</v>
      </c>
      <c r="P45" s="18"/>
      <c r="Q45" s="18"/>
      <c r="R45" s="19"/>
    </row>
    <row r="46" customFormat="false" ht="15.75" hidden="false" customHeight="true" outlineLevel="0" collapsed="false">
      <c r="A46" s="18"/>
      <c r="B46" s="18"/>
      <c r="C46" s="19"/>
      <c r="D46" s="19" t="str">
        <f aca="false">IF(C46="","",DATE(YEAR(C46)+1,MONTH(C46),DAY(C46)))</f>
        <v/>
      </c>
      <c r="E46" s="20"/>
      <c r="F46" s="20"/>
      <c r="G46" s="20"/>
      <c r="H46" s="20"/>
      <c r="I46" s="20"/>
      <c r="J46" s="20"/>
      <c r="K46" s="20"/>
      <c r="L46" s="20"/>
      <c r="M46" s="20"/>
      <c r="N46" s="18" t="str">
        <f aca="false">IF(COUNTBLANK(E46:M46)=9,"",IF(COUNTIF(E46:M46,"Fail")&gt;0,"Fail",IF(COUNTBLANK(E46:M46)&gt;0,"Incomplete","Pass")))</f>
        <v/>
      </c>
      <c r="O46" s="18" t="str">
        <f aca="true">IF(N46="","Not Yet Inspected",IF(N46="Fail","Fail",IF(D46="","",IF(D46&lt;TODAY(),"Overdue",IF(D46&lt;=TODAY()+30,"Due (within 30 days)","Pass")))))</f>
        <v>Not Yet Inspected</v>
      </c>
      <c r="P46" s="18"/>
      <c r="Q46" s="18"/>
      <c r="R46" s="19"/>
    </row>
    <row r="47" customFormat="false" ht="15.75" hidden="false" customHeight="true" outlineLevel="0" collapsed="false">
      <c r="A47" s="18"/>
      <c r="B47" s="18"/>
      <c r="C47" s="19"/>
      <c r="D47" s="19" t="str">
        <f aca="false">IF(C47="","",DATE(YEAR(C47)+1,MONTH(C47),DAY(C47)))</f>
        <v/>
      </c>
      <c r="E47" s="20"/>
      <c r="F47" s="20"/>
      <c r="G47" s="20"/>
      <c r="H47" s="20"/>
      <c r="I47" s="20"/>
      <c r="J47" s="20"/>
      <c r="K47" s="20"/>
      <c r="L47" s="20"/>
      <c r="M47" s="20"/>
      <c r="N47" s="18" t="str">
        <f aca="false">IF(COUNTBLANK(E47:M47)=9,"",IF(COUNTIF(E47:M47,"Fail")&gt;0,"Fail",IF(COUNTBLANK(E47:M47)&gt;0,"Incomplete","Pass")))</f>
        <v/>
      </c>
      <c r="O47" s="18" t="str">
        <f aca="true">IF(N47="","Not Yet Inspected",IF(N47="Fail","Fail",IF(D47="","",IF(D47&lt;TODAY(),"Overdue",IF(D47&lt;=TODAY()+30,"Due (within 30 days)","Pass")))))</f>
        <v>Not Yet Inspected</v>
      </c>
      <c r="P47" s="18"/>
      <c r="Q47" s="18"/>
      <c r="R47" s="19"/>
    </row>
    <row r="48" customFormat="false" ht="15.75" hidden="false" customHeight="true" outlineLevel="0" collapsed="false">
      <c r="A48" s="18"/>
      <c r="B48" s="18"/>
      <c r="C48" s="19"/>
      <c r="D48" s="19" t="str">
        <f aca="false">IF(C48="","",DATE(YEAR(C48)+1,MONTH(C48),DAY(C48)))</f>
        <v/>
      </c>
      <c r="E48" s="20"/>
      <c r="F48" s="20"/>
      <c r="G48" s="20"/>
      <c r="H48" s="20"/>
      <c r="I48" s="20"/>
      <c r="J48" s="20"/>
      <c r="K48" s="20"/>
      <c r="L48" s="20"/>
      <c r="M48" s="20"/>
      <c r="N48" s="18" t="str">
        <f aca="false">IF(COUNTBLANK(E48:M48)=9,"",IF(COUNTIF(E48:M48,"Fail")&gt;0,"Fail",IF(COUNTBLANK(E48:M48)&gt;0,"Incomplete","Pass")))</f>
        <v/>
      </c>
      <c r="O48" s="18" t="str">
        <f aca="true">IF(N48="","Not Yet Inspected",IF(N48="Fail","Fail",IF(D48="","",IF(D48&lt;TODAY(),"Overdue",IF(D48&lt;=TODAY()+30,"Due (within 30 days)","Pass")))))</f>
        <v>Not Yet Inspected</v>
      </c>
      <c r="P48" s="18"/>
      <c r="Q48" s="18"/>
      <c r="R48" s="19"/>
    </row>
    <row r="49" customFormat="false" ht="15.75" hidden="false" customHeight="true" outlineLevel="0" collapsed="false">
      <c r="A49" s="18"/>
      <c r="B49" s="18"/>
      <c r="C49" s="19"/>
      <c r="D49" s="19" t="str">
        <f aca="false">IF(C49="","",DATE(YEAR(C49)+1,MONTH(C49),DAY(C49)))</f>
        <v/>
      </c>
      <c r="E49" s="20"/>
      <c r="F49" s="20"/>
      <c r="G49" s="20"/>
      <c r="H49" s="20"/>
      <c r="I49" s="20"/>
      <c r="J49" s="20"/>
      <c r="K49" s="20"/>
      <c r="L49" s="20"/>
      <c r="M49" s="20"/>
      <c r="N49" s="18" t="str">
        <f aca="false">IF(COUNTBLANK(E49:M49)=9,"",IF(COUNTIF(E49:M49,"Fail")&gt;0,"Fail",IF(COUNTBLANK(E49:M49)&gt;0,"Incomplete","Pass")))</f>
        <v/>
      </c>
      <c r="O49" s="18" t="str">
        <f aca="true">IF(N49="","Not Yet Inspected",IF(N49="Fail","Fail",IF(D49="","",IF(D49&lt;TODAY(),"Overdue",IF(D49&lt;=TODAY()+30,"Due (within 30 days)","Pass")))))</f>
        <v>Not Yet Inspected</v>
      </c>
      <c r="P49" s="18"/>
      <c r="Q49" s="18"/>
      <c r="R49" s="19"/>
    </row>
    <row r="50" customFormat="false" ht="15.75" hidden="false" customHeight="true" outlineLevel="0" collapsed="false">
      <c r="A50" s="18"/>
      <c r="B50" s="18"/>
      <c r="C50" s="19"/>
      <c r="D50" s="19" t="str">
        <f aca="false">IF(C50="","",DATE(YEAR(C50)+1,MONTH(C50),DAY(C50)))</f>
        <v/>
      </c>
      <c r="E50" s="20"/>
      <c r="F50" s="20"/>
      <c r="G50" s="20"/>
      <c r="H50" s="20"/>
      <c r="I50" s="20"/>
      <c r="J50" s="20"/>
      <c r="K50" s="20"/>
      <c r="L50" s="20"/>
      <c r="M50" s="20"/>
      <c r="N50" s="18" t="str">
        <f aca="false">IF(COUNTBLANK(E50:M50)=9,"",IF(COUNTIF(E50:M50,"Fail")&gt;0,"Fail",IF(COUNTBLANK(E50:M50)&gt;0,"Incomplete","Pass")))</f>
        <v/>
      </c>
      <c r="O50" s="18" t="str">
        <f aca="true">IF(N50="","Not Yet Inspected",IF(N50="Fail","Fail",IF(D50="","",IF(D50&lt;TODAY(),"Overdue",IF(D50&lt;=TODAY()+30,"Due (within 30 days)","Pass")))))</f>
        <v>Not Yet Inspected</v>
      </c>
      <c r="P50" s="18"/>
      <c r="Q50" s="18"/>
      <c r="R50" s="19"/>
    </row>
    <row r="51" customFormat="false" ht="15.75" hidden="false" customHeight="true" outlineLevel="0" collapsed="false">
      <c r="A51" s="18"/>
      <c r="B51" s="18"/>
      <c r="C51" s="19"/>
      <c r="D51" s="19" t="str">
        <f aca="false">IF(C51="","",DATE(YEAR(C51)+1,MONTH(C51),DAY(C51)))</f>
        <v/>
      </c>
      <c r="E51" s="20"/>
      <c r="F51" s="20"/>
      <c r="G51" s="20"/>
      <c r="H51" s="20"/>
      <c r="I51" s="20"/>
      <c r="J51" s="20"/>
      <c r="K51" s="20"/>
      <c r="L51" s="20"/>
      <c r="M51" s="20"/>
      <c r="N51" s="18" t="str">
        <f aca="false">IF(COUNTBLANK(E51:M51)=9,"",IF(COUNTIF(E51:M51,"Fail")&gt;0,"Fail",IF(COUNTBLANK(E51:M51)&gt;0,"Incomplete","Pass")))</f>
        <v/>
      </c>
      <c r="O51" s="18" t="str">
        <f aca="true">IF(N51="","Not Yet Inspected",IF(N51="Fail","Fail",IF(D51="","",IF(D51&lt;TODAY(),"Overdue",IF(D51&lt;=TODAY()+30,"Due (within 30 days)","Pass")))))</f>
        <v>Not Yet Inspected</v>
      </c>
      <c r="P51" s="18"/>
      <c r="Q51" s="18"/>
      <c r="R51" s="19"/>
    </row>
    <row r="52" customFormat="false" ht="15.75" hidden="false" customHeight="true" outlineLevel="0" collapsed="false">
      <c r="A52" s="18"/>
      <c r="B52" s="18"/>
      <c r="C52" s="19"/>
      <c r="D52" s="19" t="str">
        <f aca="false">IF(C52="","",DATE(YEAR(C52)+1,MONTH(C52),DAY(C52)))</f>
        <v/>
      </c>
      <c r="E52" s="20"/>
      <c r="F52" s="20"/>
      <c r="G52" s="20"/>
      <c r="H52" s="20"/>
      <c r="I52" s="20"/>
      <c r="J52" s="20"/>
      <c r="K52" s="20"/>
      <c r="L52" s="20"/>
      <c r="M52" s="20"/>
      <c r="N52" s="18" t="str">
        <f aca="false">IF(COUNTBLANK(E52:M52)=9,"",IF(COUNTIF(E52:M52,"Fail")&gt;0,"Fail",IF(COUNTBLANK(E52:M52)&gt;0,"Incomplete","Pass")))</f>
        <v/>
      </c>
      <c r="O52" s="18" t="str">
        <f aca="true">IF(N52="","Not Yet Inspected",IF(N52="Fail","Fail",IF(D52="","",IF(D52&lt;TODAY(),"Overdue",IF(D52&lt;=TODAY()+30,"Due (within 30 days)","Pass")))))</f>
        <v>Not Yet Inspected</v>
      </c>
      <c r="P52" s="18"/>
      <c r="Q52" s="18"/>
      <c r="R52" s="19"/>
    </row>
    <row r="53" customFormat="false" ht="15.75" hidden="false" customHeight="true" outlineLevel="0" collapsed="false">
      <c r="A53" s="18"/>
      <c r="B53" s="18"/>
      <c r="C53" s="19"/>
      <c r="D53" s="19" t="str">
        <f aca="false">IF(C53="","",DATE(YEAR(C53)+1,MONTH(C53),DAY(C53)))</f>
        <v/>
      </c>
      <c r="E53" s="20"/>
      <c r="F53" s="20"/>
      <c r="G53" s="20"/>
      <c r="H53" s="20"/>
      <c r="I53" s="20"/>
      <c r="J53" s="20"/>
      <c r="K53" s="20"/>
      <c r="L53" s="20"/>
      <c r="M53" s="20"/>
      <c r="N53" s="18" t="str">
        <f aca="false">IF(COUNTBLANK(E53:M53)=9,"",IF(COUNTIF(E53:M53,"Fail")&gt;0,"Fail",IF(COUNTBLANK(E53:M53)&gt;0,"Incomplete","Pass")))</f>
        <v/>
      </c>
      <c r="O53" s="18" t="str">
        <f aca="true">IF(N53="","Not Yet Inspected",IF(N53="Fail","Fail",IF(D53="","",IF(D53&lt;TODAY(),"Overdue",IF(D53&lt;=TODAY()+30,"Due (within 30 days)","Pass")))))</f>
        <v>Not Yet Inspected</v>
      </c>
      <c r="P53" s="18"/>
      <c r="Q53" s="18"/>
      <c r="R53" s="19"/>
    </row>
    <row r="54" customFormat="false" ht="15.75" hidden="false" customHeight="true" outlineLevel="0" collapsed="false">
      <c r="A54" s="18"/>
      <c r="B54" s="18"/>
      <c r="C54" s="19"/>
      <c r="D54" s="19" t="str">
        <f aca="false">IF(C54="","",DATE(YEAR(C54)+1,MONTH(C54),DAY(C54)))</f>
        <v/>
      </c>
      <c r="E54" s="20"/>
      <c r="F54" s="20"/>
      <c r="G54" s="20"/>
      <c r="H54" s="20"/>
      <c r="I54" s="20"/>
      <c r="J54" s="20"/>
      <c r="K54" s="20"/>
      <c r="L54" s="20"/>
      <c r="M54" s="20"/>
      <c r="N54" s="18" t="str">
        <f aca="false">IF(COUNTBLANK(E54:M54)=9,"",IF(COUNTIF(E54:M54,"Fail")&gt;0,"Fail",IF(COUNTBLANK(E54:M54)&gt;0,"Incomplete","Pass")))</f>
        <v/>
      </c>
      <c r="O54" s="18" t="str">
        <f aca="true">IF(N54="","Not Yet Inspected",IF(N54="Fail","Fail",IF(D54="","",IF(D54&lt;TODAY(),"Overdue",IF(D54&lt;=TODAY()+30,"Due (within 30 days)","Pass")))))</f>
        <v>Not Yet Inspected</v>
      </c>
      <c r="P54" s="18"/>
      <c r="Q54" s="18"/>
      <c r="R54" s="19"/>
    </row>
    <row r="55" customFormat="false" ht="15.75" hidden="false" customHeight="true" outlineLevel="0" collapsed="false">
      <c r="A55" s="18"/>
      <c r="B55" s="18"/>
      <c r="C55" s="19"/>
      <c r="D55" s="19" t="str">
        <f aca="false">IF(C55="","",DATE(YEAR(C55)+1,MONTH(C55),DAY(C55)))</f>
        <v/>
      </c>
      <c r="E55" s="20"/>
      <c r="F55" s="20"/>
      <c r="G55" s="20"/>
      <c r="H55" s="20"/>
      <c r="I55" s="20"/>
      <c r="J55" s="20"/>
      <c r="K55" s="20"/>
      <c r="L55" s="20"/>
      <c r="M55" s="20"/>
      <c r="N55" s="18" t="str">
        <f aca="false">IF(COUNTBLANK(E55:M55)=9,"",IF(COUNTIF(E55:M55,"Fail")&gt;0,"Fail",IF(COUNTBLANK(E55:M55)&gt;0,"Incomplete","Pass")))</f>
        <v/>
      </c>
      <c r="O55" s="18" t="str">
        <f aca="true">IF(N55="","Not Yet Inspected",IF(N55="Fail","Fail",IF(D55="","",IF(D55&lt;TODAY(),"Overdue",IF(D55&lt;=TODAY()+30,"Due (within 30 days)","Pass")))))</f>
        <v>Not Yet Inspected</v>
      </c>
      <c r="P55" s="18"/>
      <c r="Q55" s="18"/>
      <c r="R55" s="19"/>
    </row>
    <row r="56" customFormat="false" ht="15.75" hidden="false" customHeight="true" outlineLevel="0" collapsed="false">
      <c r="A56" s="18"/>
      <c r="B56" s="18"/>
      <c r="C56" s="19"/>
      <c r="D56" s="19" t="str">
        <f aca="false">IF(C56="","",DATE(YEAR(C56)+1,MONTH(C56),DAY(C56)))</f>
        <v/>
      </c>
      <c r="E56" s="20"/>
      <c r="F56" s="20"/>
      <c r="G56" s="20"/>
      <c r="H56" s="20"/>
      <c r="I56" s="20"/>
      <c r="J56" s="20"/>
      <c r="K56" s="20"/>
      <c r="L56" s="20"/>
      <c r="M56" s="20"/>
      <c r="N56" s="18" t="str">
        <f aca="false">IF(COUNTBLANK(E56:M56)=9,"",IF(COUNTIF(E56:M56,"Fail")&gt;0,"Fail",IF(COUNTBLANK(E56:M56)&gt;0,"Incomplete","Pass")))</f>
        <v/>
      </c>
      <c r="O56" s="18" t="str">
        <f aca="true">IF(N56="","Not Yet Inspected",IF(N56="Fail","Fail",IF(D56="","",IF(D56&lt;TODAY(),"Overdue",IF(D56&lt;=TODAY()+30,"Due (within 30 days)","Pass")))))</f>
        <v>Not Yet Inspected</v>
      </c>
      <c r="P56" s="18"/>
      <c r="Q56" s="18"/>
      <c r="R56" s="19"/>
    </row>
    <row r="57" customFormat="false" ht="15.75" hidden="false" customHeight="true" outlineLevel="0" collapsed="false">
      <c r="A57" s="18"/>
      <c r="B57" s="18"/>
      <c r="C57" s="19"/>
      <c r="D57" s="19" t="str">
        <f aca="false">IF(C57="","",DATE(YEAR(C57)+1,MONTH(C57),DAY(C57)))</f>
        <v/>
      </c>
      <c r="E57" s="20"/>
      <c r="F57" s="20"/>
      <c r="G57" s="20"/>
      <c r="H57" s="20"/>
      <c r="I57" s="20"/>
      <c r="J57" s="20"/>
      <c r="K57" s="20"/>
      <c r="L57" s="20"/>
      <c r="M57" s="20"/>
      <c r="N57" s="18" t="str">
        <f aca="false">IF(COUNTBLANK(E57:M57)=9,"",IF(COUNTIF(E57:M57,"Fail")&gt;0,"Fail",IF(COUNTBLANK(E57:M57)&gt;0,"Incomplete","Pass")))</f>
        <v/>
      </c>
      <c r="O57" s="18" t="str">
        <f aca="true">IF(N57="","Not Yet Inspected",IF(N57="Fail","Fail",IF(D57="","",IF(D57&lt;TODAY(),"Overdue",IF(D57&lt;=TODAY()+30,"Due (within 30 days)","Pass")))))</f>
        <v>Not Yet Inspected</v>
      </c>
      <c r="P57" s="18"/>
      <c r="Q57" s="18"/>
      <c r="R57" s="19"/>
    </row>
    <row r="58" customFormat="false" ht="15.75" hidden="false" customHeight="true" outlineLevel="0" collapsed="false">
      <c r="A58" s="18"/>
      <c r="B58" s="18"/>
      <c r="C58" s="19"/>
      <c r="D58" s="19" t="str">
        <f aca="false">IF(C58="","",DATE(YEAR(C58)+1,MONTH(C58),DAY(C58)))</f>
        <v/>
      </c>
      <c r="E58" s="20"/>
      <c r="F58" s="20"/>
      <c r="G58" s="20"/>
      <c r="H58" s="20"/>
      <c r="I58" s="20"/>
      <c r="J58" s="20"/>
      <c r="K58" s="20"/>
      <c r="L58" s="20"/>
      <c r="M58" s="20"/>
      <c r="N58" s="18" t="str">
        <f aca="false">IF(COUNTBLANK(E58:M58)=9,"",IF(COUNTIF(E58:M58,"Fail")&gt;0,"Fail",IF(COUNTBLANK(E58:M58)&gt;0,"Incomplete","Pass")))</f>
        <v/>
      </c>
      <c r="O58" s="18" t="str">
        <f aca="true">IF(N58="","Not Yet Inspected",IF(N58="Fail","Fail",IF(D58="","",IF(D58&lt;TODAY(),"Overdue",IF(D58&lt;=TODAY()+30,"Due (within 30 days)","Pass")))))</f>
        <v>Not Yet Inspected</v>
      </c>
      <c r="P58" s="18"/>
      <c r="Q58" s="18"/>
      <c r="R58" s="19"/>
    </row>
    <row r="59" customFormat="false" ht="15.75" hidden="false" customHeight="true" outlineLevel="0" collapsed="false">
      <c r="A59" s="18"/>
      <c r="B59" s="18"/>
      <c r="C59" s="19"/>
      <c r="D59" s="19" t="str">
        <f aca="false">IF(C59="","",DATE(YEAR(C59)+1,MONTH(C59),DAY(C59)))</f>
        <v/>
      </c>
      <c r="E59" s="20"/>
      <c r="F59" s="20"/>
      <c r="G59" s="20"/>
      <c r="H59" s="20"/>
      <c r="I59" s="20"/>
      <c r="J59" s="20"/>
      <c r="K59" s="20"/>
      <c r="L59" s="20"/>
      <c r="M59" s="20"/>
      <c r="N59" s="18" t="str">
        <f aca="false">IF(COUNTBLANK(E59:M59)=9,"",IF(COUNTIF(E59:M59,"Fail")&gt;0,"Fail",IF(COUNTBLANK(E59:M59)&gt;0,"Incomplete","Pass")))</f>
        <v/>
      </c>
      <c r="O59" s="18" t="str">
        <f aca="true">IF(N59="","Not Yet Inspected",IF(N59="Fail","Fail",IF(D59="","",IF(D59&lt;TODAY(),"Overdue",IF(D59&lt;=TODAY()+30,"Due (within 30 days)","Pass")))))</f>
        <v>Not Yet Inspected</v>
      </c>
      <c r="P59" s="18"/>
      <c r="Q59" s="18"/>
      <c r="R59" s="19"/>
    </row>
    <row r="60" customFormat="false" ht="15.75" hidden="false" customHeight="true" outlineLevel="0" collapsed="false">
      <c r="A60" s="18"/>
      <c r="B60" s="18"/>
      <c r="C60" s="19"/>
      <c r="D60" s="19" t="str">
        <f aca="false">IF(C60="","",DATE(YEAR(C60)+1,MONTH(C60),DAY(C60)))</f>
        <v/>
      </c>
      <c r="E60" s="20"/>
      <c r="F60" s="20"/>
      <c r="G60" s="20"/>
      <c r="H60" s="20"/>
      <c r="I60" s="20"/>
      <c r="J60" s="20"/>
      <c r="K60" s="20"/>
      <c r="L60" s="20"/>
      <c r="M60" s="20"/>
      <c r="N60" s="18" t="str">
        <f aca="false">IF(COUNTBLANK(E60:M60)=9,"",IF(COUNTIF(E60:M60,"Fail")&gt;0,"Fail",IF(COUNTBLANK(E60:M60)&gt;0,"Incomplete","Pass")))</f>
        <v/>
      </c>
      <c r="O60" s="18" t="str">
        <f aca="true">IF(N60="","Not Yet Inspected",IF(N60="Fail","Fail",IF(D60="","",IF(D60&lt;TODAY(),"Overdue",IF(D60&lt;=TODAY()+30,"Due (within 30 days)","Pass")))))</f>
        <v>Not Yet Inspected</v>
      </c>
      <c r="P60" s="18"/>
      <c r="Q60" s="18"/>
      <c r="R60" s="19"/>
    </row>
    <row r="61" customFormat="false" ht="15.75" hidden="false" customHeight="true" outlineLevel="0" collapsed="false">
      <c r="A61" s="18"/>
      <c r="B61" s="18"/>
      <c r="C61" s="19"/>
      <c r="D61" s="19" t="str">
        <f aca="false">IF(C61="","",DATE(YEAR(C61)+1,MONTH(C61),DAY(C61)))</f>
        <v/>
      </c>
      <c r="E61" s="20"/>
      <c r="F61" s="20"/>
      <c r="G61" s="20"/>
      <c r="H61" s="20"/>
      <c r="I61" s="20"/>
      <c r="J61" s="20"/>
      <c r="K61" s="20"/>
      <c r="L61" s="20"/>
      <c r="M61" s="20"/>
      <c r="N61" s="18" t="str">
        <f aca="false">IF(COUNTBLANK(E61:M61)=9,"",IF(COUNTIF(E61:M61,"Fail")&gt;0,"Fail",IF(COUNTBLANK(E61:M61)&gt;0,"Incomplete","Pass")))</f>
        <v/>
      </c>
      <c r="O61" s="18" t="str">
        <f aca="true">IF(N61="","Not Yet Inspected",IF(N61="Fail","Fail",IF(D61="","",IF(D61&lt;TODAY(),"Overdue",IF(D61&lt;=TODAY()+30,"Due (within 30 days)","Pass")))))</f>
        <v>Not Yet Inspected</v>
      </c>
      <c r="P61" s="18"/>
      <c r="Q61" s="18"/>
      <c r="R61" s="19"/>
    </row>
    <row r="62" customFormat="false" ht="15.75" hidden="false" customHeight="true" outlineLevel="0" collapsed="false">
      <c r="A62" s="18"/>
      <c r="B62" s="18"/>
      <c r="C62" s="19"/>
      <c r="D62" s="19" t="str">
        <f aca="false">IF(C62="","",DATE(YEAR(C62)+1,MONTH(C62),DAY(C62)))</f>
        <v/>
      </c>
      <c r="E62" s="20"/>
      <c r="F62" s="20"/>
      <c r="G62" s="20"/>
      <c r="H62" s="20"/>
      <c r="I62" s="20"/>
      <c r="J62" s="20"/>
      <c r="K62" s="20"/>
      <c r="L62" s="20"/>
      <c r="M62" s="20"/>
      <c r="N62" s="18" t="str">
        <f aca="false">IF(COUNTBLANK(E62:M62)=9,"",IF(COUNTIF(E62:M62,"Fail")&gt;0,"Fail",IF(COUNTBLANK(E62:M62)&gt;0,"Incomplete","Pass")))</f>
        <v/>
      </c>
      <c r="O62" s="18" t="str">
        <f aca="true">IF(N62="","Not Yet Inspected",IF(N62="Fail","Fail",IF(D62="","",IF(D62&lt;TODAY(),"Overdue",IF(D62&lt;=TODAY()+30,"Due (within 30 days)","Pass")))))</f>
        <v>Not Yet Inspected</v>
      </c>
      <c r="P62" s="18"/>
      <c r="Q62" s="18"/>
      <c r="R62" s="19"/>
    </row>
    <row r="63" customFormat="false" ht="15.75" hidden="false" customHeight="true" outlineLevel="0" collapsed="false">
      <c r="A63" s="18"/>
      <c r="B63" s="18"/>
      <c r="C63" s="19"/>
      <c r="D63" s="19" t="str">
        <f aca="false">IF(C63="","",DATE(YEAR(C63)+1,MONTH(C63),DAY(C63)))</f>
        <v/>
      </c>
      <c r="E63" s="20"/>
      <c r="F63" s="20"/>
      <c r="G63" s="20"/>
      <c r="H63" s="20"/>
      <c r="I63" s="20"/>
      <c r="J63" s="20"/>
      <c r="K63" s="20"/>
      <c r="L63" s="20"/>
      <c r="M63" s="20"/>
      <c r="N63" s="18" t="str">
        <f aca="false">IF(COUNTBLANK(E63:M63)=9,"",IF(COUNTIF(E63:M63,"Fail")&gt;0,"Fail",IF(COUNTBLANK(E63:M63)&gt;0,"Incomplete","Pass")))</f>
        <v/>
      </c>
      <c r="O63" s="18" t="str">
        <f aca="true">IF(N63="","Not Yet Inspected",IF(N63="Fail","Fail",IF(D63="","",IF(D63&lt;TODAY(),"Overdue",IF(D63&lt;=TODAY()+30,"Due (within 30 days)","Pass")))))</f>
        <v>Not Yet Inspected</v>
      </c>
      <c r="P63" s="18"/>
      <c r="Q63" s="18"/>
      <c r="R63" s="19"/>
    </row>
    <row r="64" customFormat="false" ht="15.75" hidden="false" customHeight="true" outlineLevel="0" collapsed="false">
      <c r="A64" s="18"/>
      <c r="B64" s="18"/>
      <c r="C64" s="19"/>
      <c r="D64" s="19" t="str">
        <f aca="false">IF(C64="","",DATE(YEAR(C64)+1,MONTH(C64),DAY(C64)))</f>
        <v/>
      </c>
      <c r="E64" s="20"/>
      <c r="F64" s="20"/>
      <c r="G64" s="20"/>
      <c r="H64" s="20"/>
      <c r="I64" s="20"/>
      <c r="J64" s="20"/>
      <c r="K64" s="20"/>
      <c r="L64" s="20"/>
      <c r="M64" s="20"/>
      <c r="N64" s="18" t="str">
        <f aca="false">IF(COUNTBLANK(E64:M64)=9,"",IF(COUNTIF(E64:M64,"Fail")&gt;0,"Fail",IF(COUNTBLANK(E64:M64)&gt;0,"Incomplete","Pass")))</f>
        <v/>
      </c>
      <c r="O64" s="18" t="str">
        <f aca="true">IF(N64="","Not Yet Inspected",IF(N64="Fail","Fail",IF(D64="","",IF(D64&lt;TODAY(),"Overdue",IF(D64&lt;=TODAY()+30,"Due (within 30 days)","Pass")))))</f>
        <v>Not Yet Inspected</v>
      </c>
      <c r="P64" s="18"/>
      <c r="Q64" s="18"/>
      <c r="R64" s="19"/>
    </row>
    <row r="65" customFormat="false" ht="15.75" hidden="false" customHeight="true" outlineLevel="0" collapsed="false">
      <c r="A65" s="18"/>
      <c r="B65" s="18"/>
      <c r="C65" s="19"/>
      <c r="D65" s="19" t="str">
        <f aca="false">IF(C65="","",DATE(YEAR(C65)+1,MONTH(C65),DAY(C65)))</f>
        <v/>
      </c>
      <c r="E65" s="20"/>
      <c r="F65" s="20"/>
      <c r="G65" s="20"/>
      <c r="H65" s="20"/>
      <c r="I65" s="20"/>
      <c r="J65" s="20"/>
      <c r="K65" s="20"/>
      <c r="L65" s="20"/>
      <c r="M65" s="20"/>
      <c r="N65" s="18" t="str">
        <f aca="false">IF(COUNTBLANK(E65:M65)=9,"",IF(COUNTIF(E65:M65,"Fail")&gt;0,"Fail",IF(COUNTBLANK(E65:M65)&gt;0,"Incomplete","Pass")))</f>
        <v/>
      </c>
      <c r="O65" s="18" t="str">
        <f aca="true">IF(N65="","Not Yet Inspected",IF(N65="Fail","Fail",IF(D65="","",IF(D65&lt;TODAY(),"Overdue",IF(D65&lt;=TODAY()+30,"Due (within 30 days)","Pass")))))</f>
        <v>Not Yet Inspected</v>
      </c>
      <c r="P65" s="18"/>
      <c r="Q65" s="18"/>
      <c r="R65" s="19"/>
    </row>
    <row r="66" customFormat="false" ht="15.75" hidden="false" customHeight="true" outlineLevel="0" collapsed="false">
      <c r="A66" s="18"/>
      <c r="B66" s="18"/>
      <c r="C66" s="19"/>
      <c r="D66" s="19" t="str">
        <f aca="false">IF(C66="","",DATE(YEAR(C66)+1,MONTH(C66),DAY(C66)))</f>
        <v/>
      </c>
      <c r="E66" s="20"/>
      <c r="F66" s="20"/>
      <c r="G66" s="20"/>
      <c r="H66" s="20"/>
      <c r="I66" s="20"/>
      <c r="J66" s="20"/>
      <c r="K66" s="20"/>
      <c r="L66" s="20"/>
      <c r="M66" s="20"/>
      <c r="N66" s="18" t="str">
        <f aca="false">IF(COUNTBLANK(E66:M66)=9,"",IF(COUNTIF(E66:M66,"Fail")&gt;0,"Fail",IF(COUNTBLANK(E66:M66)&gt;0,"Incomplete","Pass")))</f>
        <v/>
      </c>
      <c r="O66" s="18" t="str">
        <f aca="true">IF(N66="","Not Yet Inspected",IF(N66="Fail","Fail",IF(D66="","",IF(D66&lt;TODAY(),"Overdue",IF(D66&lt;=TODAY()+30,"Due (within 30 days)","Pass")))))</f>
        <v>Not Yet Inspected</v>
      </c>
      <c r="P66" s="18"/>
      <c r="Q66" s="18"/>
      <c r="R66" s="19"/>
    </row>
    <row r="67" customFormat="false" ht="15.75" hidden="false" customHeight="true" outlineLevel="0" collapsed="false">
      <c r="A67" s="18"/>
      <c r="B67" s="18"/>
      <c r="C67" s="19"/>
      <c r="D67" s="19" t="str">
        <f aca="false">IF(C67="","",DATE(YEAR(C67)+1,MONTH(C67),DAY(C67)))</f>
        <v/>
      </c>
      <c r="E67" s="20"/>
      <c r="F67" s="20"/>
      <c r="G67" s="20"/>
      <c r="H67" s="20"/>
      <c r="I67" s="20"/>
      <c r="J67" s="20"/>
      <c r="K67" s="20"/>
      <c r="L67" s="20"/>
      <c r="M67" s="20"/>
      <c r="N67" s="18" t="str">
        <f aca="false">IF(COUNTBLANK(E67:M67)=9,"",IF(COUNTIF(E67:M67,"Fail")&gt;0,"Fail",IF(COUNTBLANK(E67:M67)&gt;0,"Incomplete","Pass")))</f>
        <v/>
      </c>
      <c r="O67" s="18" t="str">
        <f aca="true">IF(N67="","Not Yet Inspected",IF(N67="Fail","Fail",IF(D67="","",IF(D67&lt;TODAY(),"Overdue",IF(D67&lt;=TODAY()+30,"Due (within 30 days)","Pass")))))</f>
        <v>Not Yet Inspected</v>
      </c>
      <c r="P67" s="18"/>
      <c r="Q67" s="18"/>
      <c r="R67" s="19"/>
    </row>
    <row r="68" customFormat="false" ht="15.75" hidden="false" customHeight="true" outlineLevel="0" collapsed="false">
      <c r="A68" s="18"/>
      <c r="B68" s="18"/>
      <c r="C68" s="19"/>
      <c r="D68" s="19" t="str">
        <f aca="false">IF(C68="","",DATE(YEAR(C68)+1,MONTH(C68),DAY(C68)))</f>
        <v/>
      </c>
      <c r="E68" s="20"/>
      <c r="F68" s="20"/>
      <c r="G68" s="20"/>
      <c r="H68" s="20"/>
      <c r="I68" s="20"/>
      <c r="J68" s="20"/>
      <c r="K68" s="20"/>
      <c r="L68" s="20"/>
      <c r="M68" s="20"/>
      <c r="N68" s="18" t="str">
        <f aca="false">IF(COUNTBLANK(E68:M68)=9,"",IF(COUNTIF(E68:M68,"Fail")&gt;0,"Fail",IF(COUNTBLANK(E68:M68)&gt;0,"Incomplete","Pass")))</f>
        <v/>
      </c>
      <c r="O68" s="18" t="str">
        <f aca="true">IF(N68="","Not Yet Inspected",IF(N68="Fail","Fail",IF(D68="","",IF(D68&lt;TODAY(),"Overdue",IF(D68&lt;=TODAY()+30,"Due (within 30 days)","Pass")))))</f>
        <v>Not Yet Inspected</v>
      </c>
      <c r="P68" s="18"/>
      <c r="Q68" s="18"/>
      <c r="R68" s="19"/>
    </row>
    <row r="69" customFormat="false" ht="15.75" hidden="false" customHeight="true" outlineLevel="0" collapsed="false">
      <c r="A69" s="18"/>
      <c r="B69" s="18"/>
      <c r="C69" s="19"/>
      <c r="D69" s="19" t="str">
        <f aca="false">IF(C69="","",DATE(YEAR(C69)+1,MONTH(C69),DAY(C69)))</f>
        <v/>
      </c>
      <c r="E69" s="20"/>
      <c r="F69" s="20"/>
      <c r="G69" s="20"/>
      <c r="H69" s="20"/>
      <c r="I69" s="20"/>
      <c r="J69" s="20"/>
      <c r="K69" s="20"/>
      <c r="L69" s="20"/>
      <c r="M69" s="20"/>
      <c r="N69" s="18" t="str">
        <f aca="false">IF(COUNTBLANK(E69:M69)=9,"",IF(COUNTIF(E69:M69,"Fail")&gt;0,"Fail",IF(COUNTBLANK(E69:M69)&gt;0,"Incomplete","Pass")))</f>
        <v/>
      </c>
      <c r="O69" s="18" t="str">
        <f aca="true">IF(N69="","Not Yet Inspected",IF(N69="Fail","Fail",IF(D69="","",IF(D69&lt;TODAY(),"Overdue",IF(D69&lt;=TODAY()+30,"Due (within 30 days)","Pass")))))</f>
        <v>Not Yet Inspected</v>
      </c>
      <c r="P69" s="18"/>
      <c r="Q69" s="18"/>
      <c r="R69" s="19"/>
    </row>
    <row r="70" customFormat="false" ht="15.75" hidden="false" customHeight="true" outlineLevel="0" collapsed="false">
      <c r="A70" s="18"/>
      <c r="B70" s="18"/>
      <c r="C70" s="19"/>
      <c r="D70" s="19" t="str">
        <f aca="false">IF(C70="","",DATE(YEAR(C70)+1,MONTH(C70),DAY(C70)))</f>
        <v/>
      </c>
      <c r="E70" s="20"/>
      <c r="F70" s="20"/>
      <c r="G70" s="20"/>
      <c r="H70" s="20"/>
      <c r="I70" s="20"/>
      <c r="J70" s="20"/>
      <c r="K70" s="20"/>
      <c r="L70" s="20"/>
      <c r="M70" s="20"/>
      <c r="N70" s="18" t="str">
        <f aca="false">IF(COUNTBLANK(E70:M70)=9,"",IF(COUNTIF(E70:M70,"Fail")&gt;0,"Fail",IF(COUNTBLANK(E70:M70)&gt;0,"Incomplete","Pass")))</f>
        <v/>
      </c>
      <c r="O70" s="18" t="str">
        <f aca="true">IF(N70="","Not Yet Inspected",IF(N70="Fail","Fail",IF(D70="","",IF(D70&lt;TODAY(),"Overdue",IF(D70&lt;=TODAY()+30,"Due (within 30 days)","Pass")))))</f>
        <v>Not Yet Inspected</v>
      </c>
      <c r="P70" s="18"/>
      <c r="Q70" s="18"/>
      <c r="R70" s="19"/>
    </row>
    <row r="71" customFormat="false" ht="15.75" hidden="false" customHeight="true" outlineLevel="0" collapsed="false">
      <c r="A71" s="18"/>
      <c r="B71" s="18"/>
      <c r="C71" s="19"/>
      <c r="D71" s="19" t="str">
        <f aca="false">IF(C71="","",DATE(YEAR(C71)+1,MONTH(C71),DAY(C71)))</f>
        <v/>
      </c>
      <c r="E71" s="20"/>
      <c r="F71" s="20"/>
      <c r="G71" s="20"/>
      <c r="H71" s="20"/>
      <c r="I71" s="20"/>
      <c r="J71" s="20"/>
      <c r="K71" s="20"/>
      <c r="L71" s="20"/>
      <c r="M71" s="20"/>
      <c r="N71" s="18" t="str">
        <f aca="false">IF(COUNTBLANK(E71:M71)=9,"",IF(COUNTIF(E71:M71,"Fail")&gt;0,"Fail",IF(COUNTBLANK(E71:M71)&gt;0,"Incomplete","Pass")))</f>
        <v/>
      </c>
      <c r="O71" s="18" t="str">
        <f aca="true">IF(N71="","Not Yet Inspected",IF(N71="Fail","Fail",IF(D71="","",IF(D71&lt;TODAY(),"Overdue",IF(D71&lt;=TODAY()+30,"Due (within 30 days)","Pass")))))</f>
        <v>Not Yet Inspected</v>
      </c>
      <c r="P71" s="18"/>
      <c r="Q71" s="18"/>
      <c r="R71" s="19"/>
    </row>
    <row r="72" customFormat="false" ht="15.75" hidden="false" customHeight="true" outlineLevel="0" collapsed="false">
      <c r="A72" s="18"/>
      <c r="B72" s="18"/>
      <c r="C72" s="19"/>
      <c r="D72" s="19" t="str">
        <f aca="false">IF(C72="","",DATE(YEAR(C72)+1,MONTH(C72),DAY(C72)))</f>
        <v/>
      </c>
      <c r="E72" s="20"/>
      <c r="F72" s="20"/>
      <c r="G72" s="20"/>
      <c r="H72" s="20"/>
      <c r="I72" s="20"/>
      <c r="J72" s="20"/>
      <c r="K72" s="20"/>
      <c r="L72" s="20"/>
      <c r="M72" s="20"/>
      <c r="N72" s="18" t="str">
        <f aca="false">IF(COUNTBLANK(E72:M72)=9,"",IF(COUNTIF(E72:M72,"Fail")&gt;0,"Fail",IF(COUNTBLANK(E72:M72)&gt;0,"Incomplete","Pass")))</f>
        <v/>
      </c>
      <c r="O72" s="18" t="str">
        <f aca="true">IF(N72="","Not Yet Inspected",IF(N72="Fail","Fail",IF(D72="","",IF(D72&lt;TODAY(),"Overdue",IF(D72&lt;=TODAY()+30,"Due (within 30 days)","Pass")))))</f>
        <v>Not Yet Inspected</v>
      </c>
      <c r="P72" s="18"/>
      <c r="Q72" s="18"/>
      <c r="R72" s="19"/>
    </row>
    <row r="73" customFormat="false" ht="15.75" hidden="false" customHeight="true" outlineLevel="0" collapsed="false">
      <c r="A73" s="18"/>
      <c r="B73" s="18"/>
      <c r="C73" s="19"/>
      <c r="D73" s="19" t="str">
        <f aca="false">IF(C73="","",DATE(YEAR(C73)+1,MONTH(C73),DAY(C73)))</f>
        <v/>
      </c>
      <c r="E73" s="20"/>
      <c r="F73" s="20"/>
      <c r="G73" s="20"/>
      <c r="H73" s="20"/>
      <c r="I73" s="20"/>
      <c r="J73" s="20"/>
      <c r="K73" s="20"/>
      <c r="L73" s="20"/>
      <c r="M73" s="20"/>
      <c r="N73" s="18" t="str">
        <f aca="false">IF(COUNTBLANK(E73:M73)=9,"",IF(COUNTIF(E73:M73,"Fail")&gt;0,"Fail",IF(COUNTBLANK(E73:M73)&gt;0,"Incomplete","Pass")))</f>
        <v/>
      </c>
      <c r="O73" s="18" t="str">
        <f aca="true">IF(N73="","Not Yet Inspected",IF(N73="Fail","Fail",IF(D73="","",IF(D73&lt;TODAY(),"Overdue",IF(D73&lt;=TODAY()+30,"Due (within 30 days)","Pass")))))</f>
        <v>Not Yet Inspected</v>
      </c>
      <c r="P73" s="18"/>
      <c r="Q73" s="18"/>
      <c r="R73" s="19"/>
    </row>
    <row r="74" customFormat="false" ht="15.75" hidden="false" customHeight="true" outlineLevel="0" collapsed="false">
      <c r="A74" s="18"/>
      <c r="B74" s="18"/>
      <c r="C74" s="19"/>
      <c r="D74" s="19" t="str">
        <f aca="false">IF(C74="","",DATE(YEAR(C74)+1,MONTH(C74),DAY(C74)))</f>
        <v/>
      </c>
      <c r="E74" s="20"/>
      <c r="F74" s="20"/>
      <c r="G74" s="20"/>
      <c r="H74" s="20"/>
      <c r="I74" s="20"/>
      <c r="J74" s="20"/>
      <c r="K74" s="20"/>
      <c r="L74" s="20"/>
      <c r="M74" s="20"/>
      <c r="N74" s="18" t="str">
        <f aca="false">IF(COUNTBLANK(E74:M74)=9,"",IF(COUNTIF(E74:M74,"Fail")&gt;0,"Fail",IF(COUNTBLANK(E74:M74)&gt;0,"Incomplete","Pass")))</f>
        <v/>
      </c>
      <c r="O74" s="18" t="str">
        <f aca="true">IF(N74="","Not Yet Inspected",IF(N74="Fail","Fail",IF(D74="","",IF(D74&lt;TODAY(),"Overdue",IF(D74&lt;=TODAY()+30,"Due (within 30 days)","Pass")))))</f>
        <v>Not Yet Inspected</v>
      </c>
      <c r="P74" s="18"/>
      <c r="Q74" s="18"/>
      <c r="R74" s="19"/>
    </row>
    <row r="75" customFormat="false" ht="15.75" hidden="false" customHeight="true" outlineLevel="0" collapsed="false">
      <c r="A75" s="18"/>
      <c r="B75" s="18"/>
      <c r="C75" s="19"/>
      <c r="D75" s="19" t="str">
        <f aca="false">IF(C75="","",DATE(YEAR(C75)+1,MONTH(C75),DAY(C75)))</f>
        <v/>
      </c>
      <c r="E75" s="20"/>
      <c r="F75" s="20"/>
      <c r="G75" s="20"/>
      <c r="H75" s="20"/>
      <c r="I75" s="20"/>
      <c r="J75" s="20"/>
      <c r="K75" s="20"/>
      <c r="L75" s="20"/>
      <c r="M75" s="20"/>
      <c r="N75" s="18" t="str">
        <f aca="false">IF(COUNTBLANK(E75:M75)=9,"",IF(COUNTIF(E75:M75,"Fail")&gt;0,"Fail",IF(COUNTBLANK(E75:M75)&gt;0,"Incomplete","Pass")))</f>
        <v/>
      </c>
      <c r="O75" s="18" t="str">
        <f aca="true">IF(N75="","Not Yet Inspected",IF(N75="Fail","Fail",IF(D75="","",IF(D75&lt;TODAY(),"Overdue",IF(D75&lt;=TODAY()+30,"Due (within 30 days)","Pass")))))</f>
        <v>Not Yet Inspected</v>
      </c>
      <c r="P75" s="18"/>
      <c r="Q75" s="18"/>
      <c r="R75" s="19"/>
    </row>
    <row r="76" customFormat="false" ht="15.75" hidden="false" customHeight="true" outlineLevel="0" collapsed="false">
      <c r="A76" s="18"/>
      <c r="B76" s="18"/>
      <c r="C76" s="19"/>
      <c r="D76" s="19" t="str">
        <f aca="false">IF(C76="","",DATE(YEAR(C76)+1,MONTH(C76),DAY(C76)))</f>
        <v/>
      </c>
      <c r="E76" s="20"/>
      <c r="F76" s="20"/>
      <c r="G76" s="20"/>
      <c r="H76" s="20"/>
      <c r="I76" s="20"/>
      <c r="J76" s="20"/>
      <c r="K76" s="20"/>
      <c r="L76" s="20"/>
      <c r="M76" s="20"/>
      <c r="N76" s="18" t="str">
        <f aca="false">IF(COUNTBLANK(E76:M76)=9,"",IF(COUNTIF(E76:M76,"Fail")&gt;0,"Fail",IF(COUNTBLANK(E76:M76)&gt;0,"Incomplete","Pass")))</f>
        <v/>
      </c>
      <c r="O76" s="18" t="str">
        <f aca="true">IF(N76="","Not Yet Inspected",IF(N76="Fail","Fail",IF(D76="","",IF(D76&lt;TODAY(),"Overdue",IF(D76&lt;=TODAY()+30,"Due (within 30 days)","Pass")))))</f>
        <v>Not Yet Inspected</v>
      </c>
      <c r="P76" s="18"/>
      <c r="Q76" s="18"/>
      <c r="R76" s="19"/>
    </row>
    <row r="77" customFormat="false" ht="15.75" hidden="false" customHeight="true" outlineLevel="0" collapsed="false">
      <c r="A77" s="18"/>
      <c r="B77" s="18"/>
      <c r="C77" s="19"/>
      <c r="D77" s="19" t="str">
        <f aca="false">IF(C77="","",DATE(YEAR(C77)+1,MONTH(C77),DAY(C77)))</f>
        <v/>
      </c>
      <c r="E77" s="20"/>
      <c r="F77" s="20"/>
      <c r="G77" s="20"/>
      <c r="H77" s="20"/>
      <c r="I77" s="20"/>
      <c r="J77" s="20"/>
      <c r="K77" s="20"/>
      <c r="L77" s="20"/>
      <c r="M77" s="20"/>
      <c r="N77" s="18" t="str">
        <f aca="false">IF(COUNTBLANK(E77:M77)=9,"",IF(COUNTIF(E77:M77,"Fail")&gt;0,"Fail",IF(COUNTBLANK(E77:M77)&gt;0,"Incomplete","Pass")))</f>
        <v/>
      </c>
      <c r="O77" s="18" t="str">
        <f aca="true">IF(N77="","Not Yet Inspected",IF(N77="Fail","Fail",IF(D77="","",IF(D77&lt;TODAY(),"Overdue",IF(D77&lt;=TODAY()+30,"Due (within 30 days)","Pass")))))</f>
        <v>Not Yet Inspected</v>
      </c>
      <c r="P77" s="18"/>
      <c r="Q77" s="18"/>
      <c r="R77" s="19"/>
    </row>
    <row r="78" customFormat="false" ht="15.75" hidden="false" customHeight="true" outlineLevel="0" collapsed="false">
      <c r="A78" s="18"/>
      <c r="B78" s="18"/>
      <c r="C78" s="19"/>
      <c r="D78" s="19" t="str">
        <f aca="false">IF(C78="","",DATE(YEAR(C78)+1,MONTH(C78),DAY(C78)))</f>
        <v/>
      </c>
      <c r="E78" s="20"/>
      <c r="F78" s="20"/>
      <c r="G78" s="20"/>
      <c r="H78" s="20"/>
      <c r="I78" s="20"/>
      <c r="J78" s="20"/>
      <c r="K78" s="20"/>
      <c r="L78" s="20"/>
      <c r="M78" s="20"/>
      <c r="N78" s="18" t="str">
        <f aca="false">IF(COUNTBLANK(E78:M78)=9,"",IF(COUNTIF(E78:M78,"Fail")&gt;0,"Fail",IF(COUNTBLANK(E78:M78)&gt;0,"Incomplete","Pass")))</f>
        <v/>
      </c>
      <c r="O78" s="18" t="str">
        <f aca="true">IF(N78="","Not Yet Inspected",IF(N78="Fail","Fail",IF(D78="","",IF(D78&lt;TODAY(),"Overdue",IF(D78&lt;=TODAY()+30,"Due (within 30 days)","Pass")))))</f>
        <v>Not Yet Inspected</v>
      </c>
      <c r="P78" s="18"/>
      <c r="Q78" s="18"/>
      <c r="R78" s="19"/>
    </row>
    <row r="79" customFormat="false" ht="15.75" hidden="false" customHeight="true" outlineLevel="0" collapsed="false">
      <c r="A79" s="18"/>
      <c r="B79" s="18"/>
      <c r="C79" s="19"/>
      <c r="D79" s="19" t="str">
        <f aca="false">IF(C79="","",DATE(YEAR(C79)+1,MONTH(C79),DAY(C79)))</f>
        <v/>
      </c>
      <c r="E79" s="20"/>
      <c r="F79" s="20"/>
      <c r="G79" s="20"/>
      <c r="H79" s="20"/>
      <c r="I79" s="20"/>
      <c r="J79" s="20"/>
      <c r="K79" s="20"/>
      <c r="L79" s="20"/>
      <c r="M79" s="20"/>
      <c r="N79" s="18" t="str">
        <f aca="false">IF(COUNTBLANK(E79:M79)=9,"",IF(COUNTIF(E79:M79,"Fail")&gt;0,"Fail",IF(COUNTBLANK(E79:M79)&gt;0,"Incomplete","Pass")))</f>
        <v/>
      </c>
      <c r="O79" s="18" t="str">
        <f aca="true">IF(N79="","Not Yet Inspected",IF(N79="Fail","Fail",IF(D79="","",IF(D79&lt;TODAY(),"Overdue",IF(D79&lt;=TODAY()+30,"Due (within 30 days)","Pass")))))</f>
        <v>Not Yet Inspected</v>
      </c>
      <c r="P79" s="18"/>
      <c r="Q79" s="18"/>
      <c r="R79" s="19"/>
    </row>
    <row r="80" customFormat="false" ht="15.75" hidden="false" customHeight="true" outlineLevel="0" collapsed="false">
      <c r="A80" s="18"/>
      <c r="B80" s="18"/>
      <c r="C80" s="19"/>
      <c r="D80" s="19" t="str">
        <f aca="false">IF(C80="","",DATE(YEAR(C80)+1,MONTH(C80),DAY(C80)))</f>
        <v/>
      </c>
      <c r="E80" s="20"/>
      <c r="F80" s="20"/>
      <c r="G80" s="20"/>
      <c r="H80" s="20"/>
      <c r="I80" s="20"/>
      <c r="J80" s="20"/>
      <c r="K80" s="20"/>
      <c r="L80" s="20"/>
      <c r="M80" s="20"/>
      <c r="N80" s="18" t="str">
        <f aca="false">IF(COUNTBLANK(E80:M80)=9,"",IF(COUNTIF(E80:M80,"Fail")&gt;0,"Fail",IF(COUNTBLANK(E80:M80)&gt;0,"Incomplete","Pass")))</f>
        <v/>
      </c>
      <c r="O80" s="18" t="str">
        <f aca="true">IF(N80="","Not Yet Inspected",IF(N80="Fail","Fail",IF(D80="","",IF(D80&lt;TODAY(),"Overdue",IF(D80&lt;=TODAY()+30,"Due (within 30 days)","Pass")))))</f>
        <v>Not Yet Inspected</v>
      </c>
      <c r="P80" s="18"/>
      <c r="Q80" s="18"/>
      <c r="R80" s="19"/>
    </row>
    <row r="81" customFormat="false" ht="15.75" hidden="false" customHeight="true" outlineLevel="0" collapsed="false">
      <c r="A81" s="18"/>
      <c r="B81" s="18"/>
      <c r="C81" s="19"/>
      <c r="D81" s="19" t="str">
        <f aca="false">IF(C81="","",DATE(YEAR(C81)+1,MONTH(C81),DAY(C81)))</f>
        <v/>
      </c>
      <c r="E81" s="20"/>
      <c r="F81" s="20"/>
      <c r="G81" s="20"/>
      <c r="H81" s="20"/>
      <c r="I81" s="20"/>
      <c r="J81" s="20"/>
      <c r="K81" s="20"/>
      <c r="L81" s="20"/>
      <c r="M81" s="20"/>
      <c r="N81" s="18" t="str">
        <f aca="false">IF(COUNTBLANK(E81:M81)=9,"",IF(COUNTIF(E81:M81,"Fail")&gt;0,"Fail",IF(COUNTBLANK(E81:M81)&gt;0,"Incomplete","Pass")))</f>
        <v/>
      </c>
      <c r="O81" s="18" t="str">
        <f aca="true">IF(N81="","Not Yet Inspected",IF(N81="Fail","Fail",IF(D81="","",IF(D81&lt;TODAY(),"Overdue",IF(D81&lt;=TODAY()+30,"Due (within 30 days)","Pass")))))</f>
        <v>Not Yet Inspected</v>
      </c>
      <c r="P81" s="18"/>
      <c r="Q81" s="18"/>
      <c r="R81" s="19"/>
    </row>
    <row r="82" customFormat="false" ht="15.75" hidden="false" customHeight="true" outlineLevel="0" collapsed="false">
      <c r="A82" s="18"/>
      <c r="B82" s="18"/>
      <c r="C82" s="19"/>
      <c r="D82" s="19" t="str">
        <f aca="false">IF(C82="","",DATE(YEAR(C82)+1,MONTH(C82),DAY(C82)))</f>
        <v/>
      </c>
      <c r="E82" s="20"/>
      <c r="F82" s="20"/>
      <c r="G82" s="20"/>
      <c r="H82" s="20"/>
      <c r="I82" s="20"/>
      <c r="J82" s="20"/>
      <c r="K82" s="20"/>
      <c r="L82" s="20"/>
      <c r="M82" s="20"/>
      <c r="N82" s="18" t="str">
        <f aca="false">IF(COUNTBLANK(E82:M82)=9,"",IF(COUNTIF(E82:M82,"Fail")&gt;0,"Fail",IF(COUNTBLANK(E82:M82)&gt;0,"Incomplete","Pass")))</f>
        <v/>
      </c>
      <c r="O82" s="18" t="str">
        <f aca="true">IF(N82="","Not Yet Inspected",IF(N82="Fail","Fail",IF(D82="","",IF(D82&lt;TODAY(),"Overdue",IF(D82&lt;=TODAY()+30,"Due (within 30 days)","Pass")))))</f>
        <v>Not Yet Inspected</v>
      </c>
      <c r="P82" s="18"/>
      <c r="Q82" s="18"/>
      <c r="R82" s="19"/>
    </row>
    <row r="83" customFormat="false" ht="15.75" hidden="false" customHeight="true" outlineLevel="0" collapsed="false">
      <c r="A83" s="18"/>
      <c r="B83" s="18"/>
      <c r="C83" s="19"/>
      <c r="D83" s="19" t="str">
        <f aca="false">IF(C83="","",DATE(YEAR(C83)+1,MONTH(C83),DAY(C83)))</f>
        <v/>
      </c>
      <c r="E83" s="20"/>
      <c r="F83" s="20"/>
      <c r="G83" s="20"/>
      <c r="H83" s="20"/>
      <c r="I83" s="20"/>
      <c r="J83" s="20"/>
      <c r="K83" s="20"/>
      <c r="L83" s="20"/>
      <c r="M83" s="20"/>
      <c r="N83" s="18" t="str">
        <f aca="false">IF(COUNTBLANK(E83:M83)=9,"",IF(COUNTIF(E83:M83,"Fail")&gt;0,"Fail",IF(COUNTBLANK(E83:M83)&gt;0,"Incomplete","Pass")))</f>
        <v/>
      </c>
      <c r="O83" s="18" t="str">
        <f aca="true">IF(N83="","Not Yet Inspected",IF(N83="Fail","Fail",IF(D83="","",IF(D83&lt;TODAY(),"Overdue",IF(D83&lt;=TODAY()+30,"Due (within 30 days)","Pass")))))</f>
        <v>Not Yet Inspected</v>
      </c>
      <c r="P83" s="18"/>
      <c r="Q83" s="18"/>
      <c r="R83" s="19"/>
    </row>
    <row r="84" customFormat="false" ht="15.75" hidden="false" customHeight="true" outlineLevel="0" collapsed="false">
      <c r="A84" s="18"/>
      <c r="B84" s="18"/>
      <c r="C84" s="19"/>
      <c r="D84" s="19" t="str">
        <f aca="false">IF(C84="","",DATE(YEAR(C84)+1,MONTH(C84),DAY(C84)))</f>
        <v/>
      </c>
      <c r="E84" s="20"/>
      <c r="F84" s="20"/>
      <c r="G84" s="20"/>
      <c r="H84" s="20"/>
      <c r="I84" s="20"/>
      <c r="J84" s="20"/>
      <c r="K84" s="20"/>
      <c r="L84" s="20"/>
      <c r="M84" s="20"/>
      <c r="N84" s="18" t="str">
        <f aca="false">IF(COUNTBLANK(E84:M84)=9,"",IF(COUNTIF(E84:M84,"Fail")&gt;0,"Fail",IF(COUNTBLANK(E84:M84)&gt;0,"Incomplete","Pass")))</f>
        <v/>
      </c>
      <c r="O84" s="18" t="str">
        <f aca="true">IF(N84="","Not Yet Inspected",IF(N84="Fail","Fail",IF(D84="","",IF(D84&lt;TODAY(),"Overdue",IF(D84&lt;=TODAY()+30,"Due (within 30 days)","Pass")))))</f>
        <v>Not Yet Inspected</v>
      </c>
      <c r="P84" s="18"/>
      <c r="Q84" s="18"/>
      <c r="R84" s="19"/>
    </row>
    <row r="85" customFormat="false" ht="15.75" hidden="false" customHeight="true" outlineLevel="0" collapsed="false">
      <c r="A85" s="18"/>
      <c r="B85" s="18"/>
      <c r="C85" s="19"/>
      <c r="D85" s="19" t="str">
        <f aca="false">IF(C85="","",DATE(YEAR(C85)+1,MONTH(C85),DAY(C85)))</f>
        <v/>
      </c>
      <c r="E85" s="20"/>
      <c r="F85" s="20"/>
      <c r="G85" s="20"/>
      <c r="H85" s="20"/>
      <c r="I85" s="20"/>
      <c r="J85" s="20"/>
      <c r="K85" s="20"/>
      <c r="L85" s="20"/>
      <c r="M85" s="20"/>
      <c r="N85" s="18" t="str">
        <f aca="false">IF(COUNTBLANK(E85:M85)=9,"",IF(COUNTIF(E85:M85,"Fail")&gt;0,"Fail",IF(COUNTBLANK(E85:M85)&gt;0,"Incomplete","Pass")))</f>
        <v/>
      </c>
      <c r="O85" s="18" t="str">
        <f aca="true">IF(N85="","Not Yet Inspected",IF(N85="Fail","Fail",IF(D85="","",IF(D85&lt;TODAY(),"Overdue",IF(D85&lt;=TODAY()+30,"Due (within 30 days)","Pass")))))</f>
        <v>Not Yet Inspected</v>
      </c>
      <c r="P85" s="18"/>
      <c r="Q85" s="18"/>
      <c r="R85" s="19"/>
    </row>
    <row r="86" customFormat="false" ht="15.75" hidden="false" customHeight="true" outlineLevel="0" collapsed="false">
      <c r="A86" s="18"/>
      <c r="B86" s="18"/>
      <c r="C86" s="19"/>
      <c r="D86" s="19" t="str">
        <f aca="false">IF(C86="","",DATE(YEAR(C86)+1,MONTH(C86),DAY(C86)))</f>
        <v/>
      </c>
      <c r="E86" s="20"/>
      <c r="F86" s="20"/>
      <c r="G86" s="20"/>
      <c r="H86" s="20"/>
      <c r="I86" s="20"/>
      <c r="J86" s="20"/>
      <c r="K86" s="20"/>
      <c r="L86" s="20"/>
      <c r="M86" s="20"/>
      <c r="N86" s="18" t="str">
        <f aca="false">IF(COUNTBLANK(E86:M86)=9,"",IF(COUNTIF(E86:M86,"Fail")&gt;0,"Fail",IF(COUNTBLANK(E86:M86)&gt;0,"Incomplete","Pass")))</f>
        <v/>
      </c>
      <c r="O86" s="18" t="str">
        <f aca="true">IF(N86="","Not Yet Inspected",IF(N86="Fail","Fail",IF(D86="","",IF(D86&lt;TODAY(),"Overdue",IF(D86&lt;=TODAY()+30,"Due (within 30 days)","Pass")))))</f>
        <v>Not Yet Inspected</v>
      </c>
      <c r="P86" s="18"/>
      <c r="Q86" s="18"/>
      <c r="R86" s="19"/>
    </row>
    <row r="87" customFormat="false" ht="15.75" hidden="false" customHeight="true" outlineLevel="0" collapsed="false">
      <c r="A87" s="18"/>
      <c r="B87" s="18"/>
      <c r="C87" s="19"/>
      <c r="D87" s="19" t="str">
        <f aca="false">IF(C87="","",DATE(YEAR(C87)+1,MONTH(C87),DAY(C87)))</f>
        <v/>
      </c>
      <c r="E87" s="20"/>
      <c r="F87" s="20"/>
      <c r="G87" s="20"/>
      <c r="H87" s="20"/>
      <c r="I87" s="20"/>
      <c r="J87" s="20"/>
      <c r="K87" s="20"/>
      <c r="L87" s="20"/>
      <c r="M87" s="20"/>
      <c r="N87" s="18" t="str">
        <f aca="false">IF(COUNTBLANK(E87:M87)=9,"",IF(COUNTIF(E87:M87,"Fail")&gt;0,"Fail",IF(COUNTBLANK(E87:M87)&gt;0,"Incomplete","Pass")))</f>
        <v/>
      </c>
      <c r="O87" s="18" t="str">
        <f aca="true">IF(N87="","Not Yet Inspected",IF(N87="Fail","Fail",IF(D87="","",IF(D87&lt;TODAY(),"Overdue",IF(D87&lt;=TODAY()+30,"Due (within 30 days)","Pass")))))</f>
        <v>Not Yet Inspected</v>
      </c>
      <c r="P87" s="18"/>
      <c r="Q87" s="18"/>
      <c r="R87" s="19"/>
    </row>
    <row r="88" customFormat="false" ht="15.75" hidden="false" customHeight="true" outlineLevel="0" collapsed="false">
      <c r="A88" s="18"/>
      <c r="B88" s="18"/>
      <c r="C88" s="19"/>
      <c r="D88" s="19" t="str">
        <f aca="false">IF(C88="","",DATE(YEAR(C88)+1,MONTH(C88),DAY(C88)))</f>
        <v/>
      </c>
      <c r="E88" s="20"/>
      <c r="F88" s="20"/>
      <c r="G88" s="20"/>
      <c r="H88" s="20"/>
      <c r="I88" s="20"/>
      <c r="J88" s="20"/>
      <c r="K88" s="20"/>
      <c r="L88" s="20"/>
      <c r="M88" s="20"/>
      <c r="N88" s="18" t="str">
        <f aca="false">IF(COUNTBLANK(E88:M88)=9,"",IF(COUNTIF(E88:M88,"Fail")&gt;0,"Fail",IF(COUNTBLANK(E88:M88)&gt;0,"Incomplete","Pass")))</f>
        <v/>
      </c>
      <c r="O88" s="18" t="str">
        <f aca="true">IF(N88="","Not Yet Inspected",IF(N88="Fail","Fail",IF(D88="","",IF(D88&lt;TODAY(),"Overdue",IF(D88&lt;=TODAY()+30,"Due (within 30 days)","Pass")))))</f>
        <v>Not Yet Inspected</v>
      </c>
      <c r="P88" s="18"/>
      <c r="Q88" s="18"/>
      <c r="R88" s="19"/>
    </row>
    <row r="89" customFormat="false" ht="15.75" hidden="false" customHeight="true" outlineLevel="0" collapsed="false">
      <c r="A89" s="18"/>
      <c r="B89" s="18"/>
      <c r="C89" s="19"/>
      <c r="D89" s="19" t="str">
        <f aca="false">IF(C89="","",DATE(YEAR(C89)+1,MONTH(C89),DAY(C89)))</f>
        <v/>
      </c>
      <c r="E89" s="20"/>
      <c r="F89" s="20"/>
      <c r="G89" s="20"/>
      <c r="H89" s="20"/>
      <c r="I89" s="20"/>
      <c r="J89" s="20"/>
      <c r="K89" s="20"/>
      <c r="L89" s="20"/>
      <c r="M89" s="20"/>
      <c r="N89" s="18" t="str">
        <f aca="false">IF(COUNTBLANK(E89:M89)=9,"",IF(COUNTIF(E89:M89,"Fail")&gt;0,"Fail",IF(COUNTBLANK(E89:M89)&gt;0,"Incomplete","Pass")))</f>
        <v/>
      </c>
      <c r="O89" s="18" t="str">
        <f aca="true">IF(N89="","Not Yet Inspected",IF(N89="Fail","Fail",IF(D89="","",IF(D89&lt;TODAY(),"Overdue",IF(D89&lt;=TODAY()+30,"Due (within 30 days)","Pass")))))</f>
        <v>Not Yet Inspected</v>
      </c>
      <c r="P89" s="18"/>
      <c r="Q89" s="18"/>
      <c r="R89" s="19"/>
    </row>
    <row r="90" customFormat="false" ht="15.75" hidden="false" customHeight="true" outlineLevel="0" collapsed="false">
      <c r="A90" s="18"/>
      <c r="B90" s="18"/>
      <c r="C90" s="19"/>
      <c r="D90" s="19" t="str">
        <f aca="false">IF(C90="","",DATE(YEAR(C90)+1,MONTH(C90),DAY(C90)))</f>
        <v/>
      </c>
      <c r="E90" s="20"/>
      <c r="F90" s="20"/>
      <c r="G90" s="20"/>
      <c r="H90" s="20"/>
      <c r="I90" s="20"/>
      <c r="J90" s="20"/>
      <c r="K90" s="20"/>
      <c r="L90" s="20"/>
      <c r="M90" s="20"/>
      <c r="N90" s="18" t="str">
        <f aca="false">IF(COUNTBLANK(E90:M90)=9,"",IF(COUNTIF(E90:M90,"Fail")&gt;0,"Fail",IF(COUNTBLANK(E90:M90)&gt;0,"Incomplete","Pass")))</f>
        <v/>
      </c>
      <c r="O90" s="18" t="str">
        <f aca="true">IF(N90="","Not Yet Inspected",IF(N90="Fail","Fail",IF(D90="","",IF(D90&lt;TODAY(),"Overdue",IF(D90&lt;=TODAY()+30,"Due (within 30 days)","Pass")))))</f>
        <v>Not Yet Inspected</v>
      </c>
      <c r="P90" s="18"/>
      <c r="Q90" s="18"/>
      <c r="R90" s="19"/>
    </row>
    <row r="91" customFormat="false" ht="15.75" hidden="false" customHeight="true" outlineLevel="0" collapsed="false">
      <c r="A91" s="18"/>
      <c r="B91" s="18"/>
      <c r="C91" s="19"/>
      <c r="D91" s="19" t="str">
        <f aca="false">IF(C91="","",DATE(YEAR(C91)+1,MONTH(C91),DAY(C91)))</f>
        <v/>
      </c>
      <c r="E91" s="20"/>
      <c r="F91" s="20"/>
      <c r="G91" s="20"/>
      <c r="H91" s="20"/>
      <c r="I91" s="20"/>
      <c r="J91" s="20"/>
      <c r="K91" s="20"/>
      <c r="L91" s="20"/>
      <c r="M91" s="20"/>
      <c r="N91" s="18" t="str">
        <f aca="false">IF(COUNTBLANK(E91:M91)=9,"",IF(COUNTIF(E91:M91,"Fail")&gt;0,"Fail",IF(COUNTBLANK(E91:M91)&gt;0,"Incomplete","Pass")))</f>
        <v/>
      </c>
      <c r="O91" s="18" t="str">
        <f aca="true">IF(N91="","Not Yet Inspected",IF(N91="Fail","Fail",IF(D91="","",IF(D91&lt;TODAY(),"Overdue",IF(D91&lt;=TODAY()+30,"Due (within 30 days)","Pass")))))</f>
        <v>Not Yet Inspected</v>
      </c>
      <c r="P91" s="18"/>
      <c r="Q91" s="18"/>
      <c r="R91" s="19"/>
    </row>
    <row r="92" customFormat="false" ht="15.75" hidden="false" customHeight="true" outlineLevel="0" collapsed="false">
      <c r="A92" s="18"/>
      <c r="B92" s="18"/>
      <c r="C92" s="19"/>
      <c r="D92" s="19" t="str">
        <f aca="false">IF(C92="","",DATE(YEAR(C92)+1,MONTH(C92),DAY(C92)))</f>
        <v/>
      </c>
      <c r="E92" s="20"/>
      <c r="F92" s="20"/>
      <c r="G92" s="20"/>
      <c r="H92" s="20"/>
      <c r="I92" s="20"/>
      <c r="J92" s="20"/>
      <c r="K92" s="20"/>
      <c r="L92" s="20"/>
      <c r="M92" s="20"/>
      <c r="N92" s="18" t="str">
        <f aca="false">IF(COUNTBLANK(E92:M92)=9,"",IF(COUNTIF(E92:M92,"Fail")&gt;0,"Fail",IF(COUNTBLANK(E92:M92)&gt;0,"Incomplete","Pass")))</f>
        <v/>
      </c>
      <c r="O92" s="18" t="str">
        <f aca="true">IF(N92="","Not Yet Inspected",IF(N92="Fail","Fail",IF(D92="","",IF(D92&lt;TODAY(),"Overdue",IF(D92&lt;=TODAY()+30,"Due (within 30 days)","Pass")))))</f>
        <v>Not Yet Inspected</v>
      </c>
      <c r="P92" s="18"/>
      <c r="Q92" s="18"/>
      <c r="R92" s="19"/>
    </row>
    <row r="93" customFormat="false" ht="15.75" hidden="false" customHeight="true" outlineLevel="0" collapsed="false">
      <c r="A93" s="18"/>
      <c r="B93" s="18"/>
      <c r="C93" s="19"/>
      <c r="D93" s="19" t="str">
        <f aca="false">IF(C93="","",DATE(YEAR(C93)+1,MONTH(C93),DAY(C93)))</f>
        <v/>
      </c>
      <c r="E93" s="20"/>
      <c r="F93" s="20"/>
      <c r="G93" s="20"/>
      <c r="H93" s="20"/>
      <c r="I93" s="20"/>
      <c r="J93" s="20"/>
      <c r="K93" s="20"/>
      <c r="L93" s="20"/>
      <c r="M93" s="20"/>
      <c r="N93" s="18" t="str">
        <f aca="false">IF(COUNTBLANK(E93:M93)=9,"",IF(COUNTIF(E93:M93,"Fail")&gt;0,"Fail",IF(COUNTBLANK(E93:M93)&gt;0,"Incomplete","Pass")))</f>
        <v/>
      </c>
      <c r="O93" s="18" t="str">
        <f aca="true">IF(N93="","Not Yet Inspected",IF(N93="Fail","Fail",IF(D93="","",IF(D93&lt;TODAY(),"Overdue",IF(D93&lt;=TODAY()+30,"Due (within 30 days)","Pass")))))</f>
        <v>Not Yet Inspected</v>
      </c>
      <c r="P93" s="18"/>
      <c r="Q93" s="18"/>
      <c r="R93" s="19"/>
    </row>
    <row r="94" customFormat="false" ht="15.75" hidden="false" customHeight="true" outlineLevel="0" collapsed="false">
      <c r="A94" s="18"/>
      <c r="B94" s="18"/>
      <c r="C94" s="19"/>
      <c r="D94" s="19" t="str">
        <f aca="false">IF(C94="","",DATE(YEAR(C94)+1,MONTH(C94),DAY(C94)))</f>
        <v/>
      </c>
      <c r="E94" s="20"/>
      <c r="F94" s="20"/>
      <c r="G94" s="20"/>
      <c r="H94" s="20"/>
      <c r="I94" s="20"/>
      <c r="J94" s="20"/>
      <c r="K94" s="20"/>
      <c r="L94" s="20"/>
      <c r="M94" s="20"/>
      <c r="N94" s="18" t="str">
        <f aca="false">IF(COUNTBLANK(E94:M94)=9,"",IF(COUNTIF(E94:M94,"Fail")&gt;0,"Fail",IF(COUNTBLANK(E94:M94)&gt;0,"Incomplete","Pass")))</f>
        <v/>
      </c>
      <c r="O94" s="18" t="str">
        <f aca="true">IF(N94="","Not Yet Inspected",IF(N94="Fail","Fail",IF(D94="","",IF(D94&lt;TODAY(),"Overdue",IF(D94&lt;=TODAY()+30,"Due (within 30 days)","Pass")))))</f>
        <v>Not Yet Inspected</v>
      </c>
      <c r="P94" s="18"/>
      <c r="Q94" s="18"/>
      <c r="R94" s="19"/>
    </row>
    <row r="95" customFormat="false" ht="15.75" hidden="false" customHeight="true" outlineLevel="0" collapsed="false">
      <c r="A95" s="18"/>
      <c r="B95" s="18"/>
      <c r="C95" s="19"/>
      <c r="D95" s="19" t="str">
        <f aca="false">IF(C95="","",DATE(YEAR(C95)+1,MONTH(C95),DAY(C95)))</f>
        <v/>
      </c>
      <c r="E95" s="20"/>
      <c r="F95" s="20"/>
      <c r="G95" s="20"/>
      <c r="H95" s="20"/>
      <c r="I95" s="20"/>
      <c r="J95" s="20"/>
      <c r="K95" s="20"/>
      <c r="L95" s="20"/>
      <c r="M95" s="20"/>
      <c r="N95" s="18" t="str">
        <f aca="false">IF(COUNTBLANK(E95:M95)=9,"",IF(COUNTIF(E95:M95,"Fail")&gt;0,"Fail",IF(COUNTBLANK(E95:M95)&gt;0,"Incomplete","Pass")))</f>
        <v/>
      </c>
      <c r="O95" s="18" t="str">
        <f aca="true">IF(N95="","Not Yet Inspected",IF(N95="Fail","Fail",IF(D95="","",IF(D95&lt;TODAY(),"Overdue",IF(D95&lt;=TODAY()+30,"Due (within 30 days)","Pass")))))</f>
        <v>Not Yet Inspected</v>
      </c>
      <c r="P95" s="18"/>
      <c r="Q95" s="18"/>
      <c r="R95" s="19"/>
    </row>
    <row r="96" customFormat="false" ht="15.75" hidden="false" customHeight="true" outlineLevel="0" collapsed="false">
      <c r="A96" s="18"/>
      <c r="B96" s="18"/>
      <c r="C96" s="19"/>
      <c r="D96" s="19" t="str">
        <f aca="false">IF(C96="","",DATE(YEAR(C96)+1,MONTH(C96),DAY(C96)))</f>
        <v/>
      </c>
      <c r="E96" s="20"/>
      <c r="F96" s="20"/>
      <c r="G96" s="20"/>
      <c r="H96" s="20"/>
      <c r="I96" s="20"/>
      <c r="J96" s="20"/>
      <c r="K96" s="20"/>
      <c r="L96" s="20"/>
      <c r="M96" s="20"/>
      <c r="N96" s="18" t="str">
        <f aca="false">IF(COUNTBLANK(E96:M96)=9,"",IF(COUNTIF(E96:M96,"Fail")&gt;0,"Fail",IF(COUNTBLANK(E96:M96)&gt;0,"Incomplete","Pass")))</f>
        <v/>
      </c>
      <c r="O96" s="18" t="str">
        <f aca="true">IF(N96="","Not Yet Inspected",IF(N96="Fail","Fail",IF(D96="","",IF(D96&lt;TODAY(),"Overdue",IF(D96&lt;=TODAY()+30,"Due (within 30 days)","Pass")))))</f>
        <v>Not Yet Inspected</v>
      </c>
      <c r="P96" s="18"/>
      <c r="Q96" s="18"/>
      <c r="R96" s="19"/>
    </row>
    <row r="97" customFormat="false" ht="15.75" hidden="false" customHeight="true" outlineLevel="0" collapsed="false">
      <c r="A97" s="18"/>
      <c r="B97" s="18"/>
      <c r="C97" s="19"/>
      <c r="D97" s="19" t="str">
        <f aca="false">IF(C97="","",DATE(YEAR(C97)+1,MONTH(C97),DAY(C97)))</f>
        <v/>
      </c>
      <c r="E97" s="20"/>
      <c r="F97" s="20"/>
      <c r="G97" s="20"/>
      <c r="H97" s="20"/>
      <c r="I97" s="20"/>
      <c r="J97" s="20"/>
      <c r="K97" s="20"/>
      <c r="L97" s="20"/>
      <c r="M97" s="20"/>
      <c r="N97" s="18" t="str">
        <f aca="false">IF(COUNTBLANK(E97:M97)=9,"",IF(COUNTIF(E97:M97,"Fail")&gt;0,"Fail",IF(COUNTBLANK(E97:M97)&gt;0,"Incomplete","Pass")))</f>
        <v/>
      </c>
      <c r="O97" s="18" t="str">
        <f aca="true">IF(N97="","Not Yet Inspected",IF(N97="Fail","Fail",IF(D97="","",IF(D97&lt;TODAY(),"Overdue",IF(D97&lt;=TODAY()+30,"Due (within 30 days)","Pass")))))</f>
        <v>Not Yet Inspected</v>
      </c>
      <c r="P97" s="18"/>
      <c r="Q97" s="18"/>
      <c r="R97" s="19"/>
    </row>
    <row r="98" customFormat="false" ht="15.75" hidden="false" customHeight="true" outlineLevel="0" collapsed="false">
      <c r="A98" s="18"/>
      <c r="B98" s="18"/>
      <c r="C98" s="19"/>
      <c r="D98" s="19" t="str">
        <f aca="false">IF(C98="","",DATE(YEAR(C98)+1,MONTH(C98),DAY(C98)))</f>
        <v/>
      </c>
      <c r="E98" s="20"/>
      <c r="F98" s="20"/>
      <c r="G98" s="20"/>
      <c r="H98" s="20"/>
      <c r="I98" s="20"/>
      <c r="J98" s="20"/>
      <c r="K98" s="20"/>
      <c r="L98" s="20"/>
      <c r="M98" s="20"/>
      <c r="N98" s="18" t="str">
        <f aca="false">IF(COUNTBLANK(E98:M98)=9,"",IF(COUNTIF(E98:M98,"Fail")&gt;0,"Fail",IF(COUNTBLANK(E98:M98)&gt;0,"Incomplete","Pass")))</f>
        <v/>
      </c>
      <c r="O98" s="18" t="str">
        <f aca="true">IF(N98="","Not Yet Inspected",IF(N98="Fail","Fail",IF(D98="","",IF(D98&lt;TODAY(),"Overdue",IF(D98&lt;=TODAY()+30,"Due (within 30 days)","Pass")))))</f>
        <v>Not Yet Inspected</v>
      </c>
      <c r="P98" s="18"/>
      <c r="Q98" s="18"/>
      <c r="R98" s="19"/>
    </row>
    <row r="99" customFormat="false" ht="15.75" hidden="false" customHeight="true" outlineLevel="0" collapsed="false">
      <c r="A99" s="18"/>
      <c r="B99" s="18"/>
      <c r="C99" s="19"/>
      <c r="D99" s="19" t="str">
        <f aca="false">IF(C99="","",DATE(YEAR(C99)+1,MONTH(C99),DAY(C99)))</f>
        <v/>
      </c>
      <c r="E99" s="20"/>
      <c r="F99" s="20"/>
      <c r="G99" s="20"/>
      <c r="H99" s="20"/>
      <c r="I99" s="20"/>
      <c r="J99" s="20"/>
      <c r="K99" s="20"/>
      <c r="L99" s="20"/>
      <c r="M99" s="20"/>
      <c r="N99" s="18" t="str">
        <f aca="false">IF(COUNTBLANK(E99:M99)=9,"",IF(COUNTIF(E99:M99,"Fail")&gt;0,"Fail",IF(COUNTBLANK(E99:M99)&gt;0,"Incomplete","Pass")))</f>
        <v/>
      </c>
      <c r="O99" s="18" t="str">
        <f aca="true">IF(N99="","Not Yet Inspected",IF(N99="Fail","Fail",IF(D99="","",IF(D99&lt;TODAY(),"Overdue",IF(D99&lt;=TODAY()+30,"Due (within 30 days)","Pass")))))</f>
        <v>Not Yet Inspected</v>
      </c>
      <c r="P99" s="18"/>
      <c r="Q99" s="18"/>
      <c r="R99" s="19"/>
    </row>
    <row r="100" customFormat="false" ht="15.75" hidden="false" customHeight="true" outlineLevel="0" collapsed="false">
      <c r="A100" s="18"/>
      <c r="B100" s="18"/>
      <c r="C100" s="19"/>
      <c r="D100" s="19" t="str">
        <f aca="false">IF(C100="","",DATE(YEAR(C100)+1,MONTH(C100),DAY(C100)))</f>
        <v/>
      </c>
      <c r="E100" s="20"/>
      <c r="F100" s="20"/>
      <c r="G100" s="20"/>
      <c r="H100" s="20"/>
      <c r="I100" s="20"/>
      <c r="J100" s="20"/>
      <c r="K100" s="20"/>
      <c r="L100" s="20"/>
      <c r="M100" s="20"/>
      <c r="N100" s="18" t="str">
        <f aca="false">IF(COUNTBLANK(E100:M100)=9,"",IF(COUNTIF(E100:M100,"Fail")&gt;0,"Fail",IF(COUNTBLANK(E100:M100)&gt;0,"Incomplete","Pass")))</f>
        <v/>
      </c>
      <c r="O100" s="18" t="str">
        <f aca="true">IF(N100="","Not Yet Inspected",IF(N100="Fail","Fail",IF(D100="","",IF(D100&lt;TODAY(),"Overdue",IF(D100&lt;=TODAY()+30,"Due (within 30 days)","Pass")))))</f>
        <v>Not Yet Inspected</v>
      </c>
      <c r="P100" s="18"/>
      <c r="Q100" s="18"/>
      <c r="R100" s="19"/>
    </row>
    <row r="101" customFormat="false" ht="15.75" hidden="false" customHeight="true" outlineLevel="0" collapsed="false">
      <c r="A101" s="18"/>
      <c r="B101" s="18"/>
      <c r="C101" s="19"/>
      <c r="D101" s="19" t="str">
        <f aca="false">IF(C101="","",DATE(YEAR(C101)+1,MONTH(C101),DAY(C101)))</f>
        <v/>
      </c>
      <c r="E101" s="20"/>
      <c r="F101" s="20"/>
      <c r="G101" s="20"/>
      <c r="H101" s="20"/>
      <c r="I101" s="20"/>
      <c r="J101" s="20"/>
      <c r="K101" s="20"/>
      <c r="L101" s="20"/>
      <c r="M101" s="20"/>
      <c r="N101" s="18" t="str">
        <f aca="false">IF(COUNTBLANK(E101:M101)=9,"",IF(COUNTIF(E101:M101,"Fail")&gt;0,"Fail",IF(COUNTBLANK(E101:M101)&gt;0,"Incomplete","Pass")))</f>
        <v/>
      </c>
      <c r="O101" s="18" t="str">
        <f aca="true">IF(N101="","Not Yet Inspected",IF(N101="Fail","Fail",IF(D101="","",IF(D101&lt;TODAY(),"Overdue",IF(D101&lt;=TODAY()+30,"Due (within 30 days)","Pass")))))</f>
        <v>Not Yet Inspected</v>
      </c>
      <c r="P101" s="18"/>
      <c r="Q101" s="18"/>
      <c r="R101" s="19"/>
    </row>
    <row r="102" customFormat="false" ht="15.75" hidden="false" customHeight="true" outlineLevel="0" collapsed="false">
      <c r="A102" s="18"/>
      <c r="B102" s="18"/>
      <c r="C102" s="19"/>
      <c r="D102" s="19" t="str">
        <f aca="false">IF(C102="","",DATE(YEAR(C102)+1,MONTH(C102),DAY(C102)))</f>
        <v/>
      </c>
      <c r="E102" s="20"/>
      <c r="F102" s="20"/>
      <c r="G102" s="20"/>
      <c r="H102" s="20"/>
      <c r="I102" s="20"/>
      <c r="J102" s="20"/>
      <c r="K102" s="20"/>
      <c r="L102" s="20"/>
      <c r="M102" s="20"/>
      <c r="N102" s="18" t="str">
        <f aca="false">IF(COUNTBLANK(E102:M102)=9,"",IF(COUNTIF(E102:M102,"Fail")&gt;0,"Fail",IF(COUNTBLANK(E102:M102)&gt;0,"Incomplete","Pass")))</f>
        <v/>
      </c>
      <c r="O102" s="18" t="str">
        <f aca="true">IF(N102="","Not Yet Inspected",IF(N102="Fail","Fail",IF(D102="","",IF(D102&lt;TODAY(),"Overdue",IF(D102&lt;=TODAY()+30,"Due (within 30 days)","Pass")))))</f>
        <v>Not Yet Inspected</v>
      </c>
      <c r="P102" s="18"/>
      <c r="Q102" s="18"/>
      <c r="R102" s="19"/>
    </row>
    <row r="103" customFormat="false" ht="15.75" hidden="false" customHeight="true" outlineLevel="0" collapsed="false">
      <c r="A103" s="18"/>
      <c r="B103" s="18"/>
      <c r="C103" s="19"/>
      <c r="D103" s="19" t="str">
        <f aca="false">IF(C103="","",DATE(YEAR(C103)+1,MONTH(C103),DAY(C103)))</f>
        <v/>
      </c>
      <c r="E103" s="20"/>
      <c r="F103" s="20"/>
      <c r="G103" s="20"/>
      <c r="H103" s="20"/>
      <c r="I103" s="20"/>
      <c r="J103" s="20"/>
      <c r="K103" s="20"/>
      <c r="L103" s="20"/>
      <c r="M103" s="20"/>
      <c r="N103" s="18" t="str">
        <f aca="false">IF(COUNTBLANK(E103:M103)=9,"",IF(COUNTIF(E103:M103,"Fail")&gt;0,"Fail",IF(COUNTBLANK(E103:M103)&gt;0,"Incomplete","Pass")))</f>
        <v/>
      </c>
      <c r="O103" s="18" t="str">
        <f aca="true">IF(N103="","Not Yet Inspected",IF(N103="Fail","Fail",IF(D103="","",IF(D103&lt;TODAY(),"Overdue",IF(D103&lt;=TODAY()+30,"Due (within 30 days)","Pass")))))</f>
        <v>Not Yet Inspected</v>
      </c>
      <c r="P103" s="18"/>
      <c r="Q103" s="18"/>
      <c r="R103" s="19"/>
    </row>
    <row r="104" customFormat="false" ht="15.75" hidden="false" customHeight="true" outlineLevel="0" collapsed="false">
      <c r="A104" s="18"/>
      <c r="B104" s="18"/>
      <c r="C104" s="19"/>
      <c r="D104" s="19" t="str">
        <f aca="false">IF(C104="","",DATE(YEAR(C104)+1,MONTH(C104),DAY(C104)))</f>
        <v/>
      </c>
      <c r="E104" s="20"/>
      <c r="F104" s="20"/>
      <c r="G104" s="20"/>
      <c r="H104" s="20"/>
      <c r="I104" s="20"/>
      <c r="J104" s="20"/>
      <c r="K104" s="20"/>
      <c r="L104" s="20"/>
      <c r="M104" s="20"/>
      <c r="N104" s="18" t="str">
        <f aca="false">IF(COUNTBLANK(E104:M104)=9,"",IF(COUNTIF(E104:M104,"Fail")&gt;0,"Fail",IF(COUNTBLANK(E104:M104)&gt;0,"Incomplete","Pass")))</f>
        <v/>
      </c>
      <c r="O104" s="18" t="str">
        <f aca="true">IF(N104="","Not Yet Inspected",IF(N104="Fail","Fail",IF(D104="","",IF(D104&lt;TODAY(),"Overdue",IF(D104&lt;=TODAY()+30,"Due (within 30 days)","Pass")))))</f>
        <v>Not Yet Inspected</v>
      </c>
      <c r="P104" s="18"/>
      <c r="Q104" s="18"/>
      <c r="R104" s="19"/>
    </row>
    <row r="105" customFormat="false" ht="15.75" hidden="false" customHeight="true" outlineLevel="0" collapsed="false">
      <c r="A105" s="18"/>
      <c r="B105" s="18"/>
      <c r="C105" s="19"/>
      <c r="D105" s="19" t="str">
        <f aca="false">IF(C105="","",DATE(YEAR(C105)+1,MONTH(C105),DAY(C105)))</f>
        <v/>
      </c>
      <c r="E105" s="20"/>
      <c r="F105" s="20"/>
      <c r="G105" s="20"/>
      <c r="H105" s="20"/>
      <c r="I105" s="20"/>
      <c r="J105" s="20"/>
      <c r="K105" s="20"/>
      <c r="L105" s="20"/>
      <c r="M105" s="20"/>
      <c r="N105" s="18" t="str">
        <f aca="false">IF(COUNTBLANK(E105:M105)=9,"",IF(COUNTIF(E105:M105,"Fail")&gt;0,"Fail",IF(COUNTBLANK(E105:M105)&gt;0,"Incomplete","Pass")))</f>
        <v/>
      </c>
      <c r="O105" s="18" t="str">
        <f aca="true">IF(N105="","Not Yet Inspected",IF(N105="Fail","Fail",IF(D105="","",IF(D105&lt;TODAY(),"Overdue",IF(D105&lt;=TODAY()+30,"Due (within 30 days)","Pass")))))</f>
        <v>Not Yet Inspected</v>
      </c>
      <c r="P105" s="18"/>
      <c r="Q105" s="18"/>
      <c r="R105" s="19"/>
    </row>
    <row r="106" customFormat="false" ht="15.75" hidden="false" customHeight="true" outlineLevel="0" collapsed="false">
      <c r="A106" s="18"/>
      <c r="B106" s="18"/>
      <c r="C106" s="19"/>
      <c r="D106" s="19" t="str">
        <f aca="false">IF(C106="","",DATE(YEAR(C106)+1,MONTH(C106),DAY(C106)))</f>
        <v/>
      </c>
      <c r="E106" s="20"/>
      <c r="F106" s="20"/>
      <c r="G106" s="20"/>
      <c r="H106" s="20"/>
      <c r="I106" s="20"/>
      <c r="J106" s="20"/>
      <c r="K106" s="20"/>
      <c r="L106" s="20"/>
      <c r="M106" s="20"/>
      <c r="N106" s="18" t="str">
        <f aca="false">IF(COUNTBLANK(E106:M106)=9,"",IF(COUNTIF(E106:M106,"Fail")&gt;0,"Fail",IF(COUNTBLANK(E106:M106)&gt;0,"Incomplete","Pass")))</f>
        <v/>
      </c>
      <c r="O106" s="18" t="str">
        <f aca="true">IF(N106="","Not Yet Inspected",IF(N106="Fail","Fail",IF(D106="","",IF(D106&lt;TODAY(),"Overdue",IF(D106&lt;=TODAY()+30,"Due (within 30 days)","Pass")))))</f>
        <v>Not Yet Inspected</v>
      </c>
      <c r="P106" s="18"/>
      <c r="Q106" s="18"/>
      <c r="R106" s="19"/>
    </row>
    <row r="107" customFormat="false" ht="15.75" hidden="false" customHeight="true" outlineLevel="0" collapsed="false">
      <c r="A107" s="18"/>
      <c r="B107" s="18"/>
      <c r="C107" s="19"/>
      <c r="D107" s="19" t="str">
        <f aca="false">IF(C107="","",DATE(YEAR(C107)+1,MONTH(C107),DAY(C107)))</f>
        <v/>
      </c>
      <c r="E107" s="20"/>
      <c r="F107" s="20"/>
      <c r="G107" s="20"/>
      <c r="H107" s="20"/>
      <c r="I107" s="20"/>
      <c r="J107" s="20"/>
      <c r="K107" s="20"/>
      <c r="L107" s="20"/>
      <c r="M107" s="20"/>
      <c r="N107" s="18" t="str">
        <f aca="false">IF(COUNTBLANK(E107:M107)=9,"",IF(COUNTIF(E107:M107,"Fail")&gt;0,"Fail",IF(COUNTBLANK(E107:M107)&gt;0,"Incomplete","Pass")))</f>
        <v/>
      </c>
      <c r="O107" s="18" t="str">
        <f aca="true">IF(N107="","Not Yet Inspected",IF(N107="Fail","Fail",IF(D107="","",IF(D107&lt;TODAY(),"Overdue",IF(D107&lt;=TODAY()+30,"Due (within 30 days)","Pass")))))</f>
        <v>Not Yet Inspected</v>
      </c>
      <c r="P107" s="18"/>
      <c r="Q107" s="18"/>
      <c r="R107" s="19"/>
    </row>
    <row r="108" customFormat="false" ht="15.75" hidden="false" customHeight="true" outlineLevel="0" collapsed="false">
      <c r="A108" s="18"/>
      <c r="B108" s="18"/>
      <c r="C108" s="19"/>
      <c r="D108" s="19" t="str">
        <f aca="false">IF(C108="","",DATE(YEAR(C108)+1,MONTH(C108),DAY(C108)))</f>
        <v/>
      </c>
      <c r="E108" s="20"/>
      <c r="F108" s="20"/>
      <c r="G108" s="20"/>
      <c r="H108" s="20"/>
      <c r="I108" s="20"/>
      <c r="J108" s="20"/>
      <c r="K108" s="20"/>
      <c r="L108" s="20"/>
      <c r="M108" s="20"/>
      <c r="N108" s="18" t="str">
        <f aca="false">IF(COUNTBLANK(E108:M108)=9,"",IF(COUNTIF(E108:M108,"Fail")&gt;0,"Fail",IF(COUNTBLANK(E108:M108)&gt;0,"Incomplete","Pass")))</f>
        <v/>
      </c>
      <c r="O108" s="18" t="str">
        <f aca="true">IF(N108="","Not Yet Inspected",IF(N108="Fail","Fail",IF(D108="","",IF(D108&lt;TODAY(),"Overdue",IF(D108&lt;=TODAY()+30,"Due (within 30 days)","Pass")))))</f>
        <v>Not Yet Inspected</v>
      </c>
      <c r="P108" s="18"/>
      <c r="Q108" s="18"/>
      <c r="R108" s="19"/>
    </row>
    <row r="109" customFormat="false" ht="15.75" hidden="false" customHeight="true" outlineLevel="0" collapsed="false">
      <c r="A109" s="18"/>
      <c r="B109" s="18"/>
      <c r="C109" s="19"/>
      <c r="D109" s="19" t="str">
        <f aca="false">IF(C109="","",DATE(YEAR(C109)+1,MONTH(C109),DAY(C109)))</f>
        <v/>
      </c>
      <c r="E109" s="20"/>
      <c r="F109" s="20"/>
      <c r="G109" s="20"/>
      <c r="H109" s="20"/>
      <c r="I109" s="20"/>
      <c r="J109" s="20"/>
      <c r="K109" s="20"/>
      <c r="L109" s="20"/>
      <c r="M109" s="20"/>
      <c r="N109" s="18" t="str">
        <f aca="false">IF(COUNTBLANK(E109:M109)=9,"",IF(COUNTIF(E109:M109,"Fail")&gt;0,"Fail",IF(COUNTBLANK(E109:M109)&gt;0,"Incomplete","Pass")))</f>
        <v/>
      </c>
      <c r="O109" s="18" t="str">
        <f aca="true">IF(N109="","Not Yet Inspected",IF(N109="Fail","Fail",IF(D109="","",IF(D109&lt;TODAY(),"Overdue",IF(D109&lt;=TODAY()+30,"Due (within 30 days)","Pass")))))</f>
        <v>Not Yet Inspected</v>
      </c>
      <c r="P109" s="18"/>
      <c r="Q109" s="18"/>
      <c r="R109" s="19"/>
    </row>
    <row r="110" customFormat="false" ht="15.75" hidden="false" customHeight="true" outlineLevel="0" collapsed="false">
      <c r="A110" s="18"/>
      <c r="B110" s="18"/>
      <c r="C110" s="19"/>
      <c r="D110" s="19" t="str">
        <f aca="false">IF(C110="","",DATE(YEAR(C110)+1,MONTH(C110),DAY(C110)))</f>
        <v/>
      </c>
      <c r="E110" s="20"/>
      <c r="F110" s="20"/>
      <c r="G110" s="20"/>
      <c r="H110" s="20"/>
      <c r="I110" s="20"/>
      <c r="J110" s="20"/>
      <c r="K110" s="20"/>
      <c r="L110" s="20"/>
      <c r="M110" s="20"/>
      <c r="N110" s="18" t="str">
        <f aca="false">IF(COUNTBLANK(E110:M110)=9,"",IF(COUNTIF(E110:M110,"Fail")&gt;0,"Fail",IF(COUNTBLANK(E110:M110)&gt;0,"Incomplete","Pass")))</f>
        <v/>
      </c>
      <c r="O110" s="18" t="str">
        <f aca="true">IF(N110="","Not Yet Inspected",IF(N110="Fail","Fail",IF(D110="","",IF(D110&lt;TODAY(),"Overdue",IF(D110&lt;=TODAY()+30,"Due (within 30 days)","Pass")))))</f>
        <v>Not Yet Inspected</v>
      </c>
      <c r="P110" s="18"/>
      <c r="Q110" s="18"/>
      <c r="R110" s="19"/>
    </row>
    <row r="111" customFormat="false" ht="15.75" hidden="false" customHeight="true" outlineLevel="0" collapsed="false">
      <c r="A111" s="18"/>
      <c r="B111" s="18"/>
      <c r="C111" s="19"/>
      <c r="D111" s="19" t="str">
        <f aca="false">IF(C111="","",DATE(YEAR(C111)+1,MONTH(C111),DAY(C111)))</f>
        <v/>
      </c>
      <c r="E111" s="20"/>
      <c r="F111" s="20"/>
      <c r="G111" s="20"/>
      <c r="H111" s="20"/>
      <c r="I111" s="20"/>
      <c r="J111" s="20"/>
      <c r="K111" s="20"/>
      <c r="L111" s="20"/>
      <c r="M111" s="20"/>
      <c r="N111" s="18" t="str">
        <f aca="false">IF(COUNTBLANK(E111:M111)=9,"",IF(COUNTIF(E111:M111,"Fail")&gt;0,"Fail",IF(COUNTBLANK(E111:M111)&gt;0,"Incomplete","Pass")))</f>
        <v/>
      </c>
      <c r="O111" s="18" t="str">
        <f aca="true">IF(N111="","Not Yet Inspected",IF(N111="Fail","Fail",IF(D111="","",IF(D111&lt;TODAY(),"Overdue",IF(D111&lt;=TODAY()+30,"Due (within 30 days)","Pass")))))</f>
        <v>Not Yet Inspected</v>
      </c>
      <c r="P111" s="18"/>
      <c r="Q111" s="18"/>
      <c r="R111" s="19"/>
    </row>
    <row r="112" customFormat="false" ht="15.75" hidden="false" customHeight="true" outlineLevel="0" collapsed="false">
      <c r="A112" s="18"/>
      <c r="B112" s="18"/>
      <c r="C112" s="19"/>
      <c r="D112" s="19" t="str">
        <f aca="false">IF(C112="","",DATE(YEAR(C112)+1,MONTH(C112),DAY(C112)))</f>
        <v/>
      </c>
      <c r="E112" s="20"/>
      <c r="F112" s="20"/>
      <c r="G112" s="20"/>
      <c r="H112" s="20"/>
      <c r="I112" s="20"/>
      <c r="J112" s="20"/>
      <c r="K112" s="20"/>
      <c r="L112" s="20"/>
      <c r="M112" s="20"/>
      <c r="N112" s="18" t="str">
        <f aca="false">IF(COUNTBLANK(E112:M112)=9,"",IF(COUNTIF(E112:M112,"Fail")&gt;0,"Fail",IF(COUNTBLANK(E112:M112)&gt;0,"Incomplete","Pass")))</f>
        <v/>
      </c>
      <c r="O112" s="18" t="str">
        <f aca="true">IF(N112="","Not Yet Inspected",IF(N112="Fail","Fail",IF(D112="","",IF(D112&lt;TODAY(),"Overdue",IF(D112&lt;=TODAY()+30,"Due (within 30 days)","Pass")))))</f>
        <v>Not Yet Inspected</v>
      </c>
      <c r="P112" s="18"/>
      <c r="Q112" s="18"/>
      <c r="R112" s="19"/>
    </row>
    <row r="113" customFormat="false" ht="15.75" hidden="false" customHeight="true" outlineLevel="0" collapsed="false">
      <c r="A113" s="18"/>
      <c r="B113" s="18"/>
      <c r="C113" s="19"/>
      <c r="D113" s="19" t="str">
        <f aca="false">IF(C113="","",DATE(YEAR(C113)+1,MONTH(C113),DAY(C113)))</f>
        <v/>
      </c>
      <c r="E113" s="20"/>
      <c r="F113" s="20"/>
      <c r="G113" s="20"/>
      <c r="H113" s="20"/>
      <c r="I113" s="20"/>
      <c r="J113" s="20"/>
      <c r="K113" s="20"/>
      <c r="L113" s="20"/>
      <c r="M113" s="20"/>
      <c r="N113" s="18" t="str">
        <f aca="false">IF(COUNTBLANK(E113:M113)=9,"",IF(COUNTIF(E113:M113,"Fail")&gt;0,"Fail",IF(COUNTBLANK(E113:M113)&gt;0,"Incomplete","Pass")))</f>
        <v/>
      </c>
      <c r="O113" s="18" t="str">
        <f aca="true">IF(N113="","Not Yet Inspected",IF(N113="Fail","Fail",IF(D113="","",IF(D113&lt;TODAY(),"Overdue",IF(D113&lt;=TODAY()+30,"Due (within 30 days)","Pass")))))</f>
        <v>Not Yet Inspected</v>
      </c>
      <c r="P113" s="18"/>
      <c r="Q113" s="18"/>
      <c r="R113" s="19"/>
    </row>
    <row r="114" customFormat="false" ht="15.75" hidden="false" customHeight="true" outlineLevel="0" collapsed="false">
      <c r="A114" s="18"/>
      <c r="B114" s="18"/>
      <c r="C114" s="19"/>
      <c r="D114" s="19" t="str">
        <f aca="false">IF(C114="","",DATE(YEAR(C114)+1,MONTH(C114),DAY(C114)))</f>
        <v/>
      </c>
      <c r="E114" s="20"/>
      <c r="F114" s="20"/>
      <c r="G114" s="20"/>
      <c r="H114" s="20"/>
      <c r="I114" s="20"/>
      <c r="J114" s="20"/>
      <c r="K114" s="20"/>
      <c r="L114" s="20"/>
      <c r="M114" s="20"/>
      <c r="N114" s="18" t="str">
        <f aca="false">IF(COUNTBLANK(E114:M114)=9,"",IF(COUNTIF(E114:M114,"Fail")&gt;0,"Fail",IF(COUNTBLANK(E114:M114)&gt;0,"Incomplete","Pass")))</f>
        <v/>
      </c>
      <c r="O114" s="18" t="str">
        <f aca="true">IF(N114="","Not Yet Inspected",IF(N114="Fail","Fail",IF(D114="","",IF(D114&lt;TODAY(),"Overdue",IF(D114&lt;=TODAY()+30,"Due (within 30 days)","Pass")))))</f>
        <v>Not Yet Inspected</v>
      </c>
      <c r="P114" s="18"/>
      <c r="Q114" s="18"/>
      <c r="R114" s="19"/>
    </row>
    <row r="115" customFormat="false" ht="15.75" hidden="false" customHeight="true" outlineLevel="0" collapsed="false">
      <c r="A115" s="18"/>
      <c r="B115" s="18"/>
      <c r="C115" s="19"/>
      <c r="D115" s="19" t="str">
        <f aca="false">IF(C115="","",DATE(YEAR(C115)+1,MONTH(C115),DAY(C115)))</f>
        <v/>
      </c>
      <c r="E115" s="20"/>
      <c r="F115" s="20"/>
      <c r="G115" s="20"/>
      <c r="H115" s="20"/>
      <c r="I115" s="20"/>
      <c r="J115" s="20"/>
      <c r="K115" s="20"/>
      <c r="L115" s="20"/>
      <c r="M115" s="20"/>
      <c r="N115" s="18" t="str">
        <f aca="false">IF(COUNTBLANK(E115:M115)=9,"",IF(COUNTIF(E115:M115,"Fail")&gt;0,"Fail",IF(COUNTBLANK(E115:M115)&gt;0,"Incomplete","Pass")))</f>
        <v/>
      </c>
      <c r="O115" s="18" t="str">
        <f aca="true">IF(N115="","Not Yet Inspected",IF(N115="Fail","Fail",IF(D115="","",IF(D115&lt;TODAY(),"Overdue",IF(D115&lt;=TODAY()+30,"Due (within 30 days)","Pass")))))</f>
        <v>Not Yet Inspected</v>
      </c>
      <c r="P115" s="18"/>
      <c r="Q115" s="18"/>
      <c r="R115" s="19"/>
    </row>
    <row r="116" customFormat="false" ht="15.75" hidden="false" customHeight="true" outlineLevel="0" collapsed="false">
      <c r="A116" s="18"/>
      <c r="B116" s="18"/>
      <c r="C116" s="19"/>
      <c r="D116" s="19" t="str">
        <f aca="false">IF(C116="","",DATE(YEAR(C116)+1,MONTH(C116),DAY(C116)))</f>
        <v/>
      </c>
      <c r="E116" s="20"/>
      <c r="F116" s="20"/>
      <c r="G116" s="20"/>
      <c r="H116" s="20"/>
      <c r="I116" s="20"/>
      <c r="J116" s="20"/>
      <c r="K116" s="20"/>
      <c r="L116" s="20"/>
      <c r="M116" s="20"/>
      <c r="N116" s="18" t="str">
        <f aca="false">IF(COUNTBLANK(E116:M116)=9,"",IF(COUNTIF(E116:M116,"Fail")&gt;0,"Fail",IF(COUNTBLANK(E116:M116)&gt;0,"Incomplete","Pass")))</f>
        <v/>
      </c>
      <c r="O116" s="18" t="str">
        <f aca="true">IF(N116="","Not Yet Inspected",IF(N116="Fail","Fail",IF(D116="","",IF(D116&lt;TODAY(),"Overdue",IF(D116&lt;=TODAY()+30,"Due (within 30 days)","Pass")))))</f>
        <v>Not Yet Inspected</v>
      </c>
      <c r="P116" s="18"/>
      <c r="Q116" s="18"/>
      <c r="R116" s="19"/>
    </row>
    <row r="117" customFormat="false" ht="15.75" hidden="false" customHeight="true" outlineLevel="0" collapsed="false">
      <c r="A117" s="18"/>
      <c r="B117" s="18"/>
      <c r="C117" s="19"/>
      <c r="D117" s="19" t="str">
        <f aca="false">IF(C117="","",DATE(YEAR(C117)+1,MONTH(C117),DAY(C117)))</f>
        <v/>
      </c>
      <c r="E117" s="20"/>
      <c r="F117" s="20"/>
      <c r="G117" s="20"/>
      <c r="H117" s="20"/>
      <c r="I117" s="20"/>
      <c r="J117" s="20"/>
      <c r="K117" s="20"/>
      <c r="L117" s="20"/>
      <c r="M117" s="20"/>
      <c r="N117" s="18" t="str">
        <f aca="false">IF(COUNTBLANK(E117:M117)=9,"",IF(COUNTIF(E117:M117,"Fail")&gt;0,"Fail",IF(COUNTBLANK(E117:M117)&gt;0,"Incomplete","Pass")))</f>
        <v/>
      </c>
      <c r="O117" s="18" t="str">
        <f aca="true">IF(N117="","Not Yet Inspected",IF(N117="Fail","Fail",IF(D117="","",IF(D117&lt;TODAY(),"Overdue",IF(D117&lt;=TODAY()+30,"Due (within 30 days)","Pass")))))</f>
        <v>Not Yet Inspected</v>
      </c>
      <c r="P117" s="18"/>
      <c r="Q117" s="18"/>
      <c r="R117" s="19"/>
    </row>
    <row r="118" customFormat="false" ht="15.75" hidden="false" customHeight="true" outlineLevel="0" collapsed="false">
      <c r="A118" s="18"/>
      <c r="B118" s="18"/>
      <c r="C118" s="19"/>
      <c r="D118" s="19" t="str">
        <f aca="false">IF(C118="","",DATE(YEAR(C118)+1,MONTH(C118),DAY(C118)))</f>
        <v/>
      </c>
      <c r="E118" s="20"/>
      <c r="F118" s="20"/>
      <c r="G118" s="20"/>
      <c r="H118" s="20"/>
      <c r="I118" s="20"/>
      <c r="J118" s="20"/>
      <c r="K118" s="20"/>
      <c r="L118" s="20"/>
      <c r="M118" s="20"/>
      <c r="N118" s="18" t="str">
        <f aca="false">IF(COUNTBLANK(E118:M118)=9,"",IF(COUNTIF(E118:M118,"Fail")&gt;0,"Fail",IF(COUNTBLANK(E118:M118)&gt;0,"Incomplete","Pass")))</f>
        <v/>
      </c>
      <c r="O118" s="18" t="str">
        <f aca="true">IF(N118="","Not Yet Inspected",IF(N118="Fail","Fail",IF(D118="","",IF(D118&lt;TODAY(),"Overdue",IF(D118&lt;=TODAY()+30,"Due (within 30 days)","Pass")))))</f>
        <v>Not Yet Inspected</v>
      </c>
      <c r="P118" s="18"/>
      <c r="Q118" s="18"/>
      <c r="R118" s="19"/>
    </row>
    <row r="119" customFormat="false" ht="15.75" hidden="false" customHeight="true" outlineLevel="0" collapsed="false">
      <c r="A119" s="18"/>
      <c r="B119" s="18"/>
      <c r="C119" s="19"/>
      <c r="D119" s="19" t="str">
        <f aca="false">IF(C119="","",DATE(YEAR(C119)+1,MONTH(C119),DAY(C119)))</f>
        <v/>
      </c>
      <c r="E119" s="20"/>
      <c r="F119" s="20"/>
      <c r="G119" s="20"/>
      <c r="H119" s="20"/>
      <c r="I119" s="20"/>
      <c r="J119" s="20"/>
      <c r="K119" s="20"/>
      <c r="L119" s="20"/>
      <c r="M119" s="20"/>
      <c r="N119" s="18" t="str">
        <f aca="false">IF(COUNTBLANK(E119:M119)=9,"",IF(COUNTIF(E119:M119,"Fail")&gt;0,"Fail",IF(COUNTBLANK(E119:M119)&gt;0,"Incomplete","Pass")))</f>
        <v/>
      </c>
      <c r="O119" s="18" t="str">
        <f aca="true">IF(N119="","Not Yet Inspected",IF(N119="Fail","Fail",IF(D119="","",IF(D119&lt;TODAY(),"Overdue",IF(D119&lt;=TODAY()+30,"Due (within 30 days)","Pass")))))</f>
        <v>Not Yet Inspected</v>
      </c>
      <c r="P119" s="18"/>
      <c r="Q119" s="18"/>
      <c r="R119" s="19"/>
    </row>
    <row r="120" customFormat="false" ht="15.75" hidden="false" customHeight="true" outlineLevel="0" collapsed="false">
      <c r="A120" s="18"/>
      <c r="B120" s="18"/>
      <c r="C120" s="19"/>
      <c r="D120" s="19" t="str">
        <f aca="false">IF(C120="","",DATE(YEAR(C120)+1,MONTH(C120),DAY(C120)))</f>
        <v/>
      </c>
      <c r="E120" s="20"/>
      <c r="F120" s="20"/>
      <c r="G120" s="20"/>
      <c r="H120" s="20"/>
      <c r="I120" s="20"/>
      <c r="J120" s="20"/>
      <c r="K120" s="20"/>
      <c r="L120" s="20"/>
      <c r="M120" s="20"/>
      <c r="N120" s="18" t="str">
        <f aca="false">IF(COUNTBLANK(E120:M120)=9,"",IF(COUNTIF(E120:M120,"Fail")&gt;0,"Fail",IF(COUNTBLANK(E120:M120)&gt;0,"Incomplete","Pass")))</f>
        <v/>
      </c>
      <c r="O120" s="18" t="str">
        <f aca="true">IF(N120="","Not Yet Inspected",IF(N120="Fail","Fail",IF(D120="","",IF(D120&lt;TODAY(),"Overdue",IF(D120&lt;=TODAY()+30,"Due (within 30 days)","Pass")))))</f>
        <v>Not Yet Inspected</v>
      </c>
      <c r="P120" s="18"/>
      <c r="Q120" s="18"/>
      <c r="R120" s="19"/>
    </row>
    <row r="121" customFormat="false" ht="15.75" hidden="false" customHeight="true" outlineLevel="0" collapsed="false">
      <c r="A121" s="18"/>
      <c r="B121" s="18"/>
      <c r="C121" s="19"/>
      <c r="D121" s="19" t="str">
        <f aca="false">IF(C121="","",DATE(YEAR(C121)+1,MONTH(C121),DAY(C121)))</f>
        <v/>
      </c>
      <c r="E121" s="20"/>
      <c r="F121" s="20"/>
      <c r="G121" s="20"/>
      <c r="H121" s="20"/>
      <c r="I121" s="20"/>
      <c r="J121" s="20"/>
      <c r="K121" s="20"/>
      <c r="L121" s="20"/>
      <c r="M121" s="20"/>
      <c r="N121" s="18" t="str">
        <f aca="false">IF(COUNTBLANK(E121:M121)=9,"",IF(COUNTIF(E121:M121,"Fail")&gt;0,"Fail",IF(COUNTBLANK(E121:M121)&gt;0,"Incomplete","Pass")))</f>
        <v/>
      </c>
      <c r="O121" s="18" t="str">
        <f aca="true">IF(N121="","Not Yet Inspected",IF(N121="Fail","Fail",IF(D121="","",IF(D121&lt;TODAY(),"Overdue",IF(D121&lt;=TODAY()+30,"Due (within 30 days)","Pass")))))</f>
        <v>Not Yet Inspected</v>
      </c>
      <c r="P121" s="18"/>
      <c r="Q121" s="18"/>
      <c r="R121" s="19"/>
    </row>
    <row r="122" customFormat="false" ht="15.75" hidden="false" customHeight="true" outlineLevel="0" collapsed="false">
      <c r="A122" s="18"/>
      <c r="B122" s="18"/>
      <c r="C122" s="19"/>
      <c r="D122" s="19" t="str">
        <f aca="false">IF(C122="","",DATE(YEAR(C122)+1,MONTH(C122),DAY(C122)))</f>
        <v/>
      </c>
      <c r="E122" s="20"/>
      <c r="F122" s="20"/>
      <c r="G122" s="20"/>
      <c r="H122" s="20"/>
      <c r="I122" s="20"/>
      <c r="J122" s="20"/>
      <c r="K122" s="20"/>
      <c r="L122" s="20"/>
      <c r="M122" s="20"/>
      <c r="N122" s="18" t="str">
        <f aca="false">IF(COUNTBLANK(E122:M122)=9,"",IF(COUNTIF(E122:M122,"Fail")&gt;0,"Fail",IF(COUNTBLANK(E122:M122)&gt;0,"Incomplete","Pass")))</f>
        <v/>
      </c>
      <c r="O122" s="18" t="str">
        <f aca="true">IF(N122="","Not Yet Inspected",IF(N122="Fail","Fail",IF(D122="","",IF(D122&lt;TODAY(),"Overdue",IF(D122&lt;=TODAY()+30,"Due (within 30 days)","Pass")))))</f>
        <v>Not Yet Inspected</v>
      </c>
      <c r="P122" s="18"/>
      <c r="Q122" s="18"/>
      <c r="R122" s="19"/>
    </row>
    <row r="123" customFormat="false" ht="15.75" hidden="false" customHeight="true" outlineLevel="0" collapsed="false">
      <c r="A123" s="18"/>
      <c r="B123" s="18"/>
      <c r="C123" s="19"/>
      <c r="D123" s="19" t="str">
        <f aca="false">IF(C123="","",DATE(YEAR(C123)+1,MONTH(C123),DAY(C123)))</f>
        <v/>
      </c>
      <c r="E123" s="20"/>
      <c r="F123" s="20"/>
      <c r="G123" s="20"/>
      <c r="H123" s="20"/>
      <c r="I123" s="20"/>
      <c r="J123" s="20"/>
      <c r="K123" s="20"/>
      <c r="L123" s="20"/>
      <c r="M123" s="20"/>
      <c r="N123" s="18" t="str">
        <f aca="false">IF(COUNTBLANK(E123:M123)=9,"",IF(COUNTIF(E123:M123,"Fail")&gt;0,"Fail",IF(COUNTBLANK(E123:M123)&gt;0,"Incomplete","Pass")))</f>
        <v/>
      </c>
      <c r="O123" s="18" t="str">
        <f aca="true">IF(N123="","Not Yet Inspected",IF(N123="Fail","Fail",IF(D123="","",IF(D123&lt;TODAY(),"Overdue",IF(D123&lt;=TODAY()+30,"Due (within 30 days)","Pass")))))</f>
        <v>Not Yet Inspected</v>
      </c>
      <c r="P123" s="18"/>
      <c r="Q123" s="18"/>
      <c r="R123" s="19"/>
    </row>
    <row r="124" customFormat="false" ht="15.75" hidden="false" customHeight="true" outlineLevel="0" collapsed="false">
      <c r="A124" s="18"/>
      <c r="B124" s="18"/>
      <c r="C124" s="19"/>
      <c r="D124" s="19" t="str">
        <f aca="false">IF(C124="","",DATE(YEAR(C124)+1,MONTH(C124),DAY(C124)))</f>
        <v/>
      </c>
      <c r="E124" s="20"/>
      <c r="F124" s="20"/>
      <c r="G124" s="20"/>
      <c r="H124" s="20"/>
      <c r="I124" s="20"/>
      <c r="J124" s="20"/>
      <c r="K124" s="20"/>
      <c r="L124" s="20"/>
      <c r="M124" s="20"/>
      <c r="N124" s="18" t="str">
        <f aca="false">IF(COUNTBLANK(E124:M124)=9,"",IF(COUNTIF(E124:M124,"Fail")&gt;0,"Fail",IF(COUNTBLANK(E124:M124)&gt;0,"Incomplete","Pass")))</f>
        <v/>
      </c>
      <c r="O124" s="18" t="str">
        <f aca="true">IF(N124="","Not Yet Inspected",IF(N124="Fail","Fail",IF(D124="","",IF(D124&lt;TODAY(),"Overdue",IF(D124&lt;=TODAY()+30,"Due (within 30 days)","Pass")))))</f>
        <v>Not Yet Inspected</v>
      </c>
      <c r="P124" s="18"/>
      <c r="Q124" s="18"/>
      <c r="R124" s="19"/>
    </row>
    <row r="125" customFormat="false" ht="15.75" hidden="false" customHeight="true" outlineLevel="0" collapsed="false">
      <c r="A125" s="18"/>
      <c r="B125" s="18"/>
      <c r="C125" s="19"/>
      <c r="D125" s="19" t="str">
        <f aca="false">IF(C125="","",DATE(YEAR(C125)+1,MONTH(C125),DAY(C125)))</f>
        <v/>
      </c>
      <c r="E125" s="20"/>
      <c r="F125" s="20"/>
      <c r="G125" s="20"/>
      <c r="H125" s="20"/>
      <c r="I125" s="20"/>
      <c r="J125" s="20"/>
      <c r="K125" s="20"/>
      <c r="L125" s="20"/>
      <c r="M125" s="20"/>
      <c r="N125" s="18" t="str">
        <f aca="false">IF(COUNTBLANK(E125:M125)=9,"",IF(COUNTIF(E125:M125,"Fail")&gt;0,"Fail",IF(COUNTBLANK(E125:M125)&gt;0,"Incomplete","Pass")))</f>
        <v/>
      </c>
      <c r="O125" s="18" t="str">
        <f aca="true">IF(N125="","Not Yet Inspected",IF(N125="Fail","Fail",IF(D125="","",IF(D125&lt;TODAY(),"Overdue",IF(D125&lt;=TODAY()+30,"Due (within 30 days)","Pass")))))</f>
        <v>Not Yet Inspected</v>
      </c>
      <c r="P125" s="18"/>
      <c r="Q125" s="18"/>
      <c r="R125" s="19"/>
    </row>
    <row r="126" customFormat="false" ht="15.75" hidden="false" customHeight="true" outlineLevel="0" collapsed="false">
      <c r="A126" s="18"/>
      <c r="B126" s="18"/>
      <c r="C126" s="19"/>
      <c r="D126" s="19" t="str">
        <f aca="false">IF(C126="","",DATE(YEAR(C126)+1,MONTH(C126),DAY(C126)))</f>
        <v/>
      </c>
      <c r="E126" s="20"/>
      <c r="F126" s="20"/>
      <c r="G126" s="20"/>
      <c r="H126" s="20"/>
      <c r="I126" s="20"/>
      <c r="J126" s="20"/>
      <c r="K126" s="20"/>
      <c r="L126" s="20"/>
      <c r="M126" s="20"/>
      <c r="N126" s="18" t="str">
        <f aca="false">IF(COUNTBLANK(E126:M126)=9,"",IF(COUNTIF(E126:M126,"Fail")&gt;0,"Fail",IF(COUNTBLANK(E126:M126)&gt;0,"Incomplete","Pass")))</f>
        <v/>
      </c>
      <c r="O126" s="18" t="str">
        <f aca="true">IF(N126="","Not Yet Inspected",IF(N126="Fail","Fail",IF(D126="","",IF(D126&lt;TODAY(),"Overdue",IF(D126&lt;=TODAY()+30,"Due (within 30 days)","Pass")))))</f>
        <v>Not Yet Inspected</v>
      </c>
      <c r="P126" s="18"/>
      <c r="Q126" s="18"/>
      <c r="R126" s="19"/>
    </row>
    <row r="127" customFormat="false" ht="15.75" hidden="false" customHeight="true" outlineLevel="0" collapsed="false">
      <c r="A127" s="18"/>
      <c r="B127" s="18"/>
      <c r="C127" s="19"/>
      <c r="D127" s="19" t="str">
        <f aca="false">IF(C127="","",DATE(YEAR(C127)+1,MONTH(C127),DAY(C127)))</f>
        <v/>
      </c>
      <c r="E127" s="20"/>
      <c r="F127" s="20"/>
      <c r="G127" s="20"/>
      <c r="H127" s="20"/>
      <c r="I127" s="20"/>
      <c r="J127" s="20"/>
      <c r="K127" s="20"/>
      <c r="L127" s="20"/>
      <c r="M127" s="20"/>
      <c r="N127" s="18" t="str">
        <f aca="false">IF(COUNTBLANK(E127:M127)=9,"",IF(COUNTIF(E127:M127,"Fail")&gt;0,"Fail",IF(COUNTBLANK(E127:M127)&gt;0,"Incomplete","Pass")))</f>
        <v/>
      </c>
      <c r="O127" s="18" t="str">
        <f aca="true">IF(N127="","Not Yet Inspected",IF(N127="Fail","Fail",IF(D127="","",IF(D127&lt;TODAY(),"Overdue",IF(D127&lt;=TODAY()+30,"Due (within 30 days)","Pass")))))</f>
        <v>Not Yet Inspected</v>
      </c>
      <c r="P127" s="18"/>
      <c r="Q127" s="18"/>
      <c r="R127" s="19"/>
    </row>
    <row r="128" customFormat="false" ht="15.75" hidden="false" customHeight="true" outlineLevel="0" collapsed="false">
      <c r="A128" s="18"/>
      <c r="B128" s="18"/>
      <c r="C128" s="19"/>
      <c r="D128" s="19" t="str">
        <f aca="false">IF(C128="","",DATE(YEAR(C128)+1,MONTH(C128),DAY(C128)))</f>
        <v/>
      </c>
      <c r="E128" s="20"/>
      <c r="F128" s="20"/>
      <c r="G128" s="20"/>
      <c r="H128" s="20"/>
      <c r="I128" s="20"/>
      <c r="J128" s="20"/>
      <c r="K128" s="20"/>
      <c r="L128" s="20"/>
      <c r="M128" s="20"/>
      <c r="N128" s="18" t="str">
        <f aca="false">IF(COUNTBLANK(E128:M128)=9,"",IF(COUNTIF(E128:M128,"Fail")&gt;0,"Fail",IF(COUNTBLANK(E128:M128)&gt;0,"Incomplete","Pass")))</f>
        <v/>
      </c>
      <c r="O128" s="18" t="str">
        <f aca="true">IF(N128="","Not Yet Inspected",IF(N128="Fail","Fail",IF(D128="","",IF(D128&lt;TODAY(),"Overdue",IF(D128&lt;=TODAY()+30,"Due (within 30 days)","Pass")))))</f>
        <v>Not Yet Inspected</v>
      </c>
      <c r="P128" s="18"/>
      <c r="Q128" s="18"/>
      <c r="R128" s="19"/>
    </row>
    <row r="129" customFormat="false" ht="15.75" hidden="false" customHeight="true" outlineLevel="0" collapsed="false">
      <c r="A129" s="18"/>
      <c r="B129" s="18"/>
      <c r="C129" s="19"/>
      <c r="D129" s="19" t="str">
        <f aca="false">IF(C129="","",DATE(YEAR(C129)+1,MONTH(C129),DAY(C129)))</f>
        <v/>
      </c>
      <c r="E129" s="20"/>
      <c r="F129" s="20"/>
      <c r="G129" s="20"/>
      <c r="H129" s="20"/>
      <c r="I129" s="20"/>
      <c r="J129" s="20"/>
      <c r="K129" s="20"/>
      <c r="L129" s="20"/>
      <c r="M129" s="20"/>
      <c r="N129" s="18" t="str">
        <f aca="false">IF(COUNTBLANK(E129:M129)=9,"",IF(COUNTIF(E129:M129,"Fail")&gt;0,"Fail",IF(COUNTBLANK(E129:M129)&gt;0,"Incomplete","Pass")))</f>
        <v/>
      </c>
      <c r="O129" s="18" t="str">
        <f aca="true">IF(N129="","Not Yet Inspected",IF(N129="Fail","Fail",IF(D129="","",IF(D129&lt;TODAY(),"Overdue",IF(D129&lt;=TODAY()+30,"Due (within 30 days)","Pass")))))</f>
        <v>Not Yet Inspected</v>
      </c>
      <c r="P129" s="18"/>
      <c r="Q129" s="18"/>
      <c r="R129" s="19"/>
    </row>
    <row r="130" customFormat="false" ht="15.75" hidden="false" customHeight="true" outlineLevel="0" collapsed="false">
      <c r="A130" s="18"/>
      <c r="B130" s="18"/>
      <c r="C130" s="19"/>
      <c r="D130" s="19" t="str">
        <f aca="false">IF(C130="","",DATE(YEAR(C130)+1,MONTH(C130),DAY(C130)))</f>
        <v/>
      </c>
      <c r="E130" s="20"/>
      <c r="F130" s="20"/>
      <c r="G130" s="20"/>
      <c r="H130" s="20"/>
      <c r="I130" s="20"/>
      <c r="J130" s="20"/>
      <c r="K130" s="20"/>
      <c r="L130" s="20"/>
      <c r="M130" s="20"/>
      <c r="N130" s="18" t="str">
        <f aca="false">IF(COUNTBLANK(E130:M130)=9,"",IF(COUNTIF(E130:M130,"Fail")&gt;0,"Fail",IF(COUNTBLANK(E130:M130)&gt;0,"Incomplete","Pass")))</f>
        <v/>
      </c>
      <c r="O130" s="18" t="str">
        <f aca="true">IF(N130="","Not Yet Inspected",IF(N130="Fail","Fail",IF(D130="","",IF(D130&lt;TODAY(),"Overdue",IF(D130&lt;=TODAY()+30,"Due (within 30 days)","Pass")))))</f>
        <v>Not Yet Inspected</v>
      </c>
      <c r="P130" s="18"/>
      <c r="Q130" s="18"/>
      <c r="R130" s="19"/>
    </row>
    <row r="131" customFormat="false" ht="15.75" hidden="false" customHeight="true" outlineLevel="0" collapsed="false">
      <c r="A131" s="18"/>
      <c r="B131" s="18"/>
      <c r="C131" s="19"/>
      <c r="D131" s="19" t="str">
        <f aca="false">IF(C131="","",DATE(YEAR(C131)+1,MONTH(C131),DAY(C131)))</f>
        <v/>
      </c>
      <c r="E131" s="20"/>
      <c r="F131" s="20"/>
      <c r="G131" s="20"/>
      <c r="H131" s="20"/>
      <c r="I131" s="20"/>
      <c r="J131" s="20"/>
      <c r="K131" s="20"/>
      <c r="L131" s="20"/>
      <c r="M131" s="20"/>
      <c r="N131" s="18" t="str">
        <f aca="false">IF(COUNTBLANK(E131:M131)=9,"",IF(COUNTIF(E131:M131,"Fail")&gt;0,"Fail",IF(COUNTBLANK(E131:M131)&gt;0,"Incomplete","Pass")))</f>
        <v/>
      </c>
      <c r="O131" s="18" t="str">
        <f aca="true">IF(N131="","Not Yet Inspected",IF(N131="Fail","Fail",IF(D131="","",IF(D131&lt;TODAY(),"Overdue",IF(D131&lt;=TODAY()+30,"Due (within 30 days)","Pass")))))</f>
        <v>Not Yet Inspected</v>
      </c>
      <c r="P131" s="18"/>
      <c r="Q131" s="18"/>
      <c r="R131" s="19"/>
    </row>
    <row r="132" customFormat="false" ht="15.75" hidden="false" customHeight="true" outlineLevel="0" collapsed="false">
      <c r="A132" s="18"/>
      <c r="B132" s="18"/>
      <c r="C132" s="19"/>
      <c r="D132" s="19" t="str">
        <f aca="false">IF(C132="","",DATE(YEAR(C132)+1,MONTH(C132),DAY(C132)))</f>
        <v/>
      </c>
      <c r="E132" s="20"/>
      <c r="F132" s="20"/>
      <c r="G132" s="20"/>
      <c r="H132" s="20"/>
      <c r="I132" s="20"/>
      <c r="J132" s="20"/>
      <c r="K132" s="20"/>
      <c r="L132" s="20"/>
      <c r="M132" s="20"/>
      <c r="N132" s="18" t="str">
        <f aca="false">IF(COUNTBLANK(E132:M132)=9,"",IF(COUNTIF(E132:M132,"Fail")&gt;0,"Fail",IF(COUNTBLANK(E132:M132)&gt;0,"Incomplete","Pass")))</f>
        <v/>
      </c>
      <c r="O132" s="18" t="str">
        <f aca="true">IF(N132="","Not Yet Inspected",IF(N132="Fail","Fail",IF(D132="","",IF(D132&lt;TODAY(),"Overdue",IF(D132&lt;=TODAY()+30,"Due (within 30 days)","Pass")))))</f>
        <v>Not Yet Inspected</v>
      </c>
      <c r="P132" s="18"/>
      <c r="Q132" s="18"/>
      <c r="R132" s="19"/>
    </row>
    <row r="133" customFormat="false" ht="15.75" hidden="false" customHeight="true" outlineLevel="0" collapsed="false">
      <c r="A133" s="18"/>
      <c r="B133" s="18"/>
      <c r="C133" s="19"/>
      <c r="D133" s="19" t="str">
        <f aca="false">IF(C133="","",DATE(YEAR(C133)+1,MONTH(C133),DAY(C133)))</f>
        <v/>
      </c>
      <c r="E133" s="20"/>
      <c r="F133" s="20"/>
      <c r="G133" s="20"/>
      <c r="H133" s="20"/>
      <c r="I133" s="20"/>
      <c r="J133" s="20"/>
      <c r="K133" s="20"/>
      <c r="L133" s="20"/>
      <c r="M133" s="20"/>
      <c r="N133" s="18" t="str">
        <f aca="false">IF(COUNTBLANK(E133:M133)=9,"",IF(COUNTIF(E133:M133,"Fail")&gt;0,"Fail",IF(COUNTBLANK(E133:M133)&gt;0,"Incomplete","Pass")))</f>
        <v/>
      </c>
      <c r="O133" s="18" t="str">
        <f aca="true">IF(N133="","Not Yet Inspected",IF(N133="Fail","Fail",IF(D133="","",IF(D133&lt;TODAY(),"Overdue",IF(D133&lt;=TODAY()+30,"Due (within 30 days)","Pass")))))</f>
        <v>Not Yet Inspected</v>
      </c>
      <c r="P133" s="18"/>
      <c r="Q133" s="18"/>
      <c r="R133" s="19"/>
    </row>
    <row r="134" customFormat="false" ht="15.75" hidden="false" customHeight="true" outlineLevel="0" collapsed="false">
      <c r="A134" s="18"/>
      <c r="B134" s="18"/>
      <c r="C134" s="19"/>
      <c r="D134" s="19" t="str">
        <f aca="false">IF(C134="","",DATE(YEAR(C134)+1,MONTH(C134),DAY(C134)))</f>
        <v/>
      </c>
      <c r="E134" s="20"/>
      <c r="F134" s="20"/>
      <c r="G134" s="20"/>
      <c r="H134" s="20"/>
      <c r="I134" s="20"/>
      <c r="J134" s="20"/>
      <c r="K134" s="20"/>
      <c r="L134" s="20"/>
      <c r="M134" s="20"/>
      <c r="N134" s="18" t="str">
        <f aca="false">IF(COUNTBLANK(E134:M134)=9,"",IF(COUNTIF(E134:M134,"Fail")&gt;0,"Fail",IF(COUNTBLANK(E134:M134)&gt;0,"Incomplete","Pass")))</f>
        <v/>
      </c>
      <c r="O134" s="18" t="str">
        <f aca="true">IF(N134="","Not Yet Inspected",IF(N134="Fail","Fail",IF(D134="","",IF(D134&lt;TODAY(),"Overdue",IF(D134&lt;=TODAY()+30,"Due (within 30 days)","Pass")))))</f>
        <v>Not Yet Inspected</v>
      </c>
      <c r="P134" s="18"/>
      <c r="Q134" s="18"/>
      <c r="R134" s="19"/>
    </row>
    <row r="135" customFormat="false" ht="15.75" hidden="false" customHeight="true" outlineLevel="0" collapsed="false">
      <c r="A135" s="18"/>
      <c r="B135" s="18"/>
      <c r="C135" s="19"/>
      <c r="D135" s="19" t="str">
        <f aca="false">IF(C135="","",DATE(YEAR(C135)+1,MONTH(C135),DAY(C135)))</f>
        <v/>
      </c>
      <c r="E135" s="20"/>
      <c r="F135" s="20"/>
      <c r="G135" s="20"/>
      <c r="H135" s="20"/>
      <c r="I135" s="20"/>
      <c r="J135" s="20"/>
      <c r="K135" s="20"/>
      <c r="L135" s="20"/>
      <c r="M135" s="20"/>
      <c r="N135" s="18" t="str">
        <f aca="false">IF(COUNTBLANK(E135:M135)=9,"",IF(COUNTIF(E135:M135,"Fail")&gt;0,"Fail",IF(COUNTBLANK(E135:M135)&gt;0,"Incomplete","Pass")))</f>
        <v/>
      </c>
      <c r="O135" s="18" t="str">
        <f aca="true">IF(N135="","Not Yet Inspected",IF(N135="Fail","Fail",IF(D135="","",IF(D135&lt;TODAY(),"Overdue",IF(D135&lt;=TODAY()+30,"Due (within 30 days)","Pass")))))</f>
        <v>Not Yet Inspected</v>
      </c>
      <c r="P135" s="18"/>
      <c r="Q135" s="18"/>
      <c r="R135" s="19"/>
    </row>
    <row r="136" customFormat="false" ht="15.75" hidden="false" customHeight="true" outlineLevel="0" collapsed="false">
      <c r="A136" s="18"/>
      <c r="B136" s="18"/>
      <c r="C136" s="19"/>
      <c r="D136" s="19" t="str">
        <f aca="false">IF(C136="","",DATE(YEAR(C136)+1,MONTH(C136),DAY(C136)))</f>
        <v/>
      </c>
      <c r="E136" s="20"/>
      <c r="F136" s="20"/>
      <c r="G136" s="20"/>
      <c r="H136" s="20"/>
      <c r="I136" s="20"/>
      <c r="J136" s="20"/>
      <c r="K136" s="20"/>
      <c r="L136" s="20"/>
      <c r="M136" s="20"/>
      <c r="N136" s="18" t="str">
        <f aca="false">IF(COUNTBLANK(E136:M136)=9,"",IF(COUNTIF(E136:M136,"Fail")&gt;0,"Fail",IF(COUNTBLANK(E136:M136)&gt;0,"Incomplete","Pass")))</f>
        <v/>
      </c>
      <c r="O136" s="18" t="str">
        <f aca="true">IF(N136="","Not Yet Inspected",IF(N136="Fail","Fail",IF(D136="","",IF(D136&lt;TODAY(),"Overdue",IF(D136&lt;=TODAY()+30,"Due (within 30 days)","Pass")))))</f>
        <v>Not Yet Inspected</v>
      </c>
      <c r="P136" s="18"/>
      <c r="Q136" s="18"/>
      <c r="R136" s="19"/>
    </row>
    <row r="137" customFormat="false" ht="15.75" hidden="false" customHeight="true" outlineLevel="0" collapsed="false">
      <c r="A137" s="18"/>
      <c r="B137" s="18"/>
      <c r="C137" s="19"/>
      <c r="D137" s="19" t="str">
        <f aca="false">IF(C137="","",DATE(YEAR(C137)+1,MONTH(C137),DAY(C137)))</f>
        <v/>
      </c>
      <c r="E137" s="20"/>
      <c r="F137" s="20"/>
      <c r="G137" s="20"/>
      <c r="H137" s="20"/>
      <c r="I137" s="20"/>
      <c r="J137" s="20"/>
      <c r="K137" s="20"/>
      <c r="L137" s="20"/>
      <c r="M137" s="20"/>
      <c r="N137" s="18" t="str">
        <f aca="false">IF(COUNTBLANK(E137:M137)=9,"",IF(COUNTIF(E137:M137,"Fail")&gt;0,"Fail",IF(COUNTBLANK(E137:M137)&gt;0,"Incomplete","Pass")))</f>
        <v/>
      </c>
      <c r="O137" s="18" t="str">
        <f aca="true">IF(N137="","Not Yet Inspected",IF(N137="Fail","Fail",IF(D137="","",IF(D137&lt;TODAY(),"Overdue",IF(D137&lt;=TODAY()+30,"Due (within 30 days)","Pass")))))</f>
        <v>Not Yet Inspected</v>
      </c>
      <c r="P137" s="18"/>
      <c r="Q137" s="18"/>
      <c r="R137" s="19"/>
    </row>
    <row r="138" customFormat="false" ht="15.75" hidden="false" customHeight="true" outlineLevel="0" collapsed="false">
      <c r="A138" s="18"/>
      <c r="B138" s="18"/>
      <c r="C138" s="19"/>
      <c r="D138" s="19" t="str">
        <f aca="false">IF(C138="","",DATE(YEAR(C138)+1,MONTH(C138),DAY(C138)))</f>
        <v/>
      </c>
      <c r="E138" s="20"/>
      <c r="F138" s="20"/>
      <c r="G138" s="20"/>
      <c r="H138" s="20"/>
      <c r="I138" s="20"/>
      <c r="J138" s="20"/>
      <c r="K138" s="20"/>
      <c r="L138" s="20"/>
      <c r="M138" s="20"/>
      <c r="N138" s="18" t="str">
        <f aca="false">IF(COUNTBLANK(E138:M138)=9,"",IF(COUNTIF(E138:M138,"Fail")&gt;0,"Fail",IF(COUNTBLANK(E138:M138)&gt;0,"Incomplete","Pass")))</f>
        <v/>
      </c>
      <c r="O138" s="18" t="str">
        <f aca="true">IF(N138="","Not Yet Inspected",IF(N138="Fail","Fail",IF(D138="","",IF(D138&lt;TODAY(),"Overdue",IF(D138&lt;=TODAY()+30,"Due (within 30 days)","Pass")))))</f>
        <v>Not Yet Inspected</v>
      </c>
      <c r="P138" s="18"/>
      <c r="Q138" s="18"/>
      <c r="R138" s="19"/>
    </row>
    <row r="139" customFormat="false" ht="15.75" hidden="false" customHeight="true" outlineLevel="0" collapsed="false">
      <c r="A139" s="18"/>
      <c r="B139" s="18"/>
      <c r="C139" s="19"/>
      <c r="D139" s="19" t="str">
        <f aca="false">IF(C139="","",DATE(YEAR(C139)+1,MONTH(C139),DAY(C139)))</f>
        <v/>
      </c>
      <c r="E139" s="20"/>
      <c r="F139" s="20"/>
      <c r="G139" s="20"/>
      <c r="H139" s="20"/>
      <c r="I139" s="20"/>
      <c r="J139" s="20"/>
      <c r="K139" s="20"/>
      <c r="L139" s="20"/>
      <c r="M139" s="20"/>
      <c r="N139" s="18" t="str">
        <f aca="false">IF(COUNTBLANK(E139:M139)=9,"",IF(COUNTIF(E139:M139,"Fail")&gt;0,"Fail",IF(COUNTBLANK(E139:M139)&gt;0,"Incomplete","Pass")))</f>
        <v/>
      </c>
      <c r="O139" s="18" t="str">
        <f aca="true">IF(N139="","Not Yet Inspected",IF(N139="Fail","Fail",IF(D139="","",IF(D139&lt;TODAY(),"Overdue",IF(D139&lt;=TODAY()+30,"Due (within 30 days)","Pass")))))</f>
        <v>Not Yet Inspected</v>
      </c>
      <c r="P139" s="18"/>
      <c r="Q139" s="18"/>
      <c r="R139" s="19"/>
    </row>
    <row r="140" customFormat="false" ht="15.75" hidden="false" customHeight="true" outlineLevel="0" collapsed="false">
      <c r="A140" s="18"/>
      <c r="B140" s="18"/>
      <c r="C140" s="19"/>
      <c r="D140" s="19" t="str">
        <f aca="false">IF(C140="","",DATE(YEAR(C140)+1,MONTH(C140),DAY(C140)))</f>
        <v/>
      </c>
      <c r="E140" s="20"/>
      <c r="F140" s="20"/>
      <c r="G140" s="20"/>
      <c r="H140" s="20"/>
      <c r="I140" s="20"/>
      <c r="J140" s="20"/>
      <c r="K140" s="20"/>
      <c r="L140" s="20"/>
      <c r="M140" s="20"/>
      <c r="N140" s="18" t="str">
        <f aca="false">IF(COUNTBLANK(E140:M140)=9,"",IF(COUNTIF(E140:M140,"Fail")&gt;0,"Fail",IF(COUNTBLANK(E140:M140)&gt;0,"Incomplete","Pass")))</f>
        <v/>
      </c>
      <c r="O140" s="18" t="str">
        <f aca="true">IF(N140="","Not Yet Inspected",IF(N140="Fail","Fail",IF(D140="","",IF(D140&lt;TODAY(),"Overdue",IF(D140&lt;=TODAY()+30,"Due (within 30 days)","Pass")))))</f>
        <v>Not Yet Inspected</v>
      </c>
      <c r="P140" s="18"/>
      <c r="Q140" s="18"/>
      <c r="R140" s="19"/>
    </row>
    <row r="141" customFormat="false" ht="15.75" hidden="false" customHeight="true" outlineLevel="0" collapsed="false">
      <c r="A141" s="18"/>
      <c r="B141" s="18"/>
      <c r="C141" s="19"/>
      <c r="D141" s="19" t="str">
        <f aca="false">IF(C141="","",DATE(YEAR(C141)+1,MONTH(C141),DAY(C141)))</f>
        <v/>
      </c>
      <c r="E141" s="20"/>
      <c r="F141" s="20"/>
      <c r="G141" s="20"/>
      <c r="H141" s="20"/>
      <c r="I141" s="20"/>
      <c r="J141" s="20"/>
      <c r="K141" s="20"/>
      <c r="L141" s="20"/>
      <c r="M141" s="20"/>
      <c r="N141" s="18" t="str">
        <f aca="false">IF(COUNTBLANK(E141:M141)=9,"",IF(COUNTIF(E141:M141,"Fail")&gt;0,"Fail",IF(COUNTBLANK(E141:M141)&gt;0,"Incomplete","Pass")))</f>
        <v/>
      </c>
      <c r="O141" s="18" t="str">
        <f aca="true">IF(N141="","Not Yet Inspected",IF(N141="Fail","Fail",IF(D141="","",IF(D141&lt;TODAY(),"Overdue",IF(D141&lt;=TODAY()+30,"Due (within 30 days)","Pass")))))</f>
        <v>Not Yet Inspected</v>
      </c>
      <c r="P141" s="18"/>
      <c r="Q141" s="18"/>
      <c r="R141" s="19"/>
    </row>
    <row r="142" customFormat="false" ht="15.75" hidden="false" customHeight="true" outlineLevel="0" collapsed="false">
      <c r="A142" s="18"/>
      <c r="B142" s="18"/>
      <c r="C142" s="19"/>
      <c r="D142" s="19" t="str">
        <f aca="false">IF(C142="","",DATE(YEAR(C142)+1,MONTH(C142),DAY(C142)))</f>
        <v/>
      </c>
      <c r="E142" s="20"/>
      <c r="F142" s="20"/>
      <c r="G142" s="20"/>
      <c r="H142" s="20"/>
      <c r="I142" s="20"/>
      <c r="J142" s="20"/>
      <c r="K142" s="20"/>
      <c r="L142" s="20"/>
      <c r="M142" s="20"/>
      <c r="N142" s="18" t="str">
        <f aca="false">IF(COUNTBLANK(E142:M142)=9,"",IF(COUNTIF(E142:M142,"Fail")&gt;0,"Fail",IF(COUNTBLANK(E142:M142)&gt;0,"Incomplete","Pass")))</f>
        <v/>
      </c>
      <c r="O142" s="18" t="str">
        <f aca="true">IF(N142="","Not Yet Inspected",IF(N142="Fail","Fail",IF(D142="","",IF(D142&lt;TODAY(),"Overdue",IF(D142&lt;=TODAY()+30,"Due (within 30 days)","Pass")))))</f>
        <v>Not Yet Inspected</v>
      </c>
      <c r="P142" s="18"/>
      <c r="Q142" s="18"/>
      <c r="R142" s="19"/>
    </row>
    <row r="143" customFormat="false" ht="15.75" hidden="false" customHeight="true" outlineLevel="0" collapsed="false">
      <c r="A143" s="18"/>
      <c r="B143" s="18"/>
      <c r="C143" s="19"/>
      <c r="D143" s="19" t="str">
        <f aca="false">IF(C143="","",DATE(YEAR(C143)+1,MONTH(C143),DAY(C143)))</f>
        <v/>
      </c>
      <c r="E143" s="20"/>
      <c r="F143" s="20"/>
      <c r="G143" s="20"/>
      <c r="H143" s="20"/>
      <c r="I143" s="20"/>
      <c r="J143" s="20"/>
      <c r="K143" s="20"/>
      <c r="L143" s="20"/>
      <c r="M143" s="20"/>
      <c r="N143" s="18" t="str">
        <f aca="false">IF(COUNTBLANK(E143:M143)=9,"",IF(COUNTIF(E143:M143,"Fail")&gt;0,"Fail",IF(COUNTBLANK(E143:M143)&gt;0,"Incomplete","Pass")))</f>
        <v/>
      </c>
      <c r="O143" s="18" t="str">
        <f aca="true">IF(N143="","Not Yet Inspected",IF(N143="Fail","Fail",IF(D143="","",IF(D143&lt;TODAY(),"Overdue",IF(D143&lt;=TODAY()+30,"Due (within 30 days)","Pass")))))</f>
        <v>Not Yet Inspected</v>
      </c>
      <c r="P143" s="18"/>
      <c r="Q143" s="18"/>
      <c r="R143" s="19"/>
    </row>
    <row r="144" customFormat="false" ht="15.75" hidden="false" customHeight="true" outlineLevel="0" collapsed="false">
      <c r="A144" s="18"/>
      <c r="B144" s="18"/>
      <c r="C144" s="19"/>
      <c r="D144" s="19" t="str">
        <f aca="false">IF(C144="","",DATE(YEAR(C144)+1,MONTH(C144),DAY(C144)))</f>
        <v/>
      </c>
      <c r="E144" s="20"/>
      <c r="F144" s="20"/>
      <c r="G144" s="20"/>
      <c r="H144" s="20"/>
      <c r="I144" s="20"/>
      <c r="J144" s="20"/>
      <c r="K144" s="20"/>
      <c r="L144" s="20"/>
      <c r="M144" s="20"/>
      <c r="N144" s="18" t="str">
        <f aca="false">IF(COUNTBLANK(E144:M144)=9,"",IF(COUNTIF(E144:M144,"Fail")&gt;0,"Fail",IF(COUNTBLANK(E144:M144)&gt;0,"Incomplete","Pass")))</f>
        <v/>
      </c>
      <c r="O144" s="18" t="str">
        <f aca="true">IF(N144="","Not Yet Inspected",IF(N144="Fail","Fail",IF(D144="","",IF(D144&lt;TODAY(),"Overdue",IF(D144&lt;=TODAY()+30,"Due (within 30 days)","Pass")))))</f>
        <v>Not Yet Inspected</v>
      </c>
      <c r="P144" s="18"/>
      <c r="Q144" s="18"/>
      <c r="R144" s="19"/>
    </row>
    <row r="145" customFormat="false" ht="15.75" hidden="false" customHeight="true" outlineLevel="0" collapsed="false">
      <c r="A145" s="18"/>
      <c r="B145" s="18"/>
      <c r="C145" s="19"/>
      <c r="D145" s="19" t="str">
        <f aca="false">IF(C145="","",DATE(YEAR(C145)+1,MONTH(C145),DAY(C145)))</f>
        <v/>
      </c>
      <c r="E145" s="20"/>
      <c r="F145" s="20"/>
      <c r="G145" s="20"/>
      <c r="H145" s="20"/>
      <c r="I145" s="20"/>
      <c r="J145" s="20"/>
      <c r="K145" s="20"/>
      <c r="L145" s="20"/>
      <c r="M145" s="20"/>
      <c r="N145" s="18" t="str">
        <f aca="false">IF(COUNTBLANK(E145:M145)=9,"",IF(COUNTIF(E145:M145,"Fail")&gt;0,"Fail",IF(COUNTBLANK(E145:M145)&gt;0,"Incomplete","Pass")))</f>
        <v/>
      </c>
      <c r="O145" s="18" t="str">
        <f aca="true">IF(N145="","Not Yet Inspected",IF(N145="Fail","Fail",IF(D145="","",IF(D145&lt;TODAY(),"Overdue",IF(D145&lt;=TODAY()+30,"Due (within 30 days)","Pass")))))</f>
        <v>Not Yet Inspected</v>
      </c>
      <c r="P145" s="18"/>
      <c r="Q145" s="18"/>
      <c r="R145" s="19"/>
    </row>
    <row r="146" customFormat="false" ht="15.75" hidden="false" customHeight="true" outlineLevel="0" collapsed="false">
      <c r="A146" s="18"/>
      <c r="B146" s="18"/>
      <c r="C146" s="19"/>
      <c r="D146" s="19" t="str">
        <f aca="false">IF(C146="","",DATE(YEAR(C146)+1,MONTH(C146),DAY(C146)))</f>
        <v/>
      </c>
      <c r="E146" s="20"/>
      <c r="F146" s="20"/>
      <c r="G146" s="20"/>
      <c r="H146" s="20"/>
      <c r="I146" s="20"/>
      <c r="J146" s="20"/>
      <c r="K146" s="20"/>
      <c r="L146" s="20"/>
      <c r="M146" s="20"/>
      <c r="N146" s="18" t="str">
        <f aca="false">IF(COUNTBLANK(E146:M146)=9,"",IF(COUNTIF(E146:M146,"Fail")&gt;0,"Fail",IF(COUNTBLANK(E146:M146)&gt;0,"Incomplete","Pass")))</f>
        <v/>
      </c>
      <c r="O146" s="18" t="str">
        <f aca="true">IF(N146="","Not Yet Inspected",IF(N146="Fail","Fail",IF(D146="","",IF(D146&lt;TODAY(),"Overdue",IF(D146&lt;=TODAY()+30,"Due (within 30 days)","Pass")))))</f>
        <v>Not Yet Inspected</v>
      </c>
      <c r="P146" s="18"/>
      <c r="Q146" s="18"/>
      <c r="R146" s="19"/>
    </row>
    <row r="147" customFormat="false" ht="15.75" hidden="false" customHeight="true" outlineLevel="0" collapsed="false">
      <c r="A147" s="18"/>
      <c r="B147" s="18"/>
      <c r="C147" s="19"/>
      <c r="D147" s="19" t="str">
        <f aca="false">IF(C147="","",DATE(YEAR(C147)+1,MONTH(C147),DAY(C147)))</f>
        <v/>
      </c>
      <c r="E147" s="20"/>
      <c r="F147" s="20"/>
      <c r="G147" s="20"/>
      <c r="H147" s="20"/>
      <c r="I147" s="20"/>
      <c r="J147" s="20"/>
      <c r="K147" s="20"/>
      <c r="L147" s="20"/>
      <c r="M147" s="20"/>
      <c r="N147" s="18" t="str">
        <f aca="false">IF(COUNTBLANK(E147:M147)=9,"",IF(COUNTIF(E147:M147,"Fail")&gt;0,"Fail",IF(COUNTBLANK(E147:M147)&gt;0,"Incomplete","Pass")))</f>
        <v/>
      </c>
      <c r="O147" s="18" t="str">
        <f aca="true">IF(N147="","Not Yet Inspected",IF(N147="Fail","Fail",IF(D147="","",IF(D147&lt;TODAY(),"Overdue",IF(D147&lt;=TODAY()+30,"Due (within 30 days)","Pass")))))</f>
        <v>Not Yet Inspected</v>
      </c>
      <c r="P147" s="18"/>
      <c r="Q147" s="18"/>
      <c r="R147" s="19"/>
    </row>
    <row r="148" customFormat="false" ht="15.75" hidden="false" customHeight="true" outlineLevel="0" collapsed="false">
      <c r="A148" s="18"/>
      <c r="B148" s="18"/>
      <c r="C148" s="19"/>
      <c r="D148" s="19" t="str">
        <f aca="false">IF(C148="","",DATE(YEAR(C148)+1,MONTH(C148),DAY(C148)))</f>
        <v/>
      </c>
      <c r="E148" s="20"/>
      <c r="F148" s="20"/>
      <c r="G148" s="20"/>
      <c r="H148" s="20"/>
      <c r="I148" s="20"/>
      <c r="J148" s="20"/>
      <c r="K148" s="20"/>
      <c r="L148" s="20"/>
      <c r="M148" s="20"/>
      <c r="N148" s="18" t="str">
        <f aca="false">IF(COUNTBLANK(E148:M148)=9,"",IF(COUNTIF(E148:M148,"Fail")&gt;0,"Fail",IF(COUNTBLANK(E148:M148)&gt;0,"Incomplete","Pass")))</f>
        <v/>
      </c>
      <c r="O148" s="18" t="str">
        <f aca="true">IF(N148="","Not Yet Inspected",IF(N148="Fail","Fail",IF(D148="","",IF(D148&lt;TODAY(),"Overdue",IF(D148&lt;=TODAY()+30,"Due (within 30 days)","Pass")))))</f>
        <v>Not Yet Inspected</v>
      </c>
      <c r="P148" s="18"/>
      <c r="Q148" s="18"/>
      <c r="R148" s="19"/>
    </row>
    <row r="149" customFormat="false" ht="15.75" hidden="false" customHeight="true" outlineLevel="0" collapsed="false">
      <c r="A149" s="18"/>
      <c r="B149" s="18"/>
      <c r="C149" s="19"/>
      <c r="D149" s="19" t="str">
        <f aca="false">IF(C149="","",DATE(YEAR(C149)+1,MONTH(C149),DAY(C149)))</f>
        <v/>
      </c>
      <c r="E149" s="20"/>
      <c r="F149" s="20"/>
      <c r="G149" s="20"/>
      <c r="H149" s="20"/>
      <c r="I149" s="20"/>
      <c r="J149" s="20"/>
      <c r="K149" s="20"/>
      <c r="L149" s="20"/>
      <c r="M149" s="20"/>
      <c r="N149" s="18" t="str">
        <f aca="false">IF(COUNTBLANK(E149:M149)=9,"",IF(COUNTIF(E149:M149,"Fail")&gt;0,"Fail",IF(COUNTBLANK(E149:M149)&gt;0,"Incomplete","Pass")))</f>
        <v/>
      </c>
      <c r="O149" s="18" t="str">
        <f aca="true">IF(N149="","Not Yet Inspected",IF(N149="Fail","Fail",IF(D149="","",IF(D149&lt;TODAY(),"Overdue",IF(D149&lt;=TODAY()+30,"Due (within 30 days)","Pass")))))</f>
        <v>Not Yet Inspected</v>
      </c>
      <c r="P149" s="18"/>
      <c r="Q149" s="18"/>
      <c r="R149" s="19"/>
    </row>
    <row r="150" customFormat="false" ht="15.75" hidden="false" customHeight="true" outlineLevel="0" collapsed="false">
      <c r="A150" s="18"/>
      <c r="B150" s="18"/>
      <c r="C150" s="19"/>
      <c r="D150" s="19" t="str">
        <f aca="false">IF(C150="","",DATE(YEAR(C150)+1,MONTH(C150),DAY(C150)))</f>
        <v/>
      </c>
      <c r="E150" s="20"/>
      <c r="F150" s="20"/>
      <c r="G150" s="20"/>
      <c r="H150" s="20"/>
      <c r="I150" s="20"/>
      <c r="J150" s="20"/>
      <c r="K150" s="20"/>
      <c r="L150" s="20"/>
      <c r="M150" s="20"/>
      <c r="N150" s="18" t="str">
        <f aca="false">IF(COUNTBLANK(E150:M150)=9,"",IF(COUNTIF(E150:M150,"Fail")&gt;0,"Fail",IF(COUNTBLANK(E150:M150)&gt;0,"Incomplete","Pass")))</f>
        <v/>
      </c>
      <c r="O150" s="18" t="str">
        <f aca="true">IF(N150="","Not Yet Inspected",IF(N150="Fail","Fail",IF(D150="","",IF(D150&lt;TODAY(),"Overdue",IF(D150&lt;=TODAY()+30,"Due (within 30 days)","Pass")))))</f>
        <v>Not Yet Inspected</v>
      </c>
      <c r="P150" s="18"/>
      <c r="Q150" s="18"/>
      <c r="R150" s="19"/>
    </row>
    <row r="151" customFormat="false" ht="15.75" hidden="false" customHeight="true" outlineLevel="0" collapsed="false">
      <c r="A151" s="18"/>
      <c r="B151" s="18"/>
      <c r="C151" s="19"/>
      <c r="D151" s="19" t="str">
        <f aca="false">IF(C151="","",DATE(YEAR(C151)+1,MONTH(C151),DAY(C151)))</f>
        <v/>
      </c>
      <c r="E151" s="20"/>
      <c r="F151" s="20"/>
      <c r="G151" s="20"/>
      <c r="H151" s="20"/>
      <c r="I151" s="20"/>
      <c r="J151" s="20"/>
      <c r="K151" s="20"/>
      <c r="L151" s="20"/>
      <c r="M151" s="20"/>
      <c r="N151" s="18" t="str">
        <f aca="false">IF(COUNTBLANK(E151:M151)=9,"",IF(COUNTIF(E151:M151,"Fail")&gt;0,"Fail",IF(COUNTBLANK(E151:M151)&gt;0,"Incomplete","Pass")))</f>
        <v/>
      </c>
      <c r="O151" s="18" t="str">
        <f aca="true">IF(N151="","Not Yet Inspected",IF(N151="Fail","Fail",IF(D151="","",IF(D151&lt;TODAY(),"Overdue",IF(D151&lt;=TODAY()+30,"Due (within 30 days)","Pass")))))</f>
        <v>Not Yet Inspected</v>
      </c>
      <c r="P151" s="18"/>
      <c r="Q151" s="18"/>
      <c r="R151" s="19"/>
    </row>
    <row r="152" customFormat="false" ht="15.75" hidden="false" customHeight="true" outlineLevel="0" collapsed="false">
      <c r="A152" s="18"/>
      <c r="B152" s="18"/>
      <c r="C152" s="19"/>
      <c r="D152" s="19" t="str">
        <f aca="false">IF(C152="","",DATE(YEAR(C152)+1,MONTH(C152),DAY(C152)))</f>
        <v/>
      </c>
      <c r="E152" s="20"/>
      <c r="F152" s="20"/>
      <c r="G152" s="20"/>
      <c r="H152" s="20"/>
      <c r="I152" s="20"/>
      <c r="J152" s="20"/>
      <c r="K152" s="20"/>
      <c r="L152" s="20"/>
      <c r="M152" s="20"/>
      <c r="N152" s="18" t="str">
        <f aca="false">IF(COUNTBLANK(E152:M152)=9,"",IF(COUNTIF(E152:M152,"Fail")&gt;0,"Fail",IF(COUNTBLANK(E152:M152)&gt;0,"Incomplete","Pass")))</f>
        <v/>
      </c>
      <c r="O152" s="18" t="str">
        <f aca="true">IF(N152="","Not Yet Inspected",IF(N152="Fail","Fail",IF(D152="","",IF(D152&lt;TODAY(),"Overdue",IF(D152&lt;=TODAY()+30,"Due (within 30 days)","Pass")))))</f>
        <v>Not Yet Inspected</v>
      </c>
      <c r="P152" s="18"/>
      <c r="Q152" s="18"/>
      <c r="R152" s="19"/>
    </row>
    <row r="153" customFormat="false" ht="15.75" hidden="false" customHeight="true" outlineLevel="0" collapsed="false">
      <c r="A153" s="18"/>
      <c r="B153" s="18"/>
      <c r="C153" s="19"/>
      <c r="D153" s="19" t="str">
        <f aca="false">IF(C153="","",DATE(YEAR(C153)+1,MONTH(C153),DAY(C153)))</f>
        <v/>
      </c>
      <c r="E153" s="20"/>
      <c r="F153" s="20"/>
      <c r="G153" s="20"/>
      <c r="H153" s="20"/>
      <c r="I153" s="20"/>
      <c r="J153" s="20"/>
      <c r="K153" s="20"/>
      <c r="L153" s="20"/>
      <c r="M153" s="20"/>
      <c r="N153" s="18" t="str">
        <f aca="false">IF(COUNTBLANK(E153:M153)=9,"",IF(COUNTIF(E153:M153,"Fail")&gt;0,"Fail",IF(COUNTBLANK(E153:M153)&gt;0,"Incomplete","Pass")))</f>
        <v/>
      </c>
      <c r="O153" s="18" t="str">
        <f aca="true">IF(N153="","Not Yet Inspected",IF(N153="Fail","Fail",IF(D153="","",IF(D153&lt;TODAY(),"Overdue",IF(D153&lt;=TODAY()+30,"Due (within 30 days)","Pass")))))</f>
        <v>Not Yet Inspected</v>
      </c>
      <c r="P153" s="18"/>
      <c r="Q153" s="18"/>
      <c r="R153" s="19"/>
    </row>
    <row r="154" customFormat="false" ht="15.75" hidden="false" customHeight="true" outlineLevel="0" collapsed="false">
      <c r="A154" s="18"/>
      <c r="B154" s="18"/>
      <c r="C154" s="19"/>
      <c r="D154" s="19" t="str">
        <f aca="false">IF(C154="","",DATE(YEAR(C154)+1,MONTH(C154),DAY(C154)))</f>
        <v/>
      </c>
      <c r="E154" s="20"/>
      <c r="F154" s="20"/>
      <c r="G154" s="20"/>
      <c r="H154" s="20"/>
      <c r="I154" s="20"/>
      <c r="J154" s="20"/>
      <c r="K154" s="20"/>
      <c r="L154" s="20"/>
      <c r="M154" s="20"/>
      <c r="N154" s="18" t="str">
        <f aca="false">IF(COUNTBLANK(E154:M154)=9,"",IF(COUNTIF(E154:M154,"Fail")&gt;0,"Fail",IF(COUNTBLANK(E154:M154)&gt;0,"Incomplete","Pass")))</f>
        <v/>
      </c>
      <c r="O154" s="18" t="str">
        <f aca="true">IF(N154="","Not Yet Inspected",IF(N154="Fail","Fail",IF(D154="","",IF(D154&lt;TODAY(),"Overdue",IF(D154&lt;=TODAY()+30,"Due (within 30 days)","Pass")))))</f>
        <v>Not Yet Inspected</v>
      </c>
      <c r="P154" s="18"/>
      <c r="Q154" s="18"/>
      <c r="R154" s="19"/>
    </row>
    <row r="155" customFormat="false" ht="15.75" hidden="false" customHeight="true" outlineLevel="0" collapsed="false">
      <c r="A155" s="18"/>
      <c r="B155" s="18"/>
      <c r="C155" s="19"/>
      <c r="D155" s="19" t="str">
        <f aca="false">IF(C155="","",DATE(YEAR(C155)+1,MONTH(C155),DAY(C155)))</f>
        <v/>
      </c>
      <c r="E155" s="20"/>
      <c r="F155" s="20"/>
      <c r="G155" s="20"/>
      <c r="H155" s="20"/>
      <c r="I155" s="20"/>
      <c r="J155" s="20"/>
      <c r="K155" s="20"/>
      <c r="L155" s="20"/>
      <c r="M155" s="20"/>
      <c r="N155" s="18" t="str">
        <f aca="false">IF(COUNTBLANK(E155:M155)=9,"",IF(COUNTIF(E155:M155,"Fail")&gt;0,"Fail",IF(COUNTBLANK(E155:M155)&gt;0,"Incomplete","Pass")))</f>
        <v/>
      </c>
      <c r="O155" s="18" t="str">
        <f aca="true">IF(N155="","Not Yet Inspected",IF(N155="Fail","Fail",IF(D155="","",IF(D155&lt;TODAY(),"Overdue",IF(D155&lt;=TODAY()+30,"Due (within 30 days)","Pass")))))</f>
        <v>Not Yet Inspected</v>
      </c>
      <c r="P155" s="18"/>
      <c r="Q155" s="18"/>
      <c r="R155" s="19"/>
    </row>
    <row r="156" customFormat="false" ht="15.75" hidden="false" customHeight="true" outlineLevel="0" collapsed="false">
      <c r="A156" s="18"/>
      <c r="B156" s="18"/>
      <c r="C156" s="19"/>
      <c r="D156" s="19" t="str">
        <f aca="false">IF(C156="","",DATE(YEAR(C156)+1,MONTH(C156),DAY(C156)))</f>
        <v/>
      </c>
      <c r="E156" s="20"/>
      <c r="F156" s="20"/>
      <c r="G156" s="20"/>
      <c r="H156" s="20"/>
      <c r="I156" s="20"/>
      <c r="J156" s="20"/>
      <c r="K156" s="20"/>
      <c r="L156" s="20"/>
      <c r="M156" s="20"/>
      <c r="N156" s="18" t="str">
        <f aca="false">IF(COUNTBLANK(E156:M156)=9,"",IF(COUNTIF(E156:M156,"Fail")&gt;0,"Fail",IF(COUNTBLANK(E156:M156)&gt;0,"Incomplete","Pass")))</f>
        <v/>
      </c>
      <c r="O156" s="18" t="str">
        <f aca="true">IF(N156="","Not Yet Inspected",IF(N156="Fail","Fail",IF(D156="","",IF(D156&lt;TODAY(),"Overdue",IF(D156&lt;=TODAY()+30,"Due (within 30 days)","Pass")))))</f>
        <v>Not Yet Inspected</v>
      </c>
      <c r="P156" s="18"/>
      <c r="Q156" s="18"/>
      <c r="R156" s="19"/>
    </row>
    <row r="157" customFormat="false" ht="15.75" hidden="false" customHeight="true" outlineLevel="0" collapsed="false">
      <c r="A157" s="18"/>
      <c r="B157" s="18"/>
      <c r="C157" s="19"/>
      <c r="D157" s="19" t="str">
        <f aca="false">IF(C157="","",DATE(YEAR(C157)+1,MONTH(C157),DAY(C157)))</f>
        <v/>
      </c>
      <c r="E157" s="20"/>
      <c r="F157" s="20"/>
      <c r="G157" s="20"/>
      <c r="H157" s="20"/>
      <c r="I157" s="20"/>
      <c r="J157" s="20"/>
      <c r="K157" s="20"/>
      <c r="L157" s="20"/>
      <c r="M157" s="20"/>
      <c r="N157" s="18" t="str">
        <f aca="false">IF(COUNTBLANK(E157:M157)=9,"",IF(COUNTIF(E157:M157,"Fail")&gt;0,"Fail",IF(COUNTBLANK(E157:M157)&gt;0,"Incomplete","Pass")))</f>
        <v/>
      </c>
      <c r="O157" s="18" t="str">
        <f aca="true">IF(N157="","Not Yet Inspected",IF(N157="Fail","Fail",IF(D157="","",IF(D157&lt;TODAY(),"Overdue",IF(D157&lt;=TODAY()+30,"Due (within 30 days)","Pass")))))</f>
        <v>Not Yet Inspected</v>
      </c>
      <c r="P157" s="18"/>
      <c r="Q157" s="18"/>
      <c r="R157" s="19"/>
    </row>
    <row r="158" customFormat="false" ht="15.75" hidden="false" customHeight="true" outlineLevel="0" collapsed="false">
      <c r="A158" s="18"/>
      <c r="B158" s="18"/>
      <c r="C158" s="19"/>
      <c r="D158" s="19" t="str">
        <f aca="false">IF(C158="","",DATE(YEAR(C158)+1,MONTH(C158),DAY(C158)))</f>
        <v/>
      </c>
      <c r="E158" s="20"/>
      <c r="F158" s="20"/>
      <c r="G158" s="20"/>
      <c r="H158" s="20"/>
      <c r="I158" s="20"/>
      <c r="J158" s="20"/>
      <c r="K158" s="20"/>
      <c r="L158" s="20"/>
      <c r="M158" s="20"/>
      <c r="N158" s="18" t="str">
        <f aca="false">IF(COUNTBLANK(E158:M158)=9,"",IF(COUNTIF(E158:M158,"Fail")&gt;0,"Fail",IF(COUNTBLANK(E158:M158)&gt;0,"Incomplete","Pass")))</f>
        <v/>
      </c>
      <c r="O158" s="18" t="str">
        <f aca="true">IF(N158="","Not Yet Inspected",IF(N158="Fail","Fail",IF(D158="","",IF(D158&lt;TODAY(),"Overdue",IF(D158&lt;=TODAY()+30,"Due (within 30 days)","Pass")))))</f>
        <v>Not Yet Inspected</v>
      </c>
      <c r="P158" s="18"/>
      <c r="Q158" s="18"/>
      <c r="R158" s="19"/>
    </row>
    <row r="159" customFormat="false" ht="15.75" hidden="false" customHeight="true" outlineLevel="0" collapsed="false">
      <c r="A159" s="18"/>
      <c r="B159" s="18"/>
      <c r="C159" s="19"/>
      <c r="D159" s="19" t="str">
        <f aca="false">IF(C159="","",DATE(YEAR(C159)+1,MONTH(C159),DAY(C159)))</f>
        <v/>
      </c>
      <c r="E159" s="20"/>
      <c r="F159" s="20"/>
      <c r="G159" s="20"/>
      <c r="H159" s="20"/>
      <c r="I159" s="20"/>
      <c r="J159" s="20"/>
      <c r="K159" s="20"/>
      <c r="L159" s="20"/>
      <c r="M159" s="20"/>
      <c r="N159" s="18" t="str">
        <f aca="false">IF(COUNTBLANK(E159:M159)=9,"",IF(COUNTIF(E159:M159,"Fail")&gt;0,"Fail",IF(COUNTBLANK(E159:M159)&gt;0,"Incomplete","Pass")))</f>
        <v/>
      </c>
      <c r="O159" s="18" t="str">
        <f aca="true">IF(N159="","Not Yet Inspected",IF(N159="Fail","Fail",IF(D159="","",IF(D159&lt;TODAY(),"Overdue",IF(D159&lt;=TODAY()+30,"Due (within 30 days)","Pass")))))</f>
        <v>Not Yet Inspected</v>
      </c>
      <c r="P159" s="18"/>
      <c r="Q159" s="18"/>
      <c r="R159" s="19"/>
    </row>
    <row r="160" customFormat="false" ht="15.75" hidden="false" customHeight="true" outlineLevel="0" collapsed="false">
      <c r="A160" s="18"/>
      <c r="B160" s="18"/>
      <c r="C160" s="19"/>
      <c r="D160" s="19" t="str">
        <f aca="false">IF(C160="","",DATE(YEAR(C160)+1,MONTH(C160),DAY(C160)))</f>
        <v/>
      </c>
      <c r="E160" s="20"/>
      <c r="F160" s="20"/>
      <c r="G160" s="20"/>
      <c r="H160" s="20"/>
      <c r="I160" s="20"/>
      <c r="J160" s="20"/>
      <c r="K160" s="20"/>
      <c r="L160" s="20"/>
      <c r="M160" s="20"/>
      <c r="N160" s="18" t="str">
        <f aca="false">IF(COUNTBLANK(E160:M160)=9,"",IF(COUNTIF(E160:M160,"Fail")&gt;0,"Fail",IF(COUNTBLANK(E160:M160)&gt;0,"Incomplete","Pass")))</f>
        <v/>
      </c>
      <c r="O160" s="18" t="str">
        <f aca="true">IF(N160="","Not Yet Inspected",IF(N160="Fail","Fail",IF(D160="","",IF(D160&lt;TODAY(),"Overdue",IF(D160&lt;=TODAY()+30,"Due (within 30 days)","Pass")))))</f>
        <v>Not Yet Inspected</v>
      </c>
      <c r="P160" s="18"/>
      <c r="Q160" s="18"/>
      <c r="R160" s="19"/>
    </row>
    <row r="161" customFormat="false" ht="15.75" hidden="false" customHeight="true" outlineLevel="0" collapsed="false">
      <c r="A161" s="18"/>
      <c r="B161" s="18"/>
      <c r="C161" s="19"/>
      <c r="D161" s="19" t="str">
        <f aca="false">IF(C161="","",DATE(YEAR(C161)+1,MONTH(C161),DAY(C161)))</f>
        <v/>
      </c>
      <c r="E161" s="20"/>
      <c r="F161" s="20"/>
      <c r="G161" s="20"/>
      <c r="H161" s="20"/>
      <c r="I161" s="20"/>
      <c r="J161" s="20"/>
      <c r="K161" s="20"/>
      <c r="L161" s="20"/>
      <c r="M161" s="20"/>
      <c r="N161" s="18" t="str">
        <f aca="false">IF(COUNTBLANK(E161:M161)=9,"",IF(COUNTIF(E161:M161,"Fail")&gt;0,"Fail",IF(COUNTBLANK(E161:M161)&gt;0,"Incomplete","Pass")))</f>
        <v/>
      </c>
      <c r="O161" s="18" t="str">
        <f aca="true">IF(N161="","Not Yet Inspected",IF(N161="Fail","Fail",IF(D161="","",IF(D161&lt;TODAY(),"Overdue",IF(D161&lt;=TODAY()+30,"Due (within 30 days)","Pass")))))</f>
        <v>Not Yet Inspected</v>
      </c>
      <c r="P161" s="18"/>
      <c r="Q161" s="18"/>
      <c r="R161" s="19"/>
    </row>
    <row r="162" customFormat="false" ht="15.75" hidden="false" customHeight="true" outlineLevel="0" collapsed="false">
      <c r="A162" s="18"/>
      <c r="B162" s="18"/>
      <c r="C162" s="19"/>
      <c r="D162" s="19" t="str">
        <f aca="false">IF(C162="","",DATE(YEAR(C162)+1,MONTH(C162),DAY(C162)))</f>
        <v/>
      </c>
      <c r="E162" s="20"/>
      <c r="F162" s="20"/>
      <c r="G162" s="20"/>
      <c r="H162" s="20"/>
      <c r="I162" s="20"/>
      <c r="J162" s="20"/>
      <c r="K162" s="20"/>
      <c r="L162" s="20"/>
      <c r="M162" s="20"/>
      <c r="N162" s="18" t="str">
        <f aca="false">IF(COUNTBLANK(E162:M162)=9,"",IF(COUNTIF(E162:M162,"Fail")&gt;0,"Fail",IF(COUNTBLANK(E162:M162)&gt;0,"Incomplete","Pass")))</f>
        <v/>
      </c>
      <c r="O162" s="18" t="str">
        <f aca="true">IF(N162="","Not Yet Inspected",IF(N162="Fail","Fail",IF(D162="","",IF(D162&lt;TODAY(),"Overdue",IF(D162&lt;=TODAY()+30,"Due (within 30 days)","Pass")))))</f>
        <v>Not Yet Inspected</v>
      </c>
      <c r="P162" s="18"/>
      <c r="Q162" s="18"/>
      <c r="R162" s="19"/>
    </row>
    <row r="163" customFormat="false" ht="15.75" hidden="false" customHeight="true" outlineLevel="0" collapsed="false">
      <c r="A163" s="18"/>
      <c r="B163" s="18"/>
      <c r="C163" s="19"/>
      <c r="D163" s="19" t="str">
        <f aca="false">IF(C163="","",DATE(YEAR(C163)+1,MONTH(C163),DAY(C163)))</f>
        <v/>
      </c>
      <c r="E163" s="20"/>
      <c r="F163" s="20"/>
      <c r="G163" s="20"/>
      <c r="H163" s="20"/>
      <c r="I163" s="20"/>
      <c r="J163" s="20"/>
      <c r="K163" s="20"/>
      <c r="L163" s="20"/>
      <c r="M163" s="20"/>
      <c r="N163" s="18" t="str">
        <f aca="false">IF(COUNTBLANK(E163:M163)=9,"",IF(COUNTIF(E163:M163,"Fail")&gt;0,"Fail",IF(COUNTBLANK(E163:M163)&gt;0,"Incomplete","Pass")))</f>
        <v/>
      </c>
      <c r="O163" s="18" t="str">
        <f aca="true">IF(N163="","Not Yet Inspected",IF(N163="Fail","Fail",IF(D163="","",IF(D163&lt;TODAY(),"Overdue",IF(D163&lt;=TODAY()+30,"Due (within 30 days)","Pass")))))</f>
        <v>Not Yet Inspected</v>
      </c>
      <c r="P163" s="18"/>
      <c r="Q163" s="18"/>
      <c r="R163" s="19"/>
    </row>
    <row r="164" customFormat="false" ht="15.75" hidden="false" customHeight="true" outlineLevel="0" collapsed="false">
      <c r="A164" s="18"/>
      <c r="B164" s="18"/>
      <c r="C164" s="19"/>
      <c r="D164" s="19" t="str">
        <f aca="false">IF(C164="","",DATE(YEAR(C164)+1,MONTH(C164),DAY(C164)))</f>
        <v/>
      </c>
      <c r="E164" s="20"/>
      <c r="F164" s="20"/>
      <c r="G164" s="20"/>
      <c r="H164" s="20"/>
      <c r="I164" s="20"/>
      <c r="J164" s="20"/>
      <c r="K164" s="20"/>
      <c r="L164" s="20"/>
      <c r="M164" s="20"/>
      <c r="N164" s="18" t="str">
        <f aca="false">IF(COUNTBLANK(E164:M164)=9,"",IF(COUNTIF(E164:M164,"Fail")&gt;0,"Fail",IF(COUNTBLANK(E164:M164)&gt;0,"Incomplete","Pass")))</f>
        <v/>
      </c>
      <c r="O164" s="18" t="str">
        <f aca="true">IF(N164="","Not Yet Inspected",IF(N164="Fail","Fail",IF(D164="","",IF(D164&lt;TODAY(),"Overdue",IF(D164&lt;=TODAY()+30,"Due (within 30 days)","Pass")))))</f>
        <v>Not Yet Inspected</v>
      </c>
      <c r="P164" s="18"/>
      <c r="Q164" s="18"/>
      <c r="R164" s="19"/>
    </row>
    <row r="165" customFormat="false" ht="15.75" hidden="false" customHeight="true" outlineLevel="0" collapsed="false">
      <c r="A165" s="18"/>
      <c r="B165" s="18"/>
      <c r="C165" s="19"/>
      <c r="D165" s="19" t="str">
        <f aca="false">IF(C165="","",DATE(YEAR(C165)+1,MONTH(C165),DAY(C165)))</f>
        <v/>
      </c>
      <c r="E165" s="20"/>
      <c r="F165" s="20"/>
      <c r="G165" s="20"/>
      <c r="H165" s="20"/>
      <c r="I165" s="20"/>
      <c r="J165" s="20"/>
      <c r="K165" s="20"/>
      <c r="L165" s="20"/>
      <c r="M165" s="20"/>
      <c r="N165" s="18" t="str">
        <f aca="false">IF(COUNTBLANK(E165:M165)=9,"",IF(COUNTIF(E165:M165,"Fail")&gt;0,"Fail",IF(COUNTBLANK(E165:M165)&gt;0,"Incomplete","Pass")))</f>
        <v/>
      </c>
      <c r="O165" s="18" t="str">
        <f aca="true">IF(N165="","Not Yet Inspected",IF(N165="Fail","Fail",IF(D165="","",IF(D165&lt;TODAY(),"Overdue",IF(D165&lt;=TODAY()+30,"Due (within 30 days)","Pass")))))</f>
        <v>Not Yet Inspected</v>
      </c>
      <c r="P165" s="18"/>
      <c r="Q165" s="18"/>
      <c r="R165" s="19"/>
    </row>
    <row r="166" customFormat="false" ht="15.75" hidden="false" customHeight="true" outlineLevel="0" collapsed="false">
      <c r="A166" s="18"/>
      <c r="B166" s="18"/>
      <c r="C166" s="19"/>
      <c r="D166" s="19" t="str">
        <f aca="false">IF(C166="","",DATE(YEAR(C166)+1,MONTH(C166),DAY(C166)))</f>
        <v/>
      </c>
      <c r="E166" s="20"/>
      <c r="F166" s="20"/>
      <c r="G166" s="20"/>
      <c r="H166" s="20"/>
      <c r="I166" s="20"/>
      <c r="J166" s="20"/>
      <c r="K166" s="20"/>
      <c r="L166" s="20"/>
      <c r="M166" s="20"/>
      <c r="N166" s="18" t="str">
        <f aca="false">IF(COUNTBLANK(E166:M166)=9,"",IF(COUNTIF(E166:M166,"Fail")&gt;0,"Fail",IF(COUNTBLANK(E166:M166)&gt;0,"Incomplete","Pass")))</f>
        <v/>
      </c>
      <c r="O166" s="18" t="str">
        <f aca="true">IF(N166="","Not Yet Inspected",IF(N166="Fail","Fail",IF(D166="","",IF(D166&lt;TODAY(),"Overdue",IF(D166&lt;=TODAY()+30,"Due (within 30 days)","Pass")))))</f>
        <v>Not Yet Inspected</v>
      </c>
      <c r="P166" s="18"/>
      <c r="Q166" s="18"/>
      <c r="R166" s="19"/>
    </row>
    <row r="167" customFormat="false" ht="15.75" hidden="false" customHeight="true" outlineLevel="0" collapsed="false">
      <c r="A167" s="18"/>
      <c r="B167" s="18"/>
      <c r="C167" s="19"/>
      <c r="D167" s="19" t="str">
        <f aca="false">IF(C167="","",DATE(YEAR(C167)+1,MONTH(C167),DAY(C167)))</f>
        <v/>
      </c>
      <c r="E167" s="20"/>
      <c r="F167" s="20"/>
      <c r="G167" s="20"/>
      <c r="H167" s="20"/>
      <c r="I167" s="20"/>
      <c r="J167" s="20"/>
      <c r="K167" s="20"/>
      <c r="L167" s="20"/>
      <c r="M167" s="20"/>
      <c r="N167" s="18" t="str">
        <f aca="false">IF(COUNTBLANK(E167:M167)=9,"",IF(COUNTIF(E167:M167,"Fail")&gt;0,"Fail",IF(COUNTBLANK(E167:M167)&gt;0,"Incomplete","Pass")))</f>
        <v/>
      </c>
      <c r="O167" s="18" t="str">
        <f aca="true">IF(N167="","Not Yet Inspected",IF(N167="Fail","Fail",IF(D167="","",IF(D167&lt;TODAY(),"Overdue",IF(D167&lt;=TODAY()+30,"Due (within 30 days)","Pass")))))</f>
        <v>Not Yet Inspected</v>
      </c>
      <c r="P167" s="18"/>
      <c r="Q167" s="18"/>
      <c r="R167" s="19"/>
    </row>
    <row r="168" customFormat="false" ht="15.75" hidden="false" customHeight="true" outlineLevel="0" collapsed="false">
      <c r="A168" s="18"/>
      <c r="B168" s="18"/>
      <c r="C168" s="19"/>
      <c r="D168" s="19" t="str">
        <f aca="false">IF(C168="","",DATE(YEAR(C168)+1,MONTH(C168),DAY(C168)))</f>
        <v/>
      </c>
      <c r="E168" s="20"/>
      <c r="F168" s="20"/>
      <c r="G168" s="20"/>
      <c r="H168" s="20"/>
      <c r="I168" s="20"/>
      <c r="J168" s="20"/>
      <c r="K168" s="20"/>
      <c r="L168" s="20"/>
      <c r="M168" s="20"/>
      <c r="N168" s="18" t="str">
        <f aca="false">IF(COUNTBLANK(E168:M168)=9,"",IF(COUNTIF(E168:M168,"Fail")&gt;0,"Fail",IF(COUNTBLANK(E168:M168)&gt;0,"Incomplete","Pass")))</f>
        <v/>
      </c>
      <c r="O168" s="18" t="str">
        <f aca="true">IF(N168="","Not Yet Inspected",IF(N168="Fail","Fail",IF(D168="","",IF(D168&lt;TODAY(),"Overdue",IF(D168&lt;=TODAY()+30,"Due (within 30 days)","Pass")))))</f>
        <v>Not Yet Inspected</v>
      </c>
      <c r="P168" s="18"/>
      <c r="Q168" s="18"/>
      <c r="R168" s="19"/>
    </row>
    <row r="169" customFormat="false" ht="15.75" hidden="false" customHeight="true" outlineLevel="0" collapsed="false">
      <c r="A169" s="18"/>
      <c r="B169" s="18"/>
      <c r="C169" s="19"/>
      <c r="D169" s="19" t="str">
        <f aca="false">IF(C169="","",DATE(YEAR(C169)+1,MONTH(C169),DAY(C169)))</f>
        <v/>
      </c>
      <c r="E169" s="20"/>
      <c r="F169" s="20"/>
      <c r="G169" s="20"/>
      <c r="H169" s="20"/>
      <c r="I169" s="20"/>
      <c r="J169" s="20"/>
      <c r="K169" s="20"/>
      <c r="L169" s="20"/>
      <c r="M169" s="20"/>
      <c r="N169" s="18" t="str">
        <f aca="false">IF(COUNTBLANK(E169:M169)=9,"",IF(COUNTIF(E169:M169,"Fail")&gt;0,"Fail",IF(COUNTBLANK(E169:M169)&gt;0,"Incomplete","Pass")))</f>
        <v/>
      </c>
      <c r="O169" s="18" t="str">
        <f aca="true">IF(N169="","Not Yet Inspected",IF(N169="Fail","Fail",IF(D169="","",IF(D169&lt;TODAY(),"Overdue",IF(D169&lt;=TODAY()+30,"Due (within 30 days)","Pass")))))</f>
        <v>Not Yet Inspected</v>
      </c>
      <c r="P169" s="18"/>
      <c r="Q169" s="18"/>
      <c r="R169" s="19"/>
    </row>
    <row r="170" customFormat="false" ht="15.75" hidden="false" customHeight="true" outlineLevel="0" collapsed="false">
      <c r="A170" s="18"/>
      <c r="B170" s="18"/>
      <c r="C170" s="19"/>
      <c r="D170" s="19" t="str">
        <f aca="false">IF(C170="","",DATE(YEAR(C170)+1,MONTH(C170),DAY(C170)))</f>
        <v/>
      </c>
      <c r="E170" s="20"/>
      <c r="F170" s="20"/>
      <c r="G170" s="20"/>
      <c r="H170" s="20"/>
      <c r="I170" s="20"/>
      <c r="J170" s="20"/>
      <c r="K170" s="20"/>
      <c r="L170" s="20"/>
      <c r="M170" s="20"/>
      <c r="N170" s="18" t="str">
        <f aca="false">IF(COUNTBLANK(E170:M170)=9,"",IF(COUNTIF(E170:M170,"Fail")&gt;0,"Fail",IF(COUNTBLANK(E170:M170)&gt;0,"Incomplete","Pass")))</f>
        <v/>
      </c>
      <c r="O170" s="18" t="str">
        <f aca="true">IF(N170="","Not Yet Inspected",IF(N170="Fail","Fail",IF(D170="","",IF(D170&lt;TODAY(),"Overdue",IF(D170&lt;=TODAY()+30,"Due (within 30 days)","Pass")))))</f>
        <v>Not Yet Inspected</v>
      </c>
      <c r="P170" s="18"/>
      <c r="Q170" s="18"/>
      <c r="R170" s="19"/>
    </row>
    <row r="171" customFormat="false" ht="15.75" hidden="false" customHeight="true" outlineLevel="0" collapsed="false">
      <c r="A171" s="18"/>
      <c r="B171" s="18"/>
      <c r="C171" s="19"/>
      <c r="D171" s="19" t="str">
        <f aca="false">IF(C171="","",DATE(YEAR(C171)+1,MONTH(C171),DAY(C171)))</f>
        <v/>
      </c>
      <c r="E171" s="20"/>
      <c r="F171" s="20"/>
      <c r="G171" s="20"/>
      <c r="H171" s="20"/>
      <c r="I171" s="20"/>
      <c r="J171" s="20"/>
      <c r="K171" s="20"/>
      <c r="L171" s="20"/>
      <c r="M171" s="20"/>
      <c r="N171" s="18" t="str">
        <f aca="false">IF(COUNTBLANK(E171:M171)=9,"",IF(COUNTIF(E171:M171,"Fail")&gt;0,"Fail",IF(COUNTBLANK(E171:M171)&gt;0,"Incomplete","Pass")))</f>
        <v/>
      </c>
      <c r="O171" s="18" t="str">
        <f aca="true">IF(N171="","Not Yet Inspected",IF(N171="Fail","Fail",IF(D171="","",IF(D171&lt;TODAY(),"Overdue",IF(D171&lt;=TODAY()+30,"Due (within 30 days)","Pass")))))</f>
        <v>Not Yet Inspected</v>
      </c>
      <c r="P171" s="18"/>
      <c r="Q171" s="18"/>
      <c r="R171" s="19"/>
    </row>
    <row r="172" customFormat="false" ht="15.75" hidden="false" customHeight="true" outlineLevel="0" collapsed="false">
      <c r="A172" s="18"/>
      <c r="B172" s="18"/>
      <c r="C172" s="19"/>
      <c r="D172" s="19" t="str">
        <f aca="false">IF(C172="","",DATE(YEAR(C172)+1,MONTH(C172),DAY(C172)))</f>
        <v/>
      </c>
      <c r="E172" s="20"/>
      <c r="F172" s="20"/>
      <c r="G172" s="20"/>
      <c r="H172" s="20"/>
      <c r="I172" s="20"/>
      <c r="J172" s="20"/>
      <c r="K172" s="20"/>
      <c r="L172" s="20"/>
      <c r="M172" s="20"/>
      <c r="N172" s="18" t="str">
        <f aca="false">IF(COUNTBLANK(E172:M172)=9,"",IF(COUNTIF(E172:M172,"Fail")&gt;0,"Fail",IF(COUNTBLANK(E172:M172)&gt;0,"Incomplete","Pass")))</f>
        <v/>
      </c>
      <c r="O172" s="18" t="str">
        <f aca="true">IF(N172="","Not Yet Inspected",IF(N172="Fail","Fail",IF(D172="","",IF(D172&lt;TODAY(),"Overdue",IF(D172&lt;=TODAY()+30,"Due (within 30 days)","Pass")))))</f>
        <v>Not Yet Inspected</v>
      </c>
      <c r="P172" s="18"/>
      <c r="Q172" s="18"/>
      <c r="R172" s="19"/>
    </row>
    <row r="173" customFormat="false" ht="15.75" hidden="false" customHeight="true" outlineLevel="0" collapsed="false">
      <c r="A173" s="18"/>
      <c r="B173" s="18"/>
      <c r="C173" s="19"/>
      <c r="D173" s="19" t="str">
        <f aca="false">IF(C173="","",DATE(YEAR(C173)+1,MONTH(C173),DAY(C173)))</f>
        <v/>
      </c>
      <c r="E173" s="20"/>
      <c r="F173" s="20"/>
      <c r="G173" s="20"/>
      <c r="H173" s="20"/>
      <c r="I173" s="20"/>
      <c r="J173" s="20"/>
      <c r="K173" s="20"/>
      <c r="L173" s="20"/>
      <c r="M173" s="20"/>
      <c r="N173" s="18" t="str">
        <f aca="false">IF(COUNTBLANK(E173:M173)=9,"",IF(COUNTIF(E173:M173,"Fail")&gt;0,"Fail",IF(COUNTBLANK(E173:M173)&gt;0,"Incomplete","Pass")))</f>
        <v/>
      </c>
      <c r="O173" s="18" t="str">
        <f aca="true">IF(N173="","Not Yet Inspected",IF(N173="Fail","Fail",IF(D173="","",IF(D173&lt;TODAY(),"Overdue",IF(D173&lt;=TODAY()+30,"Due (within 30 days)","Pass")))))</f>
        <v>Not Yet Inspected</v>
      </c>
      <c r="P173" s="18"/>
      <c r="Q173" s="18"/>
      <c r="R173" s="19"/>
    </row>
    <row r="174" customFormat="false" ht="15.75" hidden="false" customHeight="true" outlineLevel="0" collapsed="false">
      <c r="A174" s="18"/>
      <c r="B174" s="18"/>
      <c r="C174" s="19"/>
      <c r="D174" s="19" t="str">
        <f aca="false">IF(C174="","",DATE(YEAR(C174)+1,MONTH(C174),DAY(C174)))</f>
        <v/>
      </c>
      <c r="E174" s="20"/>
      <c r="F174" s="20"/>
      <c r="G174" s="20"/>
      <c r="H174" s="20"/>
      <c r="I174" s="20"/>
      <c r="J174" s="20"/>
      <c r="K174" s="20"/>
      <c r="L174" s="20"/>
      <c r="M174" s="20"/>
      <c r="N174" s="18" t="str">
        <f aca="false">IF(COUNTBLANK(E174:M174)=9,"",IF(COUNTIF(E174:M174,"Fail")&gt;0,"Fail",IF(COUNTBLANK(E174:M174)&gt;0,"Incomplete","Pass")))</f>
        <v/>
      </c>
      <c r="O174" s="18" t="str">
        <f aca="true">IF(N174="","Not Yet Inspected",IF(N174="Fail","Fail",IF(D174="","",IF(D174&lt;TODAY(),"Overdue",IF(D174&lt;=TODAY()+30,"Due (within 30 days)","Pass")))))</f>
        <v>Not Yet Inspected</v>
      </c>
      <c r="P174" s="18"/>
      <c r="Q174" s="18"/>
      <c r="R174" s="19"/>
    </row>
    <row r="175" customFormat="false" ht="15.75" hidden="false" customHeight="true" outlineLevel="0" collapsed="false">
      <c r="A175" s="18"/>
      <c r="B175" s="18"/>
      <c r="C175" s="19"/>
      <c r="D175" s="19" t="str">
        <f aca="false">IF(C175="","",DATE(YEAR(C175)+1,MONTH(C175),DAY(C175)))</f>
        <v/>
      </c>
      <c r="E175" s="20"/>
      <c r="F175" s="20"/>
      <c r="G175" s="20"/>
      <c r="H175" s="20"/>
      <c r="I175" s="20"/>
      <c r="J175" s="20"/>
      <c r="K175" s="20"/>
      <c r="L175" s="20"/>
      <c r="M175" s="20"/>
      <c r="N175" s="18" t="str">
        <f aca="false">IF(COUNTBLANK(E175:M175)=9,"",IF(COUNTIF(E175:M175,"Fail")&gt;0,"Fail",IF(COUNTBLANK(E175:M175)&gt;0,"Incomplete","Pass")))</f>
        <v/>
      </c>
      <c r="O175" s="18" t="str">
        <f aca="true">IF(N175="","Not Yet Inspected",IF(N175="Fail","Fail",IF(D175="","",IF(D175&lt;TODAY(),"Overdue",IF(D175&lt;=TODAY()+30,"Due (within 30 days)","Pass")))))</f>
        <v>Not Yet Inspected</v>
      </c>
      <c r="P175" s="18"/>
      <c r="Q175" s="18"/>
      <c r="R175" s="19"/>
    </row>
    <row r="176" customFormat="false" ht="15.75" hidden="false" customHeight="true" outlineLevel="0" collapsed="false">
      <c r="A176" s="18"/>
      <c r="B176" s="18"/>
      <c r="C176" s="19"/>
      <c r="D176" s="19" t="str">
        <f aca="false">IF(C176="","",DATE(YEAR(C176)+1,MONTH(C176),DAY(C176)))</f>
        <v/>
      </c>
      <c r="E176" s="20"/>
      <c r="F176" s="20"/>
      <c r="G176" s="20"/>
      <c r="H176" s="20"/>
      <c r="I176" s="20"/>
      <c r="J176" s="20"/>
      <c r="K176" s="20"/>
      <c r="L176" s="20"/>
      <c r="M176" s="20"/>
      <c r="N176" s="18" t="str">
        <f aca="false">IF(COUNTBLANK(E176:M176)=9,"",IF(COUNTIF(E176:M176,"Fail")&gt;0,"Fail",IF(COUNTBLANK(E176:M176)&gt;0,"Incomplete","Pass")))</f>
        <v/>
      </c>
      <c r="O176" s="18" t="str">
        <f aca="true">IF(N176="","Not Yet Inspected",IF(N176="Fail","Fail",IF(D176="","",IF(D176&lt;TODAY(),"Overdue",IF(D176&lt;=TODAY()+30,"Due (within 30 days)","Pass")))))</f>
        <v>Not Yet Inspected</v>
      </c>
      <c r="P176" s="18"/>
      <c r="Q176" s="18"/>
      <c r="R176" s="19"/>
    </row>
    <row r="177" customFormat="false" ht="15.75" hidden="false" customHeight="true" outlineLevel="0" collapsed="false">
      <c r="A177" s="18"/>
      <c r="B177" s="18"/>
      <c r="C177" s="19"/>
      <c r="D177" s="19" t="str">
        <f aca="false">IF(C177="","",DATE(YEAR(C177)+1,MONTH(C177),DAY(C177)))</f>
        <v/>
      </c>
      <c r="E177" s="20"/>
      <c r="F177" s="20"/>
      <c r="G177" s="20"/>
      <c r="H177" s="20"/>
      <c r="I177" s="20"/>
      <c r="J177" s="20"/>
      <c r="K177" s="20"/>
      <c r="L177" s="20"/>
      <c r="M177" s="20"/>
      <c r="N177" s="18" t="str">
        <f aca="false">IF(COUNTBLANK(E177:M177)=9,"",IF(COUNTIF(E177:M177,"Fail")&gt;0,"Fail",IF(COUNTBLANK(E177:M177)&gt;0,"Incomplete","Pass")))</f>
        <v/>
      </c>
      <c r="O177" s="18" t="str">
        <f aca="true">IF(N177="","Not Yet Inspected",IF(N177="Fail","Fail",IF(D177="","",IF(D177&lt;TODAY(),"Overdue",IF(D177&lt;=TODAY()+30,"Due (within 30 days)","Pass")))))</f>
        <v>Not Yet Inspected</v>
      </c>
      <c r="P177" s="18"/>
      <c r="Q177" s="18"/>
      <c r="R177" s="19"/>
    </row>
    <row r="178" customFormat="false" ht="15.75" hidden="false" customHeight="true" outlineLevel="0" collapsed="false">
      <c r="A178" s="18"/>
      <c r="B178" s="18"/>
      <c r="C178" s="19"/>
      <c r="D178" s="19" t="str">
        <f aca="false">IF(C178="","",DATE(YEAR(C178)+1,MONTH(C178),DAY(C178)))</f>
        <v/>
      </c>
      <c r="E178" s="20"/>
      <c r="F178" s="20"/>
      <c r="G178" s="20"/>
      <c r="H178" s="20"/>
      <c r="I178" s="20"/>
      <c r="J178" s="20"/>
      <c r="K178" s="20"/>
      <c r="L178" s="20"/>
      <c r="M178" s="20"/>
      <c r="N178" s="18" t="str">
        <f aca="false">IF(COUNTBLANK(E178:M178)=9,"",IF(COUNTIF(E178:M178,"Fail")&gt;0,"Fail",IF(COUNTBLANK(E178:M178)&gt;0,"Incomplete","Pass")))</f>
        <v/>
      </c>
      <c r="O178" s="18" t="str">
        <f aca="true">IF(N178="","Not Yet Inspected",IF(N178="Fail","Fail",IF(D178="","",IF(D178&lt;TODAY(),"Overdue",IF(D178&lt;=TODAY()+30,"Due (within 30 days)","Pass")))))</f>
        <v>Not Yet Inspected</v>
      </c>
      <c r="P178" s="18"/>
      <c r="Q178" s="18"/>
      <c r="R178" s="19"/>
    </row>
    <row r="179" customFormat="false" ht="15.75" hidden="false" customHeight="true" outlineLevel="0" collapsed="false">
      <c r="A179" s="18"/>
      <c r="B179" s="18"/>
      <c r="C179" s="19"/>
      <c r="D179" s="19" t="str">
        <f aca="false">IF(C179="","",DATE(YEAR(C179)+1,MONTH(C179),DAY(C179)))</f>
        <v/>
      </c>
      <c r="E179" s="20"/>
      <c r="F179" s="20"/>
      <c r="G179" s="20"/>
      <c r="H179" s="20"/>
      <c r="I179" s="20"/>
      <c r="J179" s="20"/>
      <c r="K179" s="20"/>
      <c r="L179" s="20"/>
      <c r="M179" s="20"/>
      <c r="N179" s="18" t="str">
        <f aca="false">IF(COUNTBLANK(E179:M179)=9,"",IF(COUNTIF(E179:M179,"Fail")&gt;0,"Fail",IF(COUNTBLANK(E179:M179)&gt;0,"Incomplete","Pass")))</f>
        <v/>
      </c>
      <c r="O179" s="18" t="str">
        <f aca="true">IF(N179="","Not Yet Inspected",IF(N179="Fail","Fail",IF(D179="","",IF(D179&lt;TODAY(),"Overdue",IF(D179&lt;=TODAY()+30,"Due (within 30 days)","Pass")))))</f>
        <v>Not Yet Inspected</v>
      </c>
      <c r="P179" s="18"/>
      <c r="Q179" s="18"/>
      <c r="R179" s="19"/>
    </row>
    <row r="180" customFormat="false" ht="15.75" hidden="false" customHeight="true" outlineLevel="0" collapsed="false">
      <c r="A180" s="18"/>
      <c r="B180" s="18"/>
      <c r="C180" s="19"/>
      <c r="D180" s="19" t="str">
        <f aca="false">IF(C180="","",DATE(YEAR(C180)+1,MONTH(C180),DAY(C180)))</f>
        <v/>
      </c>
      <c r="E180" s="20"/>
      <c r="F180" s="20"/>
      <c r="G180" s="20"/>
      <c r="H180" s="20"/>
      <c r="I180" s="20"/>
      <c r="J180" s="20"/>
      <c r="K180" s="20"/>
      <c r="L180" s="20"/>
      <c r="M180" s="20"/>
      <c r="N180" s="18" t="str">
        <f aca="false">IF(COUNTBLANK(E180:M180)=9,"",IF(COUNTIF(E180:M180,"Fail")&gt;0,"Fail",IF(COUNTBLANK(E180:M180)&gt;0,"Incomplete","Pass")))</f>
        <v/>
      </c>
      <c r="O180" s="18" t="str">
        <f aca="true">IF(N180="","Not Yet Inspected",IF(N180="Fail","Fail",IF(D180="","",IF(D180&lt;TODAY(),"Overdue",IF(D180&lt;=TODAY()+30,"Due (within 30 days)","Pass")))))</f>
        <v>Not Yet Inspected</v>
      </c>
      <c r="P180" s="18"/>
      <c r="Q180" s="18"/>
      <c r="R180" s="19"/>
    </row>
    <row r="181" customFormat="false" ht="15.75" hidden="false" customHeight="true" outlineLevel="0" collapsed="false">
      <c r="A181" s="18"/>
      <c r="B181" s="18"/>
      <c r="C181" s="19"/>
      <c r="D181" s="19" t="str">
        <f aca="false">IF(C181="","",DATE(YEAR(C181)+1,MONTH(C181),DAY(C181)))</f>
        <v/>
      </c>
      <c r="E181" s="20"/>
      <c r="F181" s="20"/>
      <c r="G181" s="20"/>
      <c r="H181" s="20"/>
      <c r="I181" s="20"/>
      <c r="J181" s="20"/>
      <c r="K181" s="20"/>
      <c r="L181" s="20"/>
      <c r="M181" s="20"/>
      <c r="N181" s="18" t="str">
        <f aca="false">IF(COUNTBLANK(E181:M181)=9,"",IF(COUNTIF(E181:M181,"Fail")&gt;0,"Fail",IF(COUNTBLANK(E181:M181)&gt;0,"Incomplete","Pass")))</f>
        <v/>
      </c>
      <c r="O181" s="18" t="str">
        <f aca="true">IF(N181="","Not Yet Inspected",IF(N181="Fail","Fail",IF(D181="","",IF(D181&lt;TODAY(),"Overdue",IF(D181&lt;=TODAY()+30,"Due (within 30 days)","Pass")))))</f>
        <v>Not Yet Inspected</v>
      </c>
      <c r="P181" s="18"/>
      <c r="Q181" s="18"/>
      <c r="R181" s="19"/>
    </row>
    <row r="182" customFormat="false" ht="15.75" hidden="false" customHeight="true" outlineLevel="0" collapsed="false">
      <c r="A182" s="18"/>
      <c r="B182" s="18"/>
      <c r="C182" s="19"/>
      <c r="D182" s="19" t="str">
        <f aca="false">IF(C182="","",DATE(YEAR(C182)+1,MONTH(C182),DAY(C182)))</f>
        <v/>
      </c>
      <c r="E182" s="20"/>
      <c r="F182" s="20"/>
      <c r="G182" s="20"/>
      <c r="H182" s="20"/>
      <c r="I182" s="20"/>
      <c r="J182" s="20"/>
      <c r="K182" s="20"/>
      <c r="L182" s="20"/>
      <c r="M182" s="20"/>
      <c r="N182" s="18" t="str">
        <f aca="false">IF(COUNTBLANK(E182:M182)=9,"",IF(COUNTIF(E182:M182,"Fail")&gt;0,"Fail",IF(COUNTBLANK(E182:M182)&gt;0,"Incomplete","Pass")))</f>
        <v/>
      </c>
      <c r="O182" s="18" t="str">
        <f aca="true">IF(N182="","Not Yet Inspected",IF(N182="Fail","Fail",IF(D182="","",IF(D182&lt;TODAY(),"Overdue",IF(D182&lt;=TODAY()+30,"Due (within 30 days)","Pass")))))</f>
        <v>Not Yet Inspected</v>
      </c>
      <c r="P182" s="18"/>
      <c r="Q182" s="18"/>
      <c r="R182" s="19"/>
    </row>
    <row r="183" customFormat="false" ht="15.75" hidden="false" customHeight="true" outlineLevel="0" collapsed="false">
      <c r="A183" s="18"/>
      <c r="B183" s="18"/>
      <c r="C183" s="19"/>
      <c r="D183" s="19" t="str">
        <f aca="false">IF(C183="","",DATE(YEAR(C183)+1,MONTH(C183),DAY(C183)))</f>
        <v/>
      </c>
      <c r="E183" s="20"/>
      <c r="F183" s="20"/>
      <c r="G183" s="20"/>
      <c r="H183" s="20"/>
      <c r="I183" s="20"/>
      <c r="J183" s="20"/>
      <c r="K183" s="20"/>
      <c r="L183" s="20"/>
      <c r="M183" s="20"/>
      <c r="N183" s="18" t="str">
        <f aca="false">IF(COUNTBLANK(E183:M183)=9,"",IF(COUNTIF(E183:M183,"Fail")&gt;0,"Fail",IF(COUNTBLANK(E183:M183)&gt;0,"Incomplete","Pass")))</f>
        <v/>
      </c>
      <c r="O183" s="18" t="str">
        <f aca="true">IF(N183="","Not Yet Inspected",IF(N183="Fail","Fail",IF(D183="","",IF(D183&lt;TODAY(),"Overdue",IF(D183&lt;=TODAY()+30,"Due (within 30 days)","Pass")))))</f>
        <v>Not Yet Inspected</v>
      </c>
      <c r="P183" s="18"/>
      <c r="Q183" s="18"/>
      <c r="R183" s="19"/>
    </row>
    <row r="184" customFormat="false" ht="15.75" hidden="false" customHeight="true" outlineLevel="0" collapsed="false">
      <c r="A184" s="18"/>
      <c r="B184" s="18"/>
      <c r="C184" s="19"/>
      <c r="D184" s="19" t="str">
        <f aca="false">IF(C184="","",DATE(YEAR(C184)+1,MONTH(C184),DAY(C184)))</f>
        <v/>
      </c>
      <c r="E184" s="20"/>
      <c r="F184" s="20"/>
      <c r="G184" s="20"/>
      <c r="H184" s="20"/>
      <c r="I184" s="20"/>
      <c r="J184" s="20"/>
      <c r="K184" s="20"/>
      <c r="L184" s="20"/>
      <c r="M184" s="20"/>
      <c r="N184" s="18" t="str">
        <f aca="false">IF(COUNTBLANK(E184:M184)=9,"",IF(COUNTIF(E184:M184,"Fail")&gt;0,"Fail",IF(COUNTBLANK(E184:M184)&gt;0,"Incomplete","Pass")))</f>
        <v/>
      </c>
      <c r="O184" s="18" t="str">
        <f aca="true">IF(N184="","Not Yet Inspected",IF(N184="Fail","Fail",IF(D184="","",IF(D184&lt;TODAY(),"Overdue",IF(D184&lt;=TODAY()+30,"Due (within 30 days)","Pass")))))</f>
        <v>Not Yet Inspected</v>
      </c>
      <c r="P184" s="18"/>
      <c r="Q184" s="18"/>
      <c r="R184" s="19"/>
    </row>
    <row r="185" customFormat="false" ht="15.75" hidden="false" customHeight="true" outlineLevel="0" collapsed="false">
      <c r="A185" s="18"/>
      <c r="B185" s="18"/>
      <c r="C185" s="19"/>
      <c r="D185" s="19" t="str">
        <f aca="false">IF(C185="","",DATE(YEAR(C185)+1,MONTH(C185),DAY(C185)))</f>
        <v/>
      </c>
      <c r="E185" s="20"/>
      <c r="F185" s="20"/>
      <c r="G185" s="20"/>
      <c r="H185" s="20"/>
      <c r="I185" s="20"/>
      <c r="J185" s="20"/>
      <c r="K185" s="20"/>
      <c r="L185" s="20"/>
      <c r="M185" s="20"/>
      <c r="N185" s="18" t="str">
        <f aca="false">IF(COUNTBLANK(E185:M185)=9,"",IF(COUNTIF(E185:M185,"Fail")&gt;0,"Fail",IF(COUNTBLANK(E185:M185)&gt;0,"Incomplete","Pass")))</f>
        <v/>
      </c>
      <c r="O185" s="18" t="str">
        <f aca="true">IF(N185="","Not Yet Inspected",IF(N185="Fail","Fail",IF(D185="","",IF(D185&lt;TODAY(),"Overdue",IF(D185&lt;=TODAY()+30,"Due (within 30 days)","Pass")))))</f>
        <v>Not Yet Inspected</v>
      </c>
      <c r="P185" s="18"/>
      <c r="Q185" s="18"/>
      <c r="R185" s="19"/>
    </row>
    <row r="186" customFormat="false" ht="15.75" hidden="false" customHeight="true" outlineLevel="0" collapsed="false">
      <c r="A186" s="18"/>
      <c r="B186" s="18"/>
      <c r="C186" s="19"/>
      <c r="D186" s="19" t="str">
        <f aca="false">IF(C186="","",DATE(YEAR(C186)+1,MONTH(C186),DAY(C186)))</f>
        <v/>
      </c>
      <c r="E186" s="20"/>
      <c r="F186" s="20"/>
      <c r="G186" s="20"/>
      <c r="H186" s="20"/>
      <c r="I186" s="20"/>
      <c r="J186" s="20"/>
      <c r="K186" s="20"/>
      <c r="L186" s="20"/>
      <c r="M186" s="20"/>
      <c r="N186" s="18" t="str">
        <f aca="false">IF(COUNTBLANK(E186:M186)=9,"",IF(COUNTIF(E186:M186,"Fail")&gt;0,"Fail",IF(COUNTBLANK(E186:M186)&gt;0,"Incomplete","Pass")))</f>
        <v/>
      </c>
      <c r="O186" s="18" t="str">
        <f aca="true">IF(N186="","Not Yet Inspected",IF(N186="Fail","Fail",IF(D186="","",IF(D186&lt;TODAY(),"Overdue",IF(D186&lt;=TODAY()+30,"Due (within 30 days)","Pass")))))</f>
        <v>Not Yet Inspected</v>
      </c>
      <c r="P186" s="18"/>
      <c r="Q186" s="18"/>
      <c r="R186" s="19"/>
    </row>
    <row r="187" customFormat="false" ht="15.75" hidden="false" customHeight="true" outlineLevel="0" collapsed="false">
      <c r="A187" s="18"/>
      <c r="B187" s="18"/>
      <c r="C187" s="19"/>
      <c r="D187" s="19" t="str">
        <f aca="false">IF(C187="","",DATE(YEAR(C187)+1,MONTH(C187),DAY(C187)))</f>
        <v/>
      </c>
      <c r="E187" s="20"/>
      <c r="F187" s="20"/>
      <c r="G187" s="20"/>
      <c r="H187" s="20"/>
      <c r="I187" s="20"/>
      <c r="J187" s="20"/>
      <c r="K187" s="20"/>
      <c r="L187" s="20"/>
      <c r="M187" s="20"/>
      <c r="N187" s="18" t="str">
        <f aca="false">IF(COUNTBLANK(E187:M187)=9,"",IF(COUNTIF(E187:M187,"Fail")&gt;0,"Fail",IF(COUNTBLANK(E187:M187)&gt;0,"Incomplete","Pass")))</f>
        <v/>
      </c>
      <c r="O187" s="18" t="str">
        <f aca="true">IF(N187="","Not Yet Inspected",IF(N187="Fail","Fail",IF(D187="","",IF(D187&lt;TODAY(),"Overdue",IF(D187&lt;=TODAY()+30,"Due (within 30 days)","Pass")))))</f>
        <v>Not Yet Inspected</v>
      </c>
      <c r="P187" s="18"/>
      <c r="Q187" s="18"/>
      <c r="R187" s="19"/>
    </row>
    <row r="188" customFormat="false" ht="15.75" hidden="false" customHeight="true" outlineLevel="0" collapsed="false">
      <c r="A188" s="18"/>
      <c r="B188" s="18"/>
      <c r="C188" s="19"/>
      <c r="D188" s="19" t="str">
        <f aca="false">IF(C188="","",DATE(YEAR(C188)+1,MONTH(C188),DAY(C188)))</f>
        <v/>
      </c>
      <c r="E188" s="20"/>
      <c r="F188" s="20"/>
      <c r="G188" s="20"/>
      <c r="H188" s="20"/>
      <c r="I188" s="20"/>
      <c r="J188" s="20"/>
      <c r="K188" s="20"/>
      <c r="L188" s="20"/>
      <c r="M188" s="20"/>
      <c r="N188" s="18" t="str">
        <f aca="false">IF(COUNTBLANK(E188:M188)=9,"",IF(COUNTIF(E188:M188,"Fail")&gt;0,"Fail",IF(COUNTBLANK(E188:M188)&gt;0,"Incomplete","Pass")))</f>
        <v/>
      </c>
      <c r="O188" s="18" t="str">
        <f aca="true">IF(N188="","Not Yet Inspected",IF(N188="Fail","Fail",IF(D188="","",IF(D188&lt;TODAY(),"Overdue",IF(D188&lt;=TODAY()+30,"Due (within 30 days)","Pass")))))</f>
        <v>Not Yet Inspected</v>
      </c>
      <c r="P188" s="18"/>
      <c r="Q188" s="18"/>
      <c r="R188" s="19"/>
    </row>
    <row r="189" customFormat="false" ht="15.75" hidden="false" customHeight="true" outlineLevel="0" collapsed="false">
      <c r="A189" s="18"/>
      <c r="B189" s="18"/>
      <c r="C189" s="19"/>
      <c r="D189" s="19" t="str">
        <f aca="false">IF(C189="","",DATE(YEAR(C189)+1,MONTH(C189),DAY(C189)))</f>
        <v/>
      </c>
      <c r="E189" s="20"/>
      <c r="F189" s="20"/>
      <c r="G189" s="20"/>
      <c r="H189" s="20"/>
      <c r="I189" s="20"/>
      <c r="J189" s="20"/>
      <c r="K189" s="20"/>
      <c r="L189" s="20"/>
      <c r="M189" s="20"/>
      <c r="N189" s="18" t="str">
        <f aca="false">IF(COUNTBLANK(E189:M189)=9,"",IF(COUNTIF(E189:M189,"Fail")&gt;0,"Fail",IF(COUNTBLANK(E189:M189)&gt;0,"Incomplete","Pass")))</f>
        <v/>
      </c>
      <c r="O189" s="18" t="str">
        <f aca="true">IF(N189="","Not Yet Inspected",IF(N189="Fail","Fail",IF(D189="","",IF(D189&lt;TODAY(),"Overdue",IF(D189&lt;=TODAY()+30,"Due (within 30 days)","Pass")))))</f>
        <v>Not Yet Inspected</v>
      </c>
      <c r="P189" s="18"/>
      <c r="Q189" s="18"/>
      <c r="R189" s="19"/>
    </row>
    <row r="190" customFormat="false" ht="15.75" hidden="false" customHeight="true" outlineLevel="0" collapsed="false">
      <c r="A190" s="18"/>
      <c r="B190" s="18"/>
      <c r="C190" s="19"/>
      <c r="D190" s="19" t="str">
        <f aca="false">IF(C190="","",DATE(YEAR(C190)+1,MONTH(C190),DAY(C190)))</f>
        <v/>
      </c>
      <c r="E190" s="20"/>
      <c r="F190" s="20"/>
      <c r="G190" s="20"/>
      <c r="H190" s="20"/>
      <c r="I190" s="20"/>
      <c r="J190" s="20"/>
      <c r="K190" s="20"/>
      <c r="L190" s="20"/>
      <c r="M190" s="20"/>
      <c r="N190" s="18" t="str">
        <f aca="false">IF(COUNTBLANK(E190:M190)=9,"",IF(COUNTIF(E190:M190,"Fail")&gt;0,"Fail",IF(COUNTBLANK(E190:M190)&gt;0,"Incomplete","Pass")))</f>
        <v/>
      </c>
      <c r="O190" s="18" t="str">
        <f aca="true">IF(N190="","Not Yet Inspected",IF(N190="Fail","Fail",IF(D190="","",IF(D190&lt;TODAY(),"Overdue",IF(D190&lt;=TODAY()+30,"Due (within 30 days)","Pass")))))</f>
        <v>Not Yet Inspected</v>
      </c>
      <c r="P190" s="18"/>
      <c r="Q190" s="18"/>
      <c r="R190" s="19"/>
    </row>
    <row r="191" customFormat="false" ht="15.75" hidden="false" customHeight="true" outlineLevel="0" collapsed="false">
      <c r="A191" s="18"/>
      <c r="B191" s="18"/>
      <c r="C191" s="19"/>
      <c r="D191" s="19" t="str">
        <f aca="false">IF(C191="","",DATE(YEAR(C191)+1,MONTH(C191),DAY(C191)))</f>
        <v/>
      </c>
      <c r="E191" s="20"/>
      <c r="F191" s="20"/>
      <c r="G191" s="20"/>
      <c r="H191" s="20"/>
      <c r="I191" s="20"/>
      <c r="J191" s="20"/>
      <c r="K191" s="20"/>
      <c r="L191" s="20"/>
      <c r="M191" s="20"/>
      <c r="N191" s="18" t="str">
        <f aca="false">IF(COUNTBLANK(E191:M191)=9,"",IF(COUNTIF(E191:M191,"Fail")&gt;0,"Fail",IF(COUNTBLANK(E191:M191)&gt;0,"Incomplete","Pass")))</f>
        <v/>
      </c>
      <c r="O191" s="18" t="str">
        <f aca="true">IF(N191="","Not Yet Inspected",IF(N191="Fail","Fail",IF(D191="","",IF(D191&lt;TODAY(),"Overdue",IF(D191&lt;=TODAY()+30,"Due (within 30 days)","Pass")))))</f>
        <v>Not Yet Inspected</v>
      </c>
      <c r="P191" s="18"/>
      <c r="Q191" s="18"/>
      <c r="R191" s="19"/>
    </row>
    <row r="192" customFormat="false" ht="15.75" hidden="false" customHeight="true" outlineLevel="0" collapsed="false">
      <c r="A192" s="18"/>
      <c r="B192" s="18"/>
      <c r="C192" s="19"/>
      <c r="D192" s="19" t="str">
        <f aca="false">IF(C192="","",DATE(YEAR(C192)+1,MONTH(C192),DAY(C192)))</f>
        <v/>
      </c>
      <c r="E192" s="20"/>
      <c r="F192" s="20"/>
      <c r="G192" s="20"/>
      <c r="H192" s="20"/>
      <c r="I192" s="20"/>
      <c r="J192" s="20"/>
      <c r="K192" s="20"/>
      <c r="L192" s="20"/>
      <c r="M192" s="20"/>
      <c r="N192" s="18" t="str">
        <f aca="false">IF(COUNTBLANK(E192:M192)=9,"",IF(COUNTIF(E192:M192,"Fail")&gt;0,"Fail",IF(COUNTBLANK(E192:M192)&gt;0,"Incomplete","Pass")))</f>
        <v/>
      </c>
      <c r="O192" s="18" t="str">
        <f aca="true">IF(N192="","Not Yet Inspected",IF(N192="Fail","Fail",IF(D192="","",IF(D192&lt;TODAY(),"Overdue",IF(D192&lt;=TODAY()+30,"Due (within 30 days)","Pass")))))</f>
        <v>Not Yet Inspected</v>
      </c>
      <c r="P192" s="18"/>
      <c r="Q192" s="18"/>
      <c r="R192" s="19"/>
    </row>
    <row r="193" customFormat="false" ht="15.75" hidden="false" customHeight="true" outlineLevel="0" collapsed="false">
      <c r="A193" s="18"/>
      <c r="B193" s="18"/>
      <c r="C193" s="19"/>
      <c r="D193" s="19" t="str">
        <f aca="false">IF(C193="","",DATE(YEAR(C193)+1,MONTH(C193),DAY(C193)))</f>
        <v/>
      </c>
      <c r="E193" s="20"/>
      <c r="F193" s="20"/>
      <c r="G193" s="20"/>
      <c r="H193" s="20"/>
      <c r="I193" s="20"/>
      <c r="J193" s="20"/>
      <c r="K193" s="20"/>
      <c r="L193" s="20"/>
      <c r="M193" s="20"/>
      <c r="N193" s="18" t="str">
        <f aca="false">IF(COUNTBLANK(E193:M193)=9,"",IF(COUNTIF(E193:M193,"Fail")&gt;0,"Fail",IF(COUNTBLANK(E193:M193)&gt;0,"Incomplete","Pass")))</f>
        <v/>
      </c>
      <c r="O193" s="18" t="str">
        <f aca="true">IF(N193="","Not Yet Inspected",IF(N193="Fail","Fail",IF(D193="","",IF(D193&lt;TODAY(),"Overdue",IF(D193&lt;=TODAY()+30,"Due (within 30 days)","Pass")))))</f>
        <v>Not Yet Inspected</v>
      </c>
      <c r="P193" s="18"/>
      <c r="Q193" s="18"/>
      <c r="R193" s="19"/>
    </row>
    <row r="194" customFormat="false" ht="15.75" hidden="false" customHeight="true" outlineLevel="0" collapsed="false">
      <c r="A194" s="18"/>
      <c r="B194" s="18"/>
      <c r="C194" s="19"/>
      <c r="D194" s="19" t="str">
        <f aca="false">IF(C194="","",DATE(YEAR(C194)+1,MONTH(C194),DAY(C194)))</f>
        <v/>
      </c>
      <c r="E194" s="20"/>
      <c r="F194" s="20"/>
      <c r="G194" s="20"/>
      <c r="H194" s="20"/>
      <c r="I194" s="20"/>
      <c r="J194" s="20"/>
      <c r="K194" s="20"/>
      <c r="L194" s="20"/>
      <c r="M194" s="20"/>
      <c r="N194" s="18" t="str">
        <f aca="false">IF(COUNTBLANK(E194:M194)=9,"",IF(COUNTIF(E194:M194,"Fail")&gt;0,"Fail",IF(COUNTBLANK(E194:M194)&gt;0,"Incomplete","Pass")))</f>
        <v/>
      </c>
      <c r="O194" s="18" t="str">
        <f aca="true">IF(N194="","Not Yet Inspected",IF(N194="Fail","Fail",IF(D194="","",IF(D194&lt;TODAY(),"Overdue",IF(D194&lt;=TODAY()+30,"Due (within 30 days)","Pass")))))</f>
        <v>Not Yet Inspected</v>
      </c>
      <c r="P194" s="18"/>
      <c r="Q194" s="18"/>
      <c r="R194" s="19"/>
    </row>
    <row r="195" customFormat="false" ht="15.75" hidden="false" customHeight="true" outlineLevel="0" collapsed="false">
      <c r="A195" s="18"/>
      <c r="B195" s="18"/>
      <c r="C195" s="19"/>
      <c r="D195" s="19" t="str">
        <f aca="false">IF(C195="","",DATE(YEAR(C195)+1,MONTH(C195),DAY(C195)))</f>
        <v/>
      </c>
      <c r="E195" s="20"/>
      <c r="F195" s="20"/>
      <c r="G195" s="20"/>
      <c r="H195" s="20"/>
      <c r="I195" s="20"/>
      <c r="J195" s="20"/>
      <c r="K195" s="20"/>
      <c r="L195" s="20"/>
      <c r="M195" s="20"/>
      <c r="N195" s="18" t="str">
        <f aca="false">IF(COUNTBLANK(E195:M195)=9,"",IF(COUNTIF(E195:M195,"Fail")&gt;0,"Fail",IF(COUNTBLANK(E195:M195)&gt;0,"Incomplete","Pass")))</f>
        <v/>
      </c>
      <c r="O195" s="18" t="str">
        <f aca="true">IF(N195="","Not Yet Inspected",IF(N195="Fail","Fail",IF(D195="","",IF(D195&lt;TODAY(),"Overdue",IF(D195&lt;=TODAY()+30,"Due (within 30 days)","Pass")))))</f>
        <v>Not Yet Inspected</v>
      </c>
      <c r="P195" s="18"/>
      <c r="Q195" s="18"/>
      <c r="R195" s="19"/>
    </row>
    <row r="196" customFormat="false" ht="15.75" hidden="false" customHeight="true" outlineLevel="0" collapsed="false">
      <c r="A196" s="18"/>
      <c r="B196" s="18"/>
      <c r="C196" s="19"/>
      <c r="D196" s="19" t="str">
        <f aca="false">IF(C196="","",DATE(YEAR(C196)+1,MONTH(C196),DAY(C196)))</f>
        <v/>
      </c>
      <c r="E196" s="20"/>
      <c r="F196" s="20"/>
      <c r="G196" s="20"/>
      <c r="H196" s="20"/>
      <c r="I196" s="20"/>
      <c r="J196" s="20"/>
      <c r="K196" s="20"/>
      <c r="L196" s="20"/>
      <c r="M196" s="20"/>
      <c r="N196" s="18" t="str">
        <f aca="false">IF(COUNTBLANK(E196:M196)=9,"",IF(COUNTIF(E196:M196,"Fail")&gt;0,"Fail",IF(COUNTBLANK(E196:M196)&gt;0,"Incomplete","Pass")))</f>
        <v/>
      </c>
      <c r="O196" s="18" t="str">
        <f aca="true">IF(N196="","Not Yet Inspected",IF(N196="Fail","Fail",IF(D196="","",IF(D196&lt;TODAY(),"Overdue",IF(D196&lt;=TODAY()+30,"Due (within 30 days)","Pass")))))</f>
        <v>Not Yet Inspected</v>
      </c>
      <c r="P196" s="18"/>
      <c r="Q196" s="18"/>
      <c r="R196" s="19"/>
    </row>
    <row r="197" customFormat="false" ht="15.75" hidden="false" customHeight="true" outlineLevel="0" collapsed="false">
      <c r="A197" s="18"/>
      <c r="B197" s="18"/>
      <c r="C197" s="19"/>
      <c r="D197" s="19" t="str">
        <f aca="false">IF(C197="","",DATE(YEAR(C197)+1,MONTH(C197),DAY(C197)))</f>
        <v/>
      </c>
      <c r="E197" s="20"/>
      <c r="F197" s="20"/>
      <c r="G197" s="20"/>
      <c r="H197" s="20"/>
      <c r="I197" s="20"/>
      <c r="J197" s="20"/>
      <c r="K197" s="20"/>
      <c r="L197" s="20"/>
      <c r="M197" s="20"/>
      <c r="N197" s="18" t="str">
        <f aca="false">IF(COUNTBLANK(E197:M197)=9,"",IF(COUNTIF(E197:M197,"Fail")&gt;0,"Fail",IF(COUNTBLANK(E197:M197)&gt;0,"Incomplete","Pass")))</f>
        <v/>
      </c>
      <c r="O197" s="18" t="str">
        <f aca="true">IF(N197="","Not Yet Inspected",IF(N197="Fail","Fail",IF(D197="","",IF(D197&lt;TODAY(),"Overdue",IF(D197&lt;=TODAY()+30,"Due (within 30 days)","Pass")))))</f>
        <v>Not Yet Inspected</v>
      </c>
      <c r="P197" s="18"/>
      <c r="Q197" s="18"/>
      <c r="R197" s="19"/>
    </row>
    <row r="198" customFormat="false" ht="15.75" hidden="false" customHeight="true" outlineLevel="0" collapsed="false">
      <c r="A198" s="18"/>
      <c r="B198" s="18"/>
      <c r="C198" s="19"/>
      <c r="D198" s="19" t="str">
        <f aca="false">IF(C198="","",DATE(YEAR(C198)+1,MONTH(C198),DAY(C198)))</f>
        <v/>
      </c>
      <c r="E198" s="20"/>
      <c r="F198" s="20"/>
      <c r="G198" s="20"/>
      <c r="H198" s="20"/>
      <c r="I198" s="20"/>
      <c r="J198" s="20"/>
      <c r="K198" s="20"/>
      <c r="L198" s="20"/>
      <c r="M198" s="20"/>
      <c r="N198" s="18" t="str">
        <f aca="false">IF(COUNTBLANK(E198:M198)=9,"",IF(COUNTIF(E198:M198,"Fail")&gt;0,"Fail",IF(COUNTBLANK(E198:M198)&gt;0,"Incomplete","Pass")))</f>
        <v/>
      </c>
      <c r="O198" s="18" t="str">
        <f aca="true">IF(N198="","Not Yet Inspected",IF(N198="Fail","Fail",IF(D198="","",IF(D198&lt;TODAY(),"Overdue",IF(D198&lt;=TODAY()+30,"Due (within 30 days)","Pass")))))</f>
        <v>Not Yet Inspected</v>
      </c>
      <c r="P198" s="18"/>
      <c r="Q198" s="18"/>
      <c r="R198" s="19"/>
    </row>
    <row r="199" customFormat="false" ht="15.75" hidden="false" customHeight="true" outlineLevel="0" collapsed="false">
      <c r="A199" s="18"/>
      <c r="B199" s="18"/>
      <c r="C199" s="19"/>
      <c r="D199" s="19" t="str">
        <f aca="false">IF(C199="","",DATE(YEAR(C199)+1,MONTH(C199),DAY(C199)))</f>
        <v/>
      </c>
      <c r="E199" s="20"/>
      <c r="F199" s="20"/>
      <c r="G199" s="20"/>
      <c r="H199" s="20"/>
      <c r="I199" s="20"/>
      <c r="J199" s="20"/>
      <c r="K199" s="20"/>
      <c r="L199" s="20"/>
      <c r="M199" s="20"/>
      <c r="N199" s="18" t="str">
        <f aca="false">IF(COUNTBLANK(E199:M199)=9,"",IF(COUNTIF(E199:M199,"Fail")&gt;0,"Fail",IF(COUNTBLANK(E199:M199)&gt;0,"Incomplete","Pass")))</f>
        <v/>
      </c>
      <c r="O199" s="18" t="str">
        <f aca="true">IF(N199="","Not Yet Inspected",IF(N199="Fail","Fail",IF(D199="","",IF(D199&lt;TODAY(),"Overdue",IF(D199&lt;=TODAY()+30,"Due (within 30 days)","Pass")))))</f>
        <v>Not Yet Inspected</v>
      </c>
      <c r="P199" s="18"/>
      <c r="Q199" s="18"/>
      <c r="R199" s="19"/>
    </row>
    <row r="200" customFormat="false" ht="15.75" hidden="false" customHeight="true" outlineLevel="0" collapsed="false">
      <c r="A200" s="18"/>
      <c r="B200" s="18"/>
      <c r="C200" s="19"/>
      <c r="D200" s="19" t="str">
        <f aca="false">IF(C200="","",DATE(YEAR(C200)+1,MONTH(C200),DAY(C200)))</f>
        <v/>
      </c>
      <c r="E200" s="20"/>
      <c r="F200" s="20"/>
      <c r="G200" s="20"/>
      <c r="H200" s="20"/>
      <c r="I200" s="20"/>
      <c r="J200" s="20"/>
      <c r="K200" s="20"/>
      <c r="L200" s="20"/>
      <c r="M200" s="20"/>
      <c r="N200" s="18" t="str">
        <f aca="false">IF(COUNTBLANK(E200:M200)=9,"",IF(COUNTIF(E200:M200,"Fail")&gt;0,"Fail",IF(COUNTBLANK(E200:M200)&gt;0,"Incomplete","Pass")))</f>
        <v/>
      </c>
      <c r="O200" s="18" t="str">
        <f aca="true">IF(N200="","Not Yet Inspected",IF(N200="Fail","Fail",IF(D200="","",IF(D200&lt;TODAY(),"Overdue",IF(D200&lt;=TODAY()+30,"Due (within 30 days)","Pass")))))</f>
        <v>Not Yet Inspected</v>
      </c>
      <c r="P200" s="18"/>
      <c r="Q200" s="18"/>
      <c r="R200" s="19"/>
    </row>
    <row r="201" customFormat="false" ht="15.75" hidden="false" customHeight="true" outlineLevel="0" collapsed="false">
      <c r="A201" s="18"/>
      <c r="B201" s="18"/>
      <c r="C201" s="19"/>
      <c r="D201" s="19" t="str">
        <f aca="false">IF(C201="","",DATE(YEAR(C201)+1,MONTH(C201),DAY(C201)))</f>
        <v/>
      </c>
      <c r="E201" s="20"/>
      <c r="F201" s="20"/>
      <c r="G201" s="20"/>
      <c r="H201" s="20"/>
      <c r="I201" s="20"/>
      <c r="J201" s="20"/>
      <c r="K201" s="20"/>
      <c r="L201" s="20"/>
      <c r="M201" s="20"/>
      <c r="N201" s="18" t="str">
        <f aca="false">IF(COUNTBLANK(E201:M201)=9,"",IF(COUNTIF(E201:M201,"Fail")&gt;0,"Fail",IF(COUNTBLANK(E201:M201)&gt;0,"Incomplete","Pass")))</f>
        <v/>
      </c>
      <c r="O201" s="18" t="str">
        <f aca="true">IF(N201="","Not Yet Inspected",IF(N201="Fail","Fail",IF(D201="","",IF(D201&lt;TODAY(),"Overdue",IF(D201&lt;=TODAY()+30,"Due (within 30 days)","Pass")))))</f>
        <v>Not Yet Inspected</v>
      </c>
      <c r="P201" s="18"/>
      <c r="Q201" s="18"/>
      <c r="R201" s="19"/>
    </row>
    <row r="202" customFormat="false" ht="15.75" hidden="false" customHeight="true" outlineLevel="0" collapsed="false">
      <c r="A202" s="18"/>
      <c r="B202" s="18"/>
      <c r="C202" s="19"/>
      <c r="D202" s="19" t="str">
        <f aca="false">IF(C202="","",DATE(YEAR(C202)+1,MONTH(C202),DAY(C202)))</f>
        <v/>
      </c>
      <c r="E202" s="20"/>
      <c r="F202" s="20"/>
      <c r="G202" s="20"/>
      <c r="H202" s="20"/>
      <c r="I202" s="20"/>
      <c r="J202" s="20"/>
      <c r="K202" s="20"/>
      <c r="L202" s="20"/>
      <c r="M202" s="20"/>
      <c r="N202" s="18" t="str">
        <f aca="false">IF(COUNTBLANK(E202:M202)=9,"",IF(COUNTIF(E202:M202,"Fail")&gt;0,"Fail",IF(COUNTBLANK(E202:M202)&gt;0,"Incomplete","Pass")))</f>
        <v/>
      </c>
      <c r="O202" s="18" t="str">
        <f aca="true">IF(N202="","Not Yet Inspected",IF(N202="Fail","Fail",IF(D202="","",IF(D202&lt;TODAY(),"Overdue",IF(D202&lt;=TODAY()+30,"Due (within 30 days)","Pass")))))</f>
        <v>Not Yet Inspected</v>
      </c>
      <c r="P202" s="18"/>
      <c r="Q202" s="18"/>
      <c r="R202" s="19"/>
    </row>
    <row r="203" customFormat="false" ht="15.75" hidden="false" customHeight="true" outlineLevel="0" collapsed="false">
      <c r="A203" s="18"/>
      <c r="B203" s="18"/>
      <c r="C203" s="19"/>
      <c r="D203" s="19" t="str">
        <f aca="false">IF(C203="","",DATE(YEAR(C203)+1,MONTH(C203),DAY(C203)))</f>
        <v/>
      </c>
      <c r="E203" s="20"/>
      <c r="F203" s="20"/>
      <c r="G203" s="20"/>
      <c r="H203" s="20"/>
      <c r="I203" s="20"/>
      <c r="J203" s="20"/>
      <c r="K203" s="20"/>
      <c r="L203" s="20"/>
      <c r="M203" s="20"/>
      <c r="N203" s="18" t="str">
        <f aca="false">IF(COUNTBLANK(E203:M203)=9,"",IF(COUNTIF(E203:M203,"Fail")&gt;0,"Fail",IF(COUNTBLANK(E203:M203)&gt;0,"Incomplete","Pass")))</f>
        <v/>
      </c>
      <c r="O203" s="18" t="str">
        <f aca="true">IF(N203="","Not Yet Inspected",IF(N203="Fail","Fail",IF(D203="","",IF(D203&lt;TODAY(),"Overdue",IF(D203&lt;=TODAY()+30,"Due (within 30 days)","Pass")))))</f>
        <v>Not Yet Inspected</v>
      </c>
      <c r="P203" s="18"/>
      <c r="Q203" s="18"/>
      <c r="R203" s="19"/>
    </row>
    <row r="204" customFormat="false" ht="15.75" hidden="false" customHeight="true" outlineLevel="0" collapsed="false">
      <c r="A204" s="18"/>
      <c r="B204" s="18"/>
      <c r="C204" s="19"/>
      <c r="D204" s="19" t="str">
        <f aca="false">IF(C204="","",DATE(YEAR(C204)+1,MONTH(C204),DAY(C204)))</f>
        <v/>
      </c>
      <c r="E204" s="20"/>
      <c r="F204" s="20"/>
      <c r="G204" s="20"/>
      <c r="H204" s="20"/>
      <c r="I204" s="20"/>
      <c r="J204" s="20"/>
      <c r="K204" s="20"/>
      <c r="L204" s="20"/>
      <c r="M204" s="20"/>
      <c r="N204" s="18" t="str">
        <f aca="false">IF(COUNTBLANK(E204:M204)=9,"",IF(COUNTIF(E204:M204,"Fail")&gt;0,"Fail",IF(COUNTBLANK(E204:M204)&gt;0,"Incomplete","Pass")))</f>
        <v/>
      </c>
      <c r="O204" s="18" t="str">
        <f aca="true">IF(N204="","Not Yet Inspected",IF(N204="Fail","Fail",IF(D204="","",IF(D204&lt;TODAY(),"Overdue",IF(D204&lt;=TODAY()+30,"Due (within 30 days)","Pass")))))</f>
        <v>Not Yet Inspected</v>
      </c>
      <c r="P204" s="18"/>
      <c r="Q204" s="18"/>
      <c r="R204" s="19"/>
    </row>
    <row r="205" customFormat="false" ht="15.75" hidden="false" customHeight="true" outlineLevel="0" collapsed="false">
      <c r="A205" s="18"/>
      <c r="B205" s="18"/>
      <c r="C205" s="19"/>
      <c r="D205" s="19" t="str">
        <f aca="false">IF(C205="","",DATE(YEAR(C205)+1,MONTH(C205),DAY(C205)))</f>
        <v/>
      </c>
      <c r="E205" s="20"/>
      <c r="F205" s="20"/>
      <c r="G205" s="20"/>
      <c r="H205" s="20"/>
      <c r="I205" s="20"/>
      <c r="J205" s="20"/>
      <c r="K205" s="20"/>
      <c r="L205" s="20"/>
      <c r="M205" s="20"/>
      <c r="N205" s="18" t="str">
        <f aca="false">IF(COUNTBLANK(E205:M205)=9,"",IF(COUNTIF(E205:M205,"Fail")&gt;0,"Fail",IF(COUNTBLANK(E205:M205)&gt;0,"Incomplete","Pass")))</f>
        <v/>
      </c>
      <c r="O205" s="18" t="str">
        <f aca="true">IF(N205="","Not Yet Inspected",IF(N205="Fail","Fail",IF(D205="","",IF(D205&lt;TODAY(),"Overdue",IF(D205&lt;=TODAY()+30,"Due (within 30 days)","Pass")))))</f>
        <v>Not Yet Inspected</v>
      </c>
      <c r="P205" s="18"/>
      <c r="Q205" s="18"/>
      <c r="R205" s="19"/>
    </row>
    <row r="206" customFormat="false" ht="15.75" hidden="false" customHeight="true" outlineLevel="0" collapsed="false">
      <c r="A206" s="18"/>
      <c r="B206" s="18"/>
      <c r="C206" s="19"/>
      <c r="D206" s="19" t="str">
        <f aca="false">IF(C206="","",DATE(YEAR(C206)+1,MONTH(C206),DAY(C206)))</f>
        <v/>
      </c>
      <c r="E206" s="20"/>
      <c r="F206" s="20"/>
      <c r="G206" s="20"/>
      <c r="H206" s="20"/>
      <c r="I206" s="20"/>
      <c r="J206" s="20"/>
      <c r="K206" s="20"/>
      <c r="L206" s="20"/>
      <c r="M206" s="20"/>
      <c r="N206" s="18" t="str">
        <f aca="false">IF(COUNTBLANK(E206:M206)=9,"",IF(COUNTIF(E206:M206,"Fail")&gt;0,"Fail",IF(COUNTBLANK(E206:M206)&gt;0,"Incomplete","Pass")))</f>
        <v/>
      </c>
      <c r="O206" s="18" t="str">
        <f aca="true">IF(N206="","Not Yet Inspected",IF(N206="Fail","Fail",IF(D206="","",IF(D206&lt;TODAY(),"Overdue",IF(D206&lt;=TODAY()+30,"Due (within 30 days)","Pass")))))</f>
        <v>Not Yet Inspected</v>
      </c>
      <c r="P206" s="18"/>
      <c r="Q206" s="18"/>
      <c r="R206" s="19"/>
    </row>
    <row r="207" customFormat="false" ht="15.75" hidden="false" customHeight="true" outlineLevel="0" collapsed="false">
      <c r="A207" s="18"/>
      <c r="B207" s="18"/>
      <c r="C207" s="19"/>
      <c r="D207" s="19" t="str">
        <f aca="false">IF(C207="","",DATE(YEAR(C207)+1,MONTH(C207),DAY(C207)))</f>
        <v/>
      </c>
      <c r="E207" s="20"/>
      <c r="F207" s="20"/>
      <c r="G207" s="20"/>
      <c r="H207" s="20"/>
      <c r="I207" s="20"/>
      <c r="J207" s="20"/>
      <c r="K207" s="20"/>
      <c r="L207" s="20"/>
      <c r="M207" s="20"/>
      <c r="N207" s="18" t="str">
        <f aca="false">IF(COUNTBLANK(E207:M207)=9,"",IF(COUNTIF(E207:M207,"Fail")&gt;0,"Fail",IF(COUNTBLANK(E207:M207)&gt;0,"Incomplete","Pass")))</f>
        <v/>
      </c>
      <c r="O207" s="18" t="str">
        <f aca="true">IF(N207="","Not Yet Inspected",IF(N207="Fail","Fail",IF(D207="","",IF(D207&lt;TODAY(),"Overdue",IF(D207&lt;=TODAY()+30,"Due (within 30 days)","Pass")))))</f>
        <v>Not Yet Inspected</v>
      </c>
      <c r="P207" s="18"/>
      <c r="Q207" s="18"/>
      <c r="R207" s="19"/>
    </row>
    <row r="208" customFormat="false" ht="15.75" hidden="false" customHeight="true" outlineLevel="0" collapsed="false">
      <c r="A208" s="18"/>
      <c r="B208" s="18"/>
      <c r="C208" s="19"/>
      <c r="D208" s="19" t="str">
        <f aca="false">IF(C208="","",DATE(YEAR(C208)+1,MONTH(C208),DAY(C208)))</f>
        <v/>
      </c>
      <c r="E208" s="20"/>
      <c r="F208" s="20"/>
      <c r="G208" s="20"/>
      <c r="H208" s="20"/>
      <c r="I208" s="20"/>
      <c r="J208" s="20"/>
      <c r="K208" s="20"/>
      <c r="L208" s="20"/>
      <c r="M208" s="20"/>
      <c r="N208" s="18" t="str">
        <f aca="false">IF(COUNTBLANK(E208:M208)=9,"",IF(COUNTIF(E208:M208,"Fail")&gt;0,"Fail",IF(COUNTBLANK(E208:M208)&gt;0,"Incomplete","Pass")))</f>
        <v/>
      </c>
      <c r="O208" s="18" t="str">
        <f aca="true">IF(N208="","Not Yet Inspected",IF(N208="Fail","Fail",IF(D208="","",IF(D208&lt;TODAY(),"Overdue",IF(D208&lt;=TODAY()+30,"Due (within 30 days)","Pass")))))</f>
        <v>Not Yet Inspected</v>
      </c>
      <c r="P208" s="18"/>
      <c r="Q208" s="18"/>
      <c r="R208" s="19"/>
    </row>
    <row r="209" customFormat="false" ht="15.75" hidden="false" customHeight="true" outlineLevel="0" collapsed="false">
      <c r="A209" s="18"/>
      <c r="B209" s="18"/>
      <c r="C209" s="19"/>
      <c r="D209" s="19" t="str">
        <f aca="false">IF(C209="","",DATE(YEAR(C209)+1,MONTH(C209),DAY(C209)))</f>
        <v/>
      </c>
      <c r="E209" s="20"/>
      <c r="F209" s="20"/>
      <c r="G209" s="20"/>
      <c r="H209" s="20"/>
      <c r="I209" s="20"/>
      <c r="J209" s="20"/>
      <c r="K209" s="20"/>
      <c r="L209" s="20"/>
      <c r="M209" s="20"/>
      <c r="N209" s="18" t="str">
        <f aca="false">IF(COUNTBLANK(E209:M209)=9,"",IF(COUNTIF(E209:M209,"Fail")&gt;0,"Fail",IF(COUNTBLANK(E209:M209)&gt;0,"Incomplete","Pass")))</f>
        <v/>
      </c>
      <c r="O209" s="18" t="str">
        <f aca="true">IF(N209="","Not Yet Inspected",IF(N209="Fail","Fail",IF(D209="","",IF(D209&lt;TODAY(),"Overdue",IF(D209&lt;=TODAY()+30,"Due (within 30 days)","Pass")))))</f>
        <v>Not Yet Inspected</v>
      </c>
      <c r="P209" s="18"/>
      <c r="Q209" s="18"/>
      <c r="R209" s="19"/>
    </row>
    <row r="210" customFormat="false" ht="15.75" hidden="false" customHeight="true" outlineLevel="0" collapsed="false">
      <c r="A210" s="18"/>
      <c r="B210" s="18"/>
      <c r="C210" s="19"/>
      <c r="D210" s="19" t="str">
        <f aca="false">IF(C210="","",DATE(YEAR(C210)+1,MONTH(C210),DAY(C210)))</f>
        <v/>
      </c>
      <c r="E210" s="20"/>
      <c r="F210" s="20"/>
      <c r="G210" s="20"/>
      <c r="H210" s="20"/>
      <c r="I210" s="20"/>
      <c r="J210" s="20"/>
      <c r="K210" s="20"/>
      <c r="L210" s="20"/>
      <c r="M210" s="20"/>
      <c r="N210" s="18" t="str">
        <f aca="false">IF(COUNTBLANK(E210:M210)=9,"",IF(COUNTIF(E210:M210,"Fail")&gt;0,"Fail",IF(COUNTBLANK(E210:M210)&gt;0,"Incomplete","Pass")))</f>
        <v/>
      </c>
      <c r="O210" s="18" t="str">
        <f aca="true">IF(N210="","Not Yet Inspected",IF(N210="Fail","Fail",IF(D210="","",IF(D210&lt;TODAY(),"Overdue",IF(D210&lt;=TODAY()+30,"Due (within 30 days)","Pass")))))</f>
        <v>Not Yet Inspected</v>
      </c>
      <c r="P210" s="18"/>
      <c r="Q210" s="18"/>
      <c r="R210" s="19"/>
    </row>
    <row r="211" customFormat="false" ht="15.75" hidden="false" customHeight="true" outlineLevel="0" collapsed="false">
      <c r="A211" s="18"/>
      <c r="B211" s="18"/>
      <c r="C211" s="19"/>
      <c r="D211" s="19" t="str">
        <f aca="false">IF(C211="","",DATE(YEAR(C211)+1,MONTH(C211),DAY(C211)))</f>
        <v/>
      </c>
      <c r="E211" s="20"/>
      <c r="F211" s="20"/>
      <c r="G211" s="20"/>
      <c r="H211" s="20"/>
      <c r="I211" s="20"/>
      <c r="J211" s="20"/>
      <c r="K211" s="20"/>
      <c r="L211" s="20"/>
      <c r="M211" s="20"/>
      <c r="N211" s="18" t="str">
        <f aca="false">IF(COUNTBLANK(E211:M211)=9,"",IF(COUNTIF(E211:M211,"Fail")&gt;0,"Fail",IF(COUNTBLANK(E211:M211)&gt;0,"Incomplete","Pass")))</f>
        <v/>
      </c>
      <c r="O211" s="18" t="str">
        <f aca="true">IF(N211="","Not Yet Inspected",IF(N211="Fail","Fail",IF(D211="","",IF(D211&lt;TODAY(),"Overdue",IF(D211&lt;=TODAY()+30,"Due (within 30 days)","Pass")))))</f>
        <v>Not Yet Inspected</v>
      </c>
      <c r="P211" s="18"/>
      <c r="Q211" s="18"/>
      <c r="R211" s="19"/>
    </row>
    <row r="212" customFormat="false" ht="15.75" hidden="false" customHeight="true" outlineLevel="0" collapsed="false">
      <c r="A212" s="18"/>
      <c r="B212" s="18"/>
      <c r="C212" s="19"/>
      <c r="D212" s="19" t="str">
        <f aca="false">IF(C212="","",DATE(YEAR(C212)+1,MONTH(C212),DAY(C212)))</f>
        <v/>
      </c>
      <c r="E212" s="20"/>
      <c r="F212" s="20"/>
      <c r="G212" s="20"/>
      <c r="H212" s="20"/>
      <c r="I212" s="20"/>
      <c r="J212" s="20"/>
      <c r="K212" s="20"/>
      <c r="L212" s="20"/>
      <c r="M212" s="20"/>
      <c r="N212" s="18" t="str">
        <f aca="false">IF(COUNTBLANK(E212:M212)=9,"",IF(COUNTIF(E212:M212,"Fail")&gt;0,"Fail",IF(COUNTBLANK(E212:M212)&gt;0,"Incomplete","Pass")))</f>
        <v/>
      </c>
      <c r="O212" s="18" t="str">
        <f aca="true">IF(N212="","Not Yet Inspected",IF(N212="Fail","Fail",IF(D212="","",IF(D212&lt;TODAY(),"Overdue",IF(D212&lt;=TODAY()+30,"Due (within 30 days)","Pass")))))</f>
        <v>Not Yet Inspected</v>
      </c>
      <c r="P212" s="18"/>
      <c r="Q212" s="18"/>
      <c r="R212" s="19"/>
    </row>
    <row r="213" customFormat="false" ht="15.75" hidden="false" customHeight="true" outlineLevel="0" collapsed="false">
      <c r="A213" s="18"/>
      <c r="B213" s="18"/>
      <c r="C213" s="19"/>
      <c r="D213" s="19" t="str">
        <f aca="false">IF(C213="","",DATE(YEAR(C213)+1,MONTH(C213),DAY(C213)))</f>
        <v/>
      </c>
      <c r="E213" s="20"/>
      <c r="F213" s="20"/>
      <c r="G213" s="20"/>
      <c r="H213" s="20"/>
      <c r="I213" s="20"/>
      <c r="J213" s="20"/>
      <c r="K213" s="20"/>
      <c r="L213" s="20"/>
      <c r="M213" s="20"/>
      <c r="N213" s="18" t="str">
        <f aca="false">IF(COUNTBLANK(E213:M213)=9,"",IF(COUNTIF(E213:M213,"Fail")&gt;0,"Fail",IF(COUNTBLANK(E213:M213)&gt;0,"Incomplete","Pass")))</f>
        <v/>
      </c>
      <c r="O213" s="18" t="str">
        <f aca="true">IF(N213="","Not Yet Inspected",IF(N213="Fail","Fail",IF(D213="","",IF(D213&lt;TODAY(),"Overdue",IF(D213&lt;=TODAY()+30,"Due (within 30 days)","Pass")))))</f>
        <v>Not Yet Inspected</v>
      </c>
      <c r="P213" s="18"/>
      <c r="Q213" s="18"/>
      <c r="R213" s="19"/>
    </row>
    <row r="214" customFormat="false" ht="15.75" hidden="false" customHeight="true" outlineLevel="0" collapsed="false">
      <c r="A214" s="18"/>
      <c r="B214" s="18"/>
      <c r="C214" s="19"/>
      <c r="D214" s="19" t="str">
        <f aca="false">IF(C214="","",DATE(YEAR(C214)+1,MONTH(C214),DAY(C214)))</f>
        <v/>
      </c>
      <c r="E214" s="20"/>
      <c r="F214" s="20"/>
      <c r="G214" s="20"/>
      <c r="H214" s="20"/>
      <c r="I214" s="20"/>
      <c r="J214" s="20"/>
      <c r="K214" s="20"/>
      <c r="L214" s="20"/>
      <c r="M214" s="20"/>
      <c r="N214" s="18" t="str">
        <f aca="false">IF(COUNTBLANK(E214:M214)=9,"",IF(COUNTIF(E214:M214,"Fail")&gt;0,"Fail",IF(COUNTBLANK(E214:M214)&gt;0,"Incomplete","Pass")))</f>
        <v/>
      </c>
      <c r="O214" s="18" t="str">
        <f aca="true">IF(N214="","Not Yet Inspected",IF(N214="Fail","Fail",IF(D214="","",IF(D214&lt;TODAY(),"Overdue",IF(D214&lt;=TODAY()+30,"Due (within 30 days)","Pass")))))</f>
        <v>Not Yet Inspected</v>
      </c>
      <c r="P214" s="18"/>
      <c r="Q214" s="18"/>
      <c r="R214" s="19"/>
    </row>
    <row r="215" customFormat="false" ht="15.75" hidden="false" customHeight="true" outlineLevel="0" collapsed="false">
      <c r="A215" s="18"/>
      <c r="B215" s="18"/>
      <c r="C215" s="19"/>
      <c r="D215" s="19" t="str">
        <f aca="false">IF(C215="","",DATE(YEAR(C215)+1,MONTH(C215),DAY(C215)))</f>
        <v/>
      </c>
      <c r="E215" s="20"/>
      <c r="F215" s="20"/>
      <c r="G215" s="20"/>
      <c r="H215" s="20"/>
      <c r="I215" s="20"/>
      <c r="J215" s="20"/>
      <c r="K215" s="20"/>
      <c r="L215" s="20"/>
      <c r="M215" s="20"/>
      <c r="N215" s="18" t="str">
        <f aca="false">IF(COUNTBLANK(E215:M215)=9,"",IF(COUNTIF(E215:M215,"Fail")&gt;0,"Fail",IF(COUNTBLANK(E215:M215)&gt;0,"Incomplete","Pass")))</f>
        <v/>
      </c>
      <c r="O215" s="18" t="str">
        <f aca="true">IF(N215="","Not Yet Inspected",IF(N215="Fail","Fail",IF(D215="","",IF(D215&lt;TODAY(),"Overdue",IF(D215&lt;=TODAY()+30,"Due (within 30 days)","Pass")))))</f>
        <v>Not Yet Inspected</v>
      </c>
      <c r="P215" s="18"/>
      <c r="Q215" s="18"/>
      <c r="R215" s="19"/>
    </row>
    <row r="216" customFormat="false" ht="15.75" hidden="false" customHeight="true" outlineLevel="0" collapsed="false">
      <c r="A216" s="18"/>
      <c r="B216" s="18"/>
      <c r="C216" s="19"/>
      <c r="D216" s="19" t="str">
        <f aca="false">IF(C216="","",DATE(YEAR(C216)+1,MONTH(C216),DAY(C216)))</f>
        <v/>
      </c>
      <c r="E216" s="20"/>
      <c r="F216" s="20"/>
      <c r="G216" s="20"/>
      <c r="H216" s="20"/>
      <c r="I216" s="20"/>
      <c r="J216" s="20"/>
      <c r="K216" s="20"/>
      <c r="L216" s="20"/>
      <c r="M216" s="20"/>
      <c r="N216" s="18" t="str">
        <f aca="false">IF(COUNTBLANK(E216:M216)=9,"",IF(COUNTIF(E216:M216,"Fail")&gt;0,"Fail",IF(COUNTBLANK(E216:M216)&gt;0,"Incomplete","Pass")))</f>
        <v/>
      </c>
      <c r="O216" s="18" t="str">
        <f aca="true">IF(N216="","Not Yet Inspected",IF(N216="Fail","Fail",IF(D216="","",IF(D216&lt;TODAY(),"Overdue",IF(D216&lt;=TODAY()+30,"Due (within 30 days)","Pass")))))</f>
        <v>Not Yet Inspected</v>
      </c>
      <c r="P216" s="18"/>
      <c r="Q216" s="18"/>
      <c r="R216" s="19"/>
    </row>
    <row r="217" customFormat="false" ht="15.75" hidden="false" customHeight="true" outlineLevel="0" collapsed="false">
      <c r="A217" s="18"/>
      <c r="B217" s="18"/>
      <c r="C217" s="19"/>
      <c r="D217" s="19" t="str">
        <f aca="false">IF(C217="","",DATE(YEAR(C217)+1,MONTH(C217),DAY(C217)))</f>
        <v/>
      </c>
      <c r="E217" s="20"/>
      <c r="F217" s="20"/>
      <c r="G217" s="20"/>
      <c r="H217" s="20"/>
      <c r="I217" s="20"/>
      <c r="J217" s="20"/>
      <c r="K217" s="20"/>
      <c r="L217" s="20"/>
      <c r="M217" s="20"/>
      <c r="N217" s="18" t="str">
        <f aca="false">IF(COUNTBLANK(E217:M217)=9,"",IF(COUNTIF(E217:M217,"Fail")&gt;0,"Fail",IF(COUNTBLANK(E217:M217)&gt;0,"Incomplete","Pass")))</f>
        <v/>
      </c>
      <c r="O217" s="18" t="str">
        <f aca="true">IF(N217="","Not Yet Inspected",IF(N217="Fail","Fail",IF(D217="","",IF(D217&lt;TODAY(),"Overdue",IF(D217&lt;=TODAY()+30,"Due (within 30 days)","Pass")))))</f>
        <v>Not Yet Inspected</v>
      </c>
      <c r="P217" s="18"/>
      <c r="Q217" s="18"/>
      <c r="R217" s="19"/>
    </row>
    <row r="218" customFormat="false" ht="15.75" hidden="false" customHeight="true" outlineLevel="0" collapsed="false">
      <c r="A218" s="18"/>
      <c r="B218" s="18"/>
      <c r="C218" s="19"/>
      <c r="D218" s="19" t="str">
        <f aca="false">IF(C218="","",DATE(YEAR(C218)+1,MONTH(C218),DAY(C218)))</f>
        <v/>
      </c>
      <c r="E218" s="20"/>
      <c r="F218" s="20"/>
      <c r="G218" s="20"/>
      <c r="H218" s="20"/>
      <c r="I218" s="20"/>
      <c r="J218" s="20"/>
      <c r="K218" s="20"/>
      <c r="L218" s="20"/>
      <c r="M218" s="20"/>
      <c r="N218" s="18" t="str">
        <f aca="false">IF(COUNTBLANK(E218:M218)=9,"",IF(COUNTIF(E218:M218,"Fail")&gt;0,"Fail",IF(COUNTBLANK(E218:M218)&gt;0,"Incomplete","Pass")))</f>
        <v/>
      </c>
      <c r="O218" s="18" t="str">
        <f aca="true">IF(N218="","Not Yet Inspected",IF(N218="Fail","Fail",IF(D218="","",IF(D218&lt;TODAY(),"Overdue",IF(D218&lt;=TODAY()+30,"Due (within 30 days)","Pass")))))</f>
        <v>Not Yet Inspected</v>
      </c>
      <c r="P218" s="18"/>
      <c r="Q218" s="18"/>
      <c r="R218" s="19"/>
    </row>
    <row r="219" customFormat="false" ht="15.75" hidden="false" customHeight="true" outlineLevel="0" collapsed="false">
      <c r="A219" s="18"/>
      <c r="B219" s="18"/>
      <c r="C219" s="19"/>
      <c r="D219" s="19" t="str">
        <f aca="false">IF(C219="","",DATE(YEAR(C219)+1,MONTH(C219),DAY(C219)))</f>
        <v/>
      </c>
      <c r="E219" s="20"/>
      <c r="F219" s="20"/>
      <c r="G219" s="20"/>
      <c r="H219" s="20"/>
      <c r="I219" s="20"/>
      <c r="J219" s="20"/>
      <c r="K219" s="20"/>
      <c r="L219" s="20"/>
      <c r="M219" s="20"/>
      <c r="N219" s="18" t="str">
        <f aca="false">IF(COUNTBLANK(E219:M219)=9,"",IF(COUNTIF(E219:M219,"Fail")&gt;0,"Fail",IF(COUNTBLANK(E219:M219)&gt;0,"Incomplete","Pass")))</f>
        <v/>
      </c>
      <c r="O219" s="18" t="str">
        <f aca="true">IF(N219="","Not Yet Inspected",IF(N219="Fail","Fail",IF(D219="","",IF(D219&lt;TODAY(),"Overdue",IF(D219&lt;=TODAY()+30,"Due (within 30 days)","Pass")))))</f>
        <v>Not Yet Inspected</v>
      </c>
      <c r="P219" s="18"/>
      <c r="Q219" s="18"/>
      <c r="R219" s="19"/>
    </row>
    <row r="220" customFormat="false" ht="15.75" hidden="false" customHeight="true" outlineLevel="0" collapsed="false">
      <c r="A220" s="18"/>
      <c r="B220" s="18"/>
      <c r="C220" s="19"/>
      <c r="D220" s="19" t="str">
        <f aca="false">IF(C220="","",DATE(YEAR(C220)+1,MONTH(C220),DAY(C220)))</f>
        <v/>
      </c>
      <c r="E220" s="20"/>
      <c r="F220" s="20"/>
      <c r="G220" s="20"/>
      <c r="H220" s="20"/>
      <c r="I220" s="20"/>
      <c r="J220" s="20"/>
      <c r="K220" s="20"/>
      <c r="L220" s="20"/>
      <c r="M220" s="20"/>
      <c r="N220" s="18" t="str">
        <f aca="false">IF(COUNTBLANK(E220:M220)=9,"",IF(COUNTIF(E220:M220,"Fail")&gt;0,"Fail",IF(COUNTBLANK(E220:M220)&gt;0,"Incomplete","Pass")))</f>
        <v/>
      </c>
      <c r="O220" s="18" t="str">
        <f aca="true">IF(N220="","Not Yet Inspected",IF(N220="Fail","Fail",IF(D220="","",IF(D220&lt;TODAY(),"Overdue",IF(D220&lt;=TODAY()+30,"Due (within 30 days)","Pass")))))</f>
        <v>Not Yet Inspected</v>
      </c>
      <c r="P220" s="18"/>
      <c r="Q220" s="18"/>
      <c r="R220" s="19"/>
    </row>
    <row r="221" customFormat="false" ht="15.75" hidden="false" customHeight="true" outlineLevel="0" collapsed="false">
      <c r="A221" s="18"/>
      <c r="B221" s="18"/>
      <c r="C221" s="19"/>
      <c r="D221" s="19" t="str">
        <f aca="false">IF(C221="","",DATE(YEAR(C221)+1,MONTH(C221),DAY(C221)))</f>
        <v/>
      </c>
      <c r="E221" s="20"/>
      <c r="F221" s="20"/>
      <c r="G221" s="20"/>
      <c r="H221" s="20"/>
      <c r="I221" s="20"/>
      <c r="J221" s="20"/>
      <c r="K221" s="20"/>
      <c r="L221" s="20"/>
      <c r="M221" s="20"/>
      <c r="N221" s="18" t="str">
        <f aca="false">IF(COUNTBLANK(E221:M221)=9,"",IF(COUNTIF(E221:M221,"Fail")&gt;0,"Fail",IF(COUNTBLANK(E221:M221)&gt;0,"Incomplete","Pass")))</f>
        <v/>
      </c>
      <c r="O221" s="18" t="str">
        <f aca="true">IF(N221="","Not Yet Inspected",IF(N221="Fail","Fail",IF(D221="","",IF(D221&lt;TODAY(),"Overdue",IF(D221&lt;=TODAY()+30,"Due (within 30 days)","Pass")))))</f>
        <v>Not Yet Inspected</v>
      </c>
      <c r="P221" s="18"/>
      <c r="Q221" s="18"/>
      <c r="R221" s="19"/>
    </row>
    <row r="222" customFormat="false" ht="15.75" hidden="false" customHeight="true" outlineLevel="0" collapsed="false">
      <c r="A222" s="18"/>
      <c r="B222" s="18"/>
      <c r="C222" s="19"/>
      <c r="D222" s="19" t="str">
        <f aca="false">IF(C222="","",DATE(YEAR(C222)+1,MONTH(C222),DAY(C222)))</f>
        <v/>
      </c>
      <c r="E222" s="20"/>
      <c r="F222" s="20"/>
      <c r="G222" s="20"/>
      <c r="H222" s="20"/>
      <c r="I222" s="20"/>
      <c r="J222" s="20"/>
      <c r="K222" s="20"/>
      <c r="L222" s="20"/>
      <c r="M222" s="20"/>
      <c r="N222" s="18" t="str">
        <f aca="false">IF(COUNTBLANK(E222:M222)=9,"",IF(COUNTIF(E222:M222,"Fail")&gt;0,"Fail",IF(COUNTBLANK(E222:M222)&gt;0,"Incomplete","Pass")))</f>
        <v/>
      </c>
      <c r="O222" s="18" t="str">
        <f aca="true">IF(N222="","Not Yet Inspected",IF(N222="Fail","Fail",IF(D222="","",IF(D222&lt;TODAY(),"Overdue",IF(D222&lt;=TODAY()+30,"Due (within 30 days)","Pass")))))</f>
        <v>Not Yet Inspected</v>
      </c>
      <c r="P222" s="18"/>
      <c r="Q222" s="18"/>
      <c r="R222" s="19"/>
    </row>
    <row r="223" customFormat="false" ht="15.75" hidden="false" customHeight="true" outlineLevel="0" collapsed="false">
      <c r="A223" s="18"/>
      <c r="B223" s="18"/>
      <c r="C223" s="19"/>
      <c r="D223" s="19" t="str">
        <f aca="false">IF(C223="","",DATE(YEAR(C223)+1,MONTH(C223),DAY(C223)))</f>
        <v/>
      </c>
      <c r="E223" s="20"/>
      <c r="F223" s="20"/>
      <c r="G223" s="20"/>
      <c r="H223" s="20"/>
      <c r="I223" s="20"/>
      <c r="J223" s="20"/>
      <c r="K223" s="20"/>
      <c r="L223" s="20"/>
      <c r="M223" s="20"/>
      <c r="N223" s="18" t="str">
        <f aca="false">IF(COUNTBLANK(E223:M223)=9,"",IF(COUNTIF(E223:M223,"Fail")&gt;0,"Fail",IF(COUNTBLANK(E223:M223)&gt;0,"Incomplete","Pass")))</f>
        <v/>
      </c>
      <c r="O223" s="18" t="str">
        <f aca="true">IF(N223="","Not Yet Inspected",IF(N223="Fail","Fail",IF(D223="","",IF(D223&lt;TODAY(),"Overdue",IF(D223&lt;=TODAY()+30,"Due (within 30 days)","Pass")))))</f>
        <v>Not Yet Inspected</v>
      </c>
      <c r="P223" s="18"/>
      <c r="Q223" s="18"/>
      <c r="R223" s="19"/>
    </row>
    <row r="224" customFormat="false" ht="15.75" hidden="false" customHeight="true" outlineLevel="0" collapsed="false">
      <c r="A224" s="18"/>
      <c r="B224" s="18"/>
      <c r="C224" s="19"/>
      <c r="D224" s="19" t="str">
        <f aca="false">IF(C224="","",DATE(YEAR(C224)+1,MONTH(C224),DAY(C224)))</f>
        <v/>
      </c>
      <c r="E224" s="20"/>
      <c r="F224" s="20"/>
      <c r="G224" s="20"/>
      <c r="H224" s="20"/>
      <c r="I224" s="20"/>
      <c r="J224" s="20"/>
      <c r="K224" s="20"/>
      <c r="L224" s="20"/>
      <c r="M224" s="20"/>
      <c r="N224" s="18" t="str">
        <f aca="false">IF(COUNTBLANK(E224:M224)=9,"",IF(COUNTIF(E224:M224,"Fail")&gt;0,"Fail",IF(COUNTBLANK(E224:M224)&gt;0,"Incomplete","Pass")))</f>
        <v/>
      </c>
      <c r="O224" s="18" t="str">
        <f aca="true">IF(N224="","Not Yet Inspected",IF(N224="Fail","Fail",IF(D224="","",IF(D224&lt;TODAY(),"Overdue",IF(D224&lt;=TODAY()+30,"Due (within 30 days)","Pass")))))</f>
        <v>Not Yet Inspected</v>
      </c>
      <c r="P224" s="18"/>
      <c r="Q224" s="18"/>
      <c r="R224" s="19"/>
    </row>
    <row r="225" customFormat="false" ht="15.75" hidden="false" customHeight="true" outlineLevel="0" collapsed="false">
      <c r="A225" s="18"/>
      <c r="B225" s="18"/>
      <c r="C225" s="19"/>
      <c r="D225" s="19" t="str">
        <f aca="false">IF(C225="","",DATE(YEAR(C225)+1,MONTH(C225),DAY(C225)))</f>
        <v/>
      </c>
      <c r="E225" s="20"/>
      <c r="F225" s="20"/>
      <c r="G225" s="20"/>
      <c r="H225" s="20"/>
      <c r="I225" s="20"/>
      <c r="J225" s="20"/>
      <c r="K225" s="20"/>
      <c r="L225" s="20"/>
      <c r="M225" s="20"/>
      <c r="N225" s="18" t="str">
        <f aca="false">IF(COUNTBLANK(E225:M225)=9,"",IF(COUNTIF(E225:M225,"Fail")&gt;0,"Fail",IF(COUNTBLANK(E225:M225)&gt;0,"Incomplete","Pass")))</f>
        <v/>
      </c>
      <c r="O225" s="18" t="str">
        <f aca="true">IF(N225="","Not Yet Inspected",IF(N225="Fail","Fail",IF(D225="","",IF(D225&lt;TODAY(),"Overdue",IF(D225&lt;=TODAY()+30,"Due (within 30 days)","Pass")))))</f>
        <v>Not Yet Inspected</v>
      </c>
      <c r="P225" s="18"/>
      <c r="Q225" s="18"/>
      <c r="R225" s="19"/>
    </row>
    <row r="226" customFormat="false" ht="15.75" hidden="false" customHeight="true" outlineLevel="0" collapsed="false">
      <c r="A226" s="18"/>
      <c r="B226" s="18"/>
      <c r="C226" s="19"/>
      <c r="D226" s="19" t="str">
        <f aca="false">IF(C226="","",DATE(YEAR(C226)+1,MONTH(C226),DAY(C226)))</f>
        <v/>
      </c>
      <c r="E226" s="20"/>
      <c r="F226" s="20"/>
      <c r="G226" s="20"/>
      <c r="H226" s="20"/>
      <c r="I226" s="20"/>
      <c r="J226" s="20"/>
      <c r="K226" s="20"/>
      <c r="L226" s="20"/>
      <c r="M226" s="20"/>
      <c r="N226" s="18" t="str">
        <f aca="false">IF(COUNTBLANK(E226:M226)=9,"",IF(COUNTIF(E226:M226,"Fail")&gt;0,"Fail",IF(COUNTBLANK(E226:M226)&gt;0,"Incomplete","Pass")))</f>
        <v/>
      </c>
      <c r="O226" s="18" t="str">
        <f aca="true">IF(N226="","Not Yet Inspected",IF(N226="Fail","Fail",IF(D226="","",IF(D226&lt;TODAY(),"Overdue",IF(D226&lt;=TODAY()+30,"Due (within 30 days)","Pass")))))</f>
        <v>Not Yet Inspected</v>
      </c>
      <c r="P226" s="18"/>
      <c r="Q226" s="18"/>
      <c r="R226" s="19"/>
    </row>
    <row r="227" customFormat="false" ht="15.75" hidden="false" customHeight="true" outlineLevel="0" collapsed="false">
      <c r="A227" s="18"/>
      <c r="B227" s="18"/>
      <c r="C227" s="19"/>
      <c r="D227" s="19" t="str">
        <f aca="false">IF(C227="","",DATE(YEAR(C227)+1,MONTH(C227),DAY(C227)))</f>
        <v/>
      </c>
      <c r="E227" s="20"/>
      <c r="F227" s="20"/>
      <c r="G227" s="20"/>
      <c r="H227" s="20"/>
      <c r="I227" s="20"/>
      <c r="J227" s="20"/>
      <c r="K227" s="20"/>
      <c r="L227" s="20"/>
      <c r="M227" s="20"/>
      <c r="N227" s="18" t="str">
        <f aca="false">IF(COUNTBLANK(E227:M227)=9,"",IF(COUNTIF(E227:M227,"Fail")&gt;0,"Fail",IF(COUNTBLANK(E227:M227)&gt;0,"Incomplete","Pass")))</f>
        <v/>
      </c>
      <c r="O227" s="18" t="str">
        <f aca="true">IF(N227="","Not Yet Inspected",IF(N227="Fail","Fail",IF(D227="","",IF(D227&lt;TODAY(),"Overdue",IF(D227&lt;=TODAY()+30,"Due (within 30 days)","Pass")))))</f>
        <v>Not Yet Inspected</v>
      </c>
      <c r="P227" s="18"/>
      <c r="Q227" s="18"/>
      <c r="R227" s="19"/>
    </row>
    <row r="228" customFormat="false" ht="15.75" hidden="false" customHeight="true" outlineLevel="0" collapsed="false">
      <c r="A228" s="18"/>
      <c r="B228" s="18"/>
      <c r="C228" s="19"/>
      <c r="D228" s="19" t="str">
        <f aca="false">IF(C228="","",DATE(YEAR(C228)+1,MONTH(C228),DAY(C228)))</f>
        <v/>
      </c>
      <c r="E228" s="20"/>
      <c r="F228" s="20"/>
      <c r="G228" s="20"/>
      <c r="H228" s="20"/>
      <c r="I228" s="20"/>
      <c r="J228" s="20"/>
      <c r="K228" s="20"/>
      <c r="L228" s="20"/>
      <c r="M228" s="20"/>
      <c r="N228" s="18" t="str">
        <f aca="false">IF(COUNTBLANK(E228:M228)=9,"",IF(COUNTIF(E228:M228,"Fail")&gt;0,"Fail",IF(COUNTBLANK(E228:M228)&gt;0,"Incomplete","Pass")))</f>
        <v/>
      </c>
      <c r="O228" s="18" t="str">
        <f aca="true">IF(N228="","Not Yet Inspected",IF(N228="Fail","Fail",IF(D228="","",IF(D228&lt;TODAY(),"Overdue",IF(D228&lt;=TODAY()+30,"Due (within 30 days)","Pass")))))</f>
        <v>Not Yet Inspected</v>
      </c>
      <c r="P228" s="18"/>
      <c r="Q228" s="18"/>
      <c r="R228" s="19"/>
    </row>
    <row r="229" customFormat="false" ht="15.75" hidden="false" customHeight="true" outlineLevel="0" collapsed="false">
      <c r="A229" s="18"/>
      <c r="B229" s="18"/>
      <c r="C229" s="19"/>
      <c r="D229" s="19" t="str">
        <f aca="false">IF(C229="","",DATE(YEAR(C229)+1,MONTH(C229),DAY(C229)))</f>
        <v/>
      </c>
      <c r="E229" s="20"/>
      <c r="F229" s="20"/>
      <c r="G229" s="20"/>
      <c r="H229" s="20"/>
      <c r="I229" s="20"/>
      <c r="J229" s="20"/>
      <c r="K229" s="20"/>
      <c r="L229" s="20"/>
      <c r="M229" s="20"/>
      <c r="N229" s="18" t="str">
        <f aca="false">IF(COUNTBLANK(E229:M229)=9,"",IF(COUNTIF(E229:M229,"Fail")&gt;0,"Fail",IF(COUNTBLANK(E229:M229)&gt;0,"Incomplete","Pass")))</f>
        <v/>
      </c>
      <c r="O229" s="18" t="str">
        <f aca="true">IF(N229="","Not Yet Inspected",IF(N229="Fail","Fail",IF(D229="","",IF(D229&lt;TODAY(),"Overdue",IF(D229&lt;=TODAY()+30,"Due (within 30 days)","Pass")))))</f>
        <v>Not Yet Inspected</v>
      </c>
      <c r="P229" s="18"/>
      <c r="Q229" s="18"/>
      <c r="R229" s="19"/>
    </row>
    <row r="230" customFormat="false" ht="15.75" hidden="false" customHeight="true" outlineLevel="0" collapsed="false">
      <c r="A230" s="18"/>
      <c r="B230" s="18"/>
      <c r="C230" s="19"/>
      <c r="D230" s="19" t="str">
        <f aca="false">IF(C230="","",DATE(YEAR(C230)+1,MONTH(C230),DAY(C230)))</f>
        <v/>
      </c>
      <c r="E230" s="20"/>
      <c r="F230" s="20"/>
      <c r="G230" s="20"/>
      <c r="H230" s="20"/>
      <c r="I230" s="20"/>
      <c r="J230" s="20"/>
      <c r="K230" s="20"/>
      <c r="L230" s="20"/>
      <c r="M230" s="20"/>
      <c r="N230" s="18" t="str">
        <f aca="false">IF(COUNTBLANK(E230:M230)=9,"",IF(COUNTIF(E230:M230,"Fail")&gt;0,"Fail",IF(COUNTBLANK(E230:M230)&gt;0,"Incomplete","Pass")))</f>
        <v/>
      </c>
      <c r="O230" s="18" t="str">
        <f aca="true">IF(N230="","Not Yet Inspected",IF(N230="Fail","Fail",IF(D230="","",IF(D230&lt;TODAY(),"Overdue",IF(D230&lt;=TODAY()+30,"Due (within 30 days)","Pass")))))</f>
        <v>Not Yet Inspected</v>
      </c>
      <c r="P230" s="18"/>
      <c r="Q230" s="18"/>
      <c r="R230" s="19"/>
    </row>
    <row r="231" customFormat="false" ht="15.75" hidden="false" customHeight="true" outlineLevel="0" collapsed="false">
      <c r="A231" s="18"/>
      <c r="B231" s="18"/>
      <c r="C231" s="19"/>
      <c r="D231" s="19" t="str">
        <f aca="false">IF(C231="","",DATE(YEAR(C231)+1,MONTH(C231),DAY(C231)))</f>
        <v/>
      </c>
      <c r="E231" s="20"/>
      <c r="F231" s="20"/>
      <c r="G231" s="20"/>
      <c r="H231" s="20"/>
      <c r="I231" s="20"/>
      <c r="J231" s="20"/>
      <c r="K231" s="20"/>
      <c r="L231" s="20"/>
      <c r="M231" s="20"/>
      <c r="N231" s="18" t="str">
        <f aca="false">IF(COUNTBLANK(E231:M231)=9,"",IF(COUNTIF(E231:M231,"Fail")&gt;0,"Fail",IF(COUNTBLANK(E231:M231)&gt;0,"Incomplete","Pass")))</f>
        <v/>
      </c>
      <c r="O231" s="18" t="str">
        <f aca="true">IF(N231="","Not Yet Inspected",IF(N231="Fail","Fail",IF(D231="","",IF(D231&lt;TODAY(),"Overdue",IF(D231&lt;=TODAY()+30,"Due (within 30 days)","Pass")))))</f>
        <v>Not Yet Inspected</v>
      </c>
      <c r="P231" s="18"/>
      <c r="Q231" s="18"/>
      <c r="R231" s="19"/>
    </row>
    <row r="232" customFormat="false" ht="15.75" hidden="false" customHeight="true" outlineLevel="0" collapsed="false">
      <c r="A232" s="18"/>
      <c r="B232" s="18"/>
      <c r="C232" s="19"/>
      <c r="D232" s="19" t="str">
        <f aca="false">IF(C232="","",DATE(YEAR(C232)+1,MONTH(C232),DAY(C232)))</f>
        <v/>
      </c>
      <c r="E232" s="20"/>
      <c r="F232" s="20"/>
      <c r="G232" s="20"/>
      <c r="H232" s="20"/>
      <c r="I232" s="20"/>
      <c r="J232" s="20"/>
      <c r="K232" s="20"/>
      <c r="L232" s="20"/>
      <c r="M232" s="20"/>
      <c r="N232" s="18" t="str">
        <f aca="false">IF(COUNTBLANK(E232:M232)=9,"",IF(COUNTIF(E232:M232,"Fail")&gt;0,"Fail",IF(COUNTBLANK(E232:M232)&gt;0,"Incomplete","Pass")))</f>
        <v/>
      </c>
      <c r="O232" s="18" t="str">
        <f aca="true">IF(N232="","Not Yet Inspected",IF(N232="Fail","Fail",IF(D232="","",IF(D232&lt;TODAY(),"Overdue",IF(D232&lt;=TODAY()+30,"Due (within 30 days)","Pass")))))</f>
        <v>Not Yet Inspected</v>
      </c>
      <c r="P232" s="18"/>
      <c r="Q232" s="18"/>
      <c r="R232" s="19"/>
    </row>
    <row r="233" customFormat="false" ht="15.75" hidden="false" customHeight="true" outlineLevel="0" collapsed="false">
      <c r="A233" s="18"/>
      <c r="B233" s="18"/>
      <c r="C233" s="19"/>
      <c r="D233" s="19" t="str">
        <f aca="false">IF(C233="","",DATE(YEAR(C233)+1,MONTH(C233),DAY(C233)))</f>
        <v/>
      </c>
      <c r="E233" s="20"/>
      <c r="F233" s="20"/>
      <c r="G233" s="20"/>
      <c r="H233" s="20"/>
      <c r="I233" s="20"/>
      <c r="J233" s="20"/>
      <c r="K233" s="20"/>
      <c r="L233" s="20"/>
      <c r="M233" s="20"/>
      <c r="N233" s="18" t="str">
        <f aca="false">IF(COUNTBLANK(E233:M233)=9,"",IF(COUNTIF(E233:M233,"Fail")&gt;0,"Fail",IF(COUNTBLANK(E233:M233)&gt;0,"Incomplete","Pass")))</f>
        <v/>
      </c>
      <c r="O233" s="18" t="str">
        <f aca="true">IF(N233="","Not Yet Inspected",IF(N233="Fail","Fail",IF(D233="","",IF(D233&lt;TODAY(),"Overdue",IF(D233&lt;=TODAY()+30,"Due (within 30 days)","Pass")))))</f>
        <v>Not Yet Inspected</v>
      </c>
      <c r="P233" s="18"/>
      <c r="Q233" s="18"/>
      <c r="R233" s="19"/>
    </row>
    <row r="234" customFormat="false" ht="15.75" hidden="false" customHeight="true" outlineLevel="0" collapsed="false">
      <c r="A234" s="18"/>
      <c r="B234" s="18"/>
      <c r="C234" s="19"/>
      <c r="D234" s="19" t="str">
        <f aca="false">IF(C234="","",DATE(YEAR(C234)+1,MONTH(C234),DAY(C234)))</f>
        <v/>
      </c>
      <c r="E234" s="20"/>
      <c r="F234" s="20"/>
      <c r="G234" s="20"/>
      <c r="H234" s="20"/>
      <c r="I234" s="20"/>
      <c r="J234" s="20"/>
      <c r="K234" s="20"/>
      <c r="L234" s="20"/>
      <c r="M234" s="20"/>
      <c r="N234" s="18" t="str">
        <f aca="false">IF(COUNTBLANK(E234:M234)=9,"",IF(COUNTIF(E234:M234,"Fail")&gt;0,"Fail",IF(COUNTBLANK(E234:M234)&gt;0,"Incomplete","Pass")))</f>
        <v/>
      </c>
      <c r="O234" s="18" t="str">
        <f aca="true">IF(N234="","Not Yet Inspected",IF(N234="Fail","Fail",IF(D234="","",IF(D234&lt;TODAY(),"Overdue",IF(D234&lt;=TODAY()+30,"Due (within 30 days)","Pass")))))</f>
        <v>Not Yet Inspected</v>
      </c>
      <c r="P234" s="18"/>
      <c r="Q234" s="18"/>
      <c r="R234" s="19"/>
    </row>
    <row r="235" customFormat="false" ht="15.75" hidden="false" customHeight="true" outlineLevel="0" collapsed="false">
      <c r="A235" s="18"/>
      <c r="B235" s="18"/>
      <c r="C235" s="19"/>
      <c r="D235" s="19" t="str">
        <f aca="false">IF(C235="","",DATE(YEAR(C235)+1,MONTH(C235),DAY(C235)))</f>
        <v/>
      </c>
      <c r="E235" s="20"/>
      <c r="F235" s="20"/>
      <c r="G235" s="20"/>
      <c r="H235" s="20"/>
      <c r="I235" s="20"/>
      <c r="J235" s="20"/>
      <c r="K235" s="20"/>
      <c r="L235" s="20"/>
      <c r="M235" s="20"/>
      <c r="N235" s="18" t="str">
        <f aca="false">IF(COUNTBLANK(E235:M235)=9,"",IF(COUNTIF(E235:M235,"Fail")&gt;0,"Fail",IF(COUNTBLANK(E235:M235)&gt;0,"Incomplete","Pass")))</f>
        <v/>
      </c>
      <c r="O235" s="18" t="str">
        <f aca="true">IF(N235="","Not Yet Inspected",IF(N235="Fail","Fail",IF(D235="","",IF(D235&lt;TODAY(),"Overdue",IF(D235&lt;=TODAY()+30,"Due (within 30 days)","Pass")))))</f>
        <v>Not Yet Inspected</v>
      </c>
      <c r="P235" s="18"/>
      <c r="Q235" s="18"/>
      <c r="R235" s="19"/>
    </row>
    <row r="236" customFormat="false" ht="15.75" hidden="false" customHeight="true" outlineLevel="0" collapsed="false">
      <c r="A236" s="18"/>
      <c r="B236" s="18"/>
      <c r="C236" s="19"/>
      <c r="D236" s="19" t="str">
        <f aca="false">IF(C236="","",DATE(YEAR(C236)+1,MONTH(C236),DAY(C236)))</f>
        <v/>
      </c>
      <c r="E236" s="20"/>
      <c r="F236" s="20"/>
      <c r="G236" s="20"/>
      <c r="H236" s="20"/>
      <c r="I236" s="20"/>
      <c r="J236" s="20"/>
      <c r="K236" s="20"/>
      <c r="L236" s="20"/>
      <c r="M236" s="20"/>
      <c r="N236" s="18" t="str">
        <f aca="false">IF(COUNTBLANK(E236:M236)=9,"",IF(COUNTIF(E236:M236,"Fail")&gt;0,"Fail",IF(COUNTBLANK(E236:M236)&gt;0,"Incomplete","Pass")))</f>
        <v/>
      </c>
      <c r="O236" s="18" t="str">
        <f aca="true">IF(N236="","Not Yet Inspected",IF(N236="Fail","Fail",IF(D236="","",IF(D236&lt;TODAY(),"Overdue",IF(D236&lt;=TODAY()+30,"Due (within 30 days)","Pass")))))</f>
        <v>Not Yet Inspected</v>
      </c>
      <c r="P236" s="18"/>
      <c r="Q236" s="18"/>
      <c r="R236" s="19"/>
    </row>
    <row r="237" customFormat="false" ht="15.75" hidden="false" customHeight="true" outlineLevel="0" collapsed="false">
      <c r="A237" s="18"/>
      <c r="B237" s="18"/>
      <c r="C237" s="19"/>
      <c r="D237" s="19" t="str">
        <f aca="false">IF(C237="","",DATE(YEAR(C237)+1,MONTH(C237),DAY(C237)))</f>
        <v/>
      </c>
      <c r="E237" s="20"/>
      <c r="F237" s="20"/>
      <c r="G237" s="20"/>
      <c r="H237" s="20"/>
      <c r="I237" s="20"/>
      <c r="J237" s="20"/>
      <c r="K237" s="20"/>
      <c r="L237" s="20"/>
      <c r="M237" s="20"/>
      <c r="N237" s="18" t="str">
        <f aca="false">IF(COUNTBLANK(E237:M237)=9,"",IF(COUNTIF(E237:M237,"Fail")&gt;0,"Fail",IF(COUNTBLANK(E237:M237)&gt;0,"Incomplete","Pass")))</f>
        <v/>
      </c>
      <c r="O237" s="18" t="str">
        <f aca="true">IF(N237="","Not Yet Inspected",IF(N237="Fail","Fail",IF(D237="","",IF(D237&lt;TODAY(),"Overdue",IF(D237&lt;=TODAY()+30,"Due (within 30 days)","Pass")))))</f>
        <v>Not Yet Inspected</v>
      </c>
      <c r="P237" s="18"/>
      <c r="Q237" s="18"/>
      <c r="R237" s="19"/>
    </row>
    <row r="238" customFormat="false" ht="15.75" hidden="false" customHeight="true" outlineLevel="0" collapsed="false">
      <c r="A238" s="18"/>
      <c r="B238" s="18"/>
      <c r="C238" s="19"/>
      <c r="D238" s="19" t="str">
        <f aca="false">IF(C238="","",DATE(YEAR(C238)+1,MONTH(C238),DAY(C238)))</f>
        <v/>
      </c>
      <c r="E238" s="20"/>
      <c r="F238" s="20"/>
      <c r="G238" s="20"/>
      <c r="H238" s="20"/>
      <c r="I238" s="20"/>
      <c r="J238" s="20"/>
      <c r="K238" s="20"/>
      <c r="L238" s="20"/>
      <c r="M238" s="20"/>
      <c r="N238" s="18" t="str">
        <f aca="false">IF(COUNTBLANK(E238:M238)=9,"",IF(COUNTIF(E238:M238,"Fail")&gt;0,"Fail",IF(COUNTBLANK(E238:M238)&gt;0,"Incomplete","Pass")))</f>
        <v/>
      </c>
      <c r="O238" s="18" t="str">
        <f aca="true">IF(N238="","Not Yet Inspected",IF(N238="Fail","Fail",IF(D238="","",IF(D238&lt;TODAY(),"Overdue",IF(D238&lt;=TODAY()+30,"Due (within 30 days)","Pass")))))</f>
        <v>Not Yet Inspected</v>
      </c>
      <c r="P238" s="18"/>
      <c r="Q238" s="18"/>
      <c r="R238" s="19"/>
    </row>
    <row r="239" customFormat="false" ht="15.75" hidden="false" customHeight="true" outlineLevel="0" collapsed="false">
      <c r="A239" s="18"/>
      <c r="B239" s="18"/>
      <c r="C239" s="19"/>
      <c r="D239" s="19" t="str">
        <f aca="false">IF(C239="","",DATE(YEAR(C239)+1,MONTH(C239),DAY(C239)))</f>
        <v/>
      </c>
      <c r="E239" s="20"/>
      <c r="F239" s="20"/>
      <c r="G239" s="20"/>
      <c r="H239" s="20"/>
      <c r="I239" s="20"/>
      <c r="J239" s="20"/>
      <c r="K239" s="20"/>
      <c r="L239" s="20"/>
      <c r="M239" s="20"/>
      <c r="N239" s="18" t="str">
        <f aca="false">IF(COUNTBLANK(E239:M239)=9,"",IF(COUNTIF(E239:M239,"Fail")&gt;0,"Fail",IF(COUNTBLANK(E239:M239)&gt;0,"Incomplete","Pass")))</f>
        <v/>
      </c>
      <c r="O239" s="18" t="str">
        <f aca="true">IF(N239="","Not Yet Inspected",IF(N239="Fail","Fail",IF(D239="","",IF(D239&lt;TODAY(),"Overdue",IF(D239&lt;=TODAY()+30,"Due (within 30 days)","Pass")))))</f>
        <v>Not Yet Inspected</v>
      </c>
      <c r="P239" s="18"/>
      <c r="Q239" s="18"/>
      <c r="R239" s="19"/>
    </row>
    <row r="240" customFormat="false" ht="15.75" hidden="false" customHeight="true" outlineLevel="0" collapsed="false">
      <c r="A240" s="18"/>
      <c r="B240" s="18"/>
      <c r="C240" s="19"/>
      <c r="D240" s="19" t="str">
        <f aca="false">IF(C240="","",DATE(YEAR(C240)+1,MONTH(C240),DAY(C240)))</f>
        <v/>
      </c>
      <c r="E240" s="20"/>
      <c r="F240" s="20"/>
      <c r="G240" s="20"/>
      <c r="H240" s="20"/>
      <c r="I240" s="20"/>
      <c r="J240" s="20"/>
      <c r="K240" s="20"/>
      <c r="L240" s="20"/>
      <c r="M240" s="20"/>
      <c r="N240" s="18" t="str">
        <f aca="false">IF(COUNTBLANK(E240:M240)=9,"",IF(COUNTIF(E240:M240,"Fail")&gt;0,"Fail",IF(COUNTBLANK(E240:M240)&gt;0,"Incomplete","Pass")))</f>
        <v/>
      </c>
      <c r="O240" s="18" t="str">
        <f aca="true">IF(N240="","Not Yet Inspected",IF(N240="Fail","Fail",IF(D240="","",IF(D240&lt;TODAY(),"Overdue",IF(D240&lt;=TODAY()+30,"Due (within 30 days)","Pass")))))</f>
        <v>Not Yet Inspected</v>
      </c>
      <c r="P240" s="18"/>
      <c r="Q240" s="18"/>
      <c r="R240" s="19"/>
    </row>
    <row r="241" customFormat="false" ht="15.75" hidden="false" customHeight="true" outlineLevel="0" collapsed="false">
      <c r="A241" s="18"/>
      <c r="B241" s="18"/>
      <c r="C241" s="19"/>
      <c r="D241" s="19" t="str">
        <f aca="false">IF(C241="","",DATE(YEAR(C241)+1,MONTH(C241),DAY(C241)))</f>
        <v/>
      </c>
      <c r="E241" s="20"/>
      <c r="F241" s="20"/>
      <c r="G241" s="20"/>
      <c r="H241" s="20"/>
      <c r="I241" s="20"/>
      <c r="J241" s="20"/>
      <c r="K241" s="20"/>
      <c r="L241" s="20"/>
      <c r="M241" s="20"/>
      <c r="N241" s="18" t="str">
        <f aca="false">IF(COUNTBLANK(E241:M241)=9,"",IF(COUNTIF(E241:M241,"Fail")&gt;0,"Fail",IF(COUNTBLANK(E241:M241)&gt;0,"Incomplete","Pass")))</f>
        <v/>
      </c>
      <c r="O241" s="18" t="str">
        <f aca="true">IF(N241="","Not Yet Inspected",IF(N241="Fail","Fail",IF(D241="","",IF(D241&lt;TODAY(),"Overdue",IF(D241&lt;=TODAY()+30,"Due (within 30 days)","Pass")))))</f>
        <v>Not Yet Inspected</v>
      </c>
      <c r="P241" s="18"/>
      <c r="Q241" s="18"/>
      <c r="R241" s="19"/>
    </row>
    <row r="242" customFormat="false" ht="15.75" hidden="false" customHeight="true" outlineLevel="0" collapsed="false">
      <c r="A242" s="18"/>
      <c r="B242" s="18"/>
      <c r="C242" s="19"/>
      <c r="D242" s="19" t="str">
        <f aca="false">IF(C242="","",DATE(YEAR(C242)+1,MONTH(C242),DAY(C242)))</f>
        <v/>
      </c>
      <c r="E242" s="20"/>
      <c r="F242" s="20"/>
      <c r="G242" s="20"/>
      <c r="H242" s="20"/>
      <c r="I242" s="20"/>
      <c r="J242" s="20"/>
      <c r="K242" s="20"/>
      <c r="L242" s="20"/>
      <c r="M242" s="20"/>
      <c r="N242" s="18" t="str">
        <f aca="false">IF(COUNTBLANK(E242:M242)=9,"",IF(COUNTIF(E242:M242,"Fail")&gt;0,"Fail",IF(COUNTBLANK(E242:M242)&gt;0,"Incomplete","Pass")))</f>
        <v/>
      </c>
      <c r="O242" s="18" t="str">
        <f aca="true">IF(N242="","Not Yet Inspected",IF(N242="Fail","Fail",IF(D242="","",IF(D242&lt;TODAY(),"Overdue",IF(D242&lt;=TODAY()+30,"Due (within 30 days)","Pass")))))</f>
        <v>Not Yet Inspected</v>
      </c>
      <c r="P242" s="18"/>
      <c r="Q242" s="18"/>
      <c r="R242" s="19"/>
    </row>
    <row r="243" customFormat="false" ht="15.75" hidden="false" customHeight="true" outlineLevel="0" collapsed="false">
      <c r="A243" s="18"/>
      <c r="B243" s="18"/>
      <c r="C243" s="19"/>
      <c r="D243" s="19" t="str">
        <f aca="false">IF(C243="","",DATE(YEAR(C243)+1,MONTH(C243),DAY(C243)))</f>
        <v/>
      </c>
      <c r="E243" s="20"/>
      <c r="F243" s="20"/>
      <c r="G243" s="20"/>
      <c r="H243" s="20"/>
      <c r="I243" s="20"/>
      <c r="J243" s="20"/>
      <c r="K243" s="20"/>
      <c r="L243" s="20"/>
      <c r="M243" s="20"/>
      <c r="N243" s="18" t="str">
        <f aca="false">IF(COUNTBLANK(E243:M243)=9,"",IF(COUNTIF(E243:M243,"Fail")&gt;0,"Fail",IF(COUNTBLANK(E243:M243)&gt;0,"Incomplete","Pass")))</f>
        <v/>
      </c>
      <c r="O243" s="18" t="str">
        <f aca="true">IF(N243="","Not Yet Inspected",IF(N243="Fail","Fail",IF(D243="","",IF(D243&lt;TODAY(),"Overdue",IF(D243&lt;=TODAY()+30,"Due (within 30 days)","Pass")))))</f>
        <v>Not Yet Inspected</v>
      </c>
      <c r="P243" s="18"/>
      <c r="Q243" s="18"/>
      <c r="R243" s="19"/>
    </row>
    <row r="244" customFormat="false" ht="15.75" hidden="false" customHeight="true" outlineLevel="0" collapsed="false">
      <c r="A244" s="18"/>
      <c r="B244" s="18"/>
      <c r="C244" s="19"/>
      <c r="D244" s="19" t="str">
        <f aca="false">IF(C244="","",DATE(YEAR(C244)+1,MONTH(C244),DAY(C244)))</f>
        <v/>
      </c>
      <c r="E244" s="20"/>
      <c r="F244" s="20"/>
      <c r="G244" s="20"/>
      <c r="H244" s="20"/>
      <c r="I244" s="20"/>
      <c r="J244" s="20"/>
      <c r="K244" s="20"/>
      <c r="L244" s="20"/>
      <c r="M244" s="20"/>
      <c r="N244" s="18" t="str">
        <f aca="false">IF(COUNTBLANK(E244:M244)=9,"",IF(COUNTIF(E244:M244,"Fail")&gt;0,"Fail",IF(COUNTBLANK(E244:M244)&gt;0,"Incomplete","Pass")))</f>
        <v/>
      </c>
      <c r="O244" s="18" t="str">
        <f aca="true">IF(N244="","Not Yet Inspected",IF(N244="Fail","Fail",IF(D244="","",IF(D244&lt;TODAY(),"Overdue",IF(D244&lt;=TODAY()+30,"Due (within 30 days)","Pass")))))</f>
        <v>Not Yet Inspected</v>
      </c>
      <c r="P244" s="18"/>
      <c r="Q244" s="18"/>
      <c r="R244" s="19"/>
    </row>
    <row r="245" customFormat="false" ht="15.75" hidden="false" customHeight="true" outlineLevel="0" collapsed="false">
      <c r="A245" s="18"/>
      <c r="B245" s="18"/>
      <c r="C245" s="19"/>
      <c r="D245" s="19" t="str">
        <f aca="false">IF(C245="","",DATE(YEAR(C245)+1,MONTH(C245),DAY(C245)))</f>
        <v/>
      </c>
      <c r="E245" s="20"/>
      <c r="F245" s="20"/>
      <c r="G245" s="20"/>
      <c r="H245" s="20"/>
      <c r="I245" s="20"/>
      <c r="J245" s="20"/>
      <c r="K245" s="20"/>
      <c r="L245" s="20"/>
      <c r="M245" s="20"/>
      <c r="N245" s="18" t="str">
        <f aca="false">IF(COUNTBLANK(E245:M245)=9,"",IF(COUNTIF(E245:M245,"Fail")&gt;0,"Fail",IF(COUNTBLANK(E245:M245)&gt;0,"Incomplete","Pass")))</f>
        <v/>
      </c>
      <c r="O245" s="18" t="str">
        <f aca="true">IF(N245="","Not Yet Inspected",IF(N245="Fail","Fail",IF(D245="","",IF(D245&lt;TODAY(),"Overdue",IF(D245&lt;=TODAY()+30,"Due (within 30 days)","Pass")))))</f>
        <v>Not Yet Inspected</v>
      </c>
      <c r="P245" s="18"/>
      <c r="Q245" s="18"/>
      <c r="R245" s="19"/>
    </row>
    <row r="246" customFormat="false" ht="15.75" hidden="false" customHeight="true" outlineLevel="0" collapsed="false">
      <c r="A246" s="18"/>
      <c r="B246" s="18"/>
      <c r="C246" s="19"/>
      <c r="D246" s="19" t="str">
        <f aca="false">IF(C246="","",DATE(YEAR(C246)+1,MONTH(C246),DAY(C246)))</f>
        <v/>
      </c>
      <c r="E246" s="20"/>
      <c r="F246" s="20"/>
      <c r="G246" s="20"/>
      <c r="H246" s="20"/>
      <c r="I246" s="20"/>
      <c r="J246" s="20"/>
      <c r="K246" s="20"/>
      <c r="L246" s="20"/>
      <c r="M246" s="20"/>
      <c r="N246" s="18" t="str">
        <f aca="false">IF(COUNTBLANK(E246:M246)=9,"",IF(COUNTIF(E246:M246,"Fail")&gt;0,"Fail",IF(COUNTBLANK(E246:M246)&gt;0,"Incomplete","Pass")))</f>
        <v/>
      </c>
      <c r="O246" s="18" t="str">
        <f aca="true">IF(N246="","Not Yet Inspected",IF(N246="Fail","Fail",IF(D246="","",IF(D246&lt;TODAY(),"Overdue",IF(D246&lt;=TODAY()+30,"Due (within 30 days)","Pass")))))</f>
        <v>Not Yet Inspected</v>
      </c>
      <c r="P246" s="18"/>
      <c r="Q246" s="18"/>
      <c r="R246" s="19"/>
    </row>
    <row r="247" customFormat="false" ht="15.75" hidden="false" customHeight="true" outlineLevel="0" collapsed="false">
      <c r="A247" s="18"/>
      <c r="B247" s="18"/>
      <c r="C247" s="19"/>
      <c r="D247" s="19" t="str">
        <f aca="false">IF(C247="","",DATE(YEAR(C247)+1,MONTH(C247),DAY(C247)))</f>
        <v/>
      </c>
      <c r="E247" s="20"/>
      <c r="F247" s="20"/>
      <c r="G247" s="20"/>
      <c r="H247" s="20"/>
      <c r="I247" s="20"/>
      <c r="J247" s="20"/>
      <c r="K247" s="20"/>
      <c r="L247" s="20"/>
      <c r="M247" s="20"/>
      <c r="N247" s="18" t="str">
        <f aca="false">IF(COUNTBLANK(E247:M247)=9,"",IF(COUNTIF(E247:M247,"Fail")&gt;0,"Fail",IF(COUNTBLANK(E247:M247)&gt;0,"Incomplete","Pass")))</f>
        <v/>
      </c>
      <c r="O247" s="18" t="str">
        <f aca="true">IF(N247="","Not Yet Inspected",IF(N247="Fail","Fail",IF(D247="","",IF(D247&lt;TODAY(),"Overdue",IF(D247&lt;=TODAY()+30,"Due (within 30 days)","Pass")))))</f>
        <v>Not Yet Inspected</v>
      </c>
      <c r="P247" s="18"/>
      <c r="Q247" s="18"/>
      <c r="R247" s="19"/>
    </row>
    <row r="248" customFormat="false" ht="15.75" hidden="false" customHeight="true" outlineLevel="0" collapsed="false">
      <c r="A248" s="18"/>
      <c r="B248" s="18"/>
      <c r="C248" s="19"/>
      <c r="D248" s="19" t="str">
        <f aca="false">IF(C248="","",DATE(YEAR(C248)+1,MONTH(C248),DAY(C248)))</f>
        <v/>
      </c>
      <c r="E248" s="20"/>
      <c r="F248" s="20"/>
      <c r="G248" s="20"/>
      <c r="H248" s="20"/>
      <c r="I248" s="20"/>
      <c r="J248" s="20"/>
      <c r="K248" s="20"/>
      <c r="L248" s="20"/>
      <c r="M248" s="20"/>
      <c r="N248" s="18" t="str">
        <f aca="false">IF(COUNTBLANK(E248:M248)=9,"",IF(COUNTIF(E248:M248,"Fail")&gt;0,"Fail",IF(COUNTBLANK(E248:M248)&gt;0,"Incomplete","Pass")))</f>
        <v/>
      </c>
      <c r="O248" s="18" t="str">
        <f aca="true">IF(N248="","Not Yet Inspected",IF(N248="Fail","Fail",IF(D248="","",IF(D248&lt;TODAY(),"Overdue",IF(D248&lt;=TODAY()+30,"Due (within 30 days)","Pass")))))</f>
        <v>Not Yet Inspected</v>
      </c>
      <c r="P248" s="18"/>
      <c r="Q248" s="18"/>
      <c r="R248" s="19"/>
    </row>
    <row r="249" customFormat="false" ht="15.75" hidden="false" customHeight="true" outlineLevel="0" collapsed="false">
      <c r="A249" s="18"/>
      <c r="B249" s="18"/>
      <c r="C249" s="19"/>
      <c r="D249" s="19" t="str">
        <f aca="false">IF(C249="","",DATE(YEAR(C249)+1,MONTH(C249),DAY(C249)))</f>
        <v/>
      </c>
      <c r="E249" s="20"/>
      <c r="F249" s="20"/>
      <c r="G249" s="20"/>
      <c r="H249" s="20"/>
      <c r="I249" s="20"/>
      <c r="J249" s="20"/>
      <c r="K249" s="20"/>
      <c r="L249" s="20"/>
      <c r="M249" s="20"/>
      <c r="N249" s="18" t="str">
        <f aca="false">IF(COUNTBLANK(E249:M249)=9,"",IF(COUNTIF(E249:M249,"Fail")&gt;0,"Fail",IF(COUNTBLANK(E249:M249)&gt;0,"Incomplete","Pass")))</f>
        <v/>
      </c>
      <c r="O249" s="18" t="str">
        <f aca="true">IF(N249="","Not Yet Inspected",IF(N249="Fail","Fail",IF(D249="","",IF(D249&lt;TODAY(),"Overdue",IF(D249&lt;=TODAY()+30,"Due (within 30 days)","Pass")))))</f>
        <v>Not Yet Inspected</v>
      </c>
      <c r="P249" s="18"/>
      <c r="Q249" s="18"/>
      <c r="R249" s="19"/>
    </row>
    <row r="250" customFormat="false" ht="15.75" hidden="false" customHeight="true" outlineLevel="0" collapsed="false">
      <c r="A250" s="18"/>
      <c r="B250" s="18"/>
      <c r="C250" s="19"/>
      <c r="D250" s="19" t="str">
        <f aca="false">IF(C250="","",DATE(YEAR(C250)+1,MONTH(C250),DAY(C250)))</f>
        <v/>
      </c>
      <c r="E250" s="20"/>
      <c r="F250" s="20"/>
      <c r="G250" s="20"/>
      <c r="H250" s="20"/>
      <c r="I250" s="20"/>
      <c r="J250" s="20"/>
      <c r="K250" s="20"/>
      <c r="L250" s="20"/>
      <c r="M250" s="20"/>
      <c r="N250" s="18" t="str">
        <f aca="false">IF(COUNTBLANK(E250:M250)=9,"",IF(COUNTIF(E250:M250,"Fail")&gt;0,"Fail",IF(COUNTBLANK(E250:M250)&gt;0,"Incomplete","Pass")))</f>
        <v/>
      </c>
      <c r="O250" s="18" t="str">
        <f aca="true">IF(N250="","Not Yet Inspected",IF(N250="Fail","Fail",IF(D250="","",IF(D250&lt;TODAY(),"Overdue",IF(D250&lt;=TODAY()+30,"Due (within 30 days)","Pass")))))</f>
        <v>Not Yet Inspected</v>
      </c>
      <c r="P250" s="18"/>
      <c r="Q250" s="18"/>
      <c r="R250" s="19"/>
    </row>
    <row r="251" customFormat="false" ht="15.75" hidden="false" customHeight="true" outlineLevel="0" collapsed="false">
      <c r="A251" s="18"/>
      <c r="B251" s="18"/>
      <c r="C251" s="19"/>
      <c r="D251" s="19" t="str">
        <f aca="false">IF(C251="","",DATE(YEAR(C251)+1,MONTH(C251),DAY(C251)))</f>
        <v/>
      </c>
      <c r="E251" s="20"/>
      <c r="F251" s="20"/>
      <c r="G251" s="20"/>
      <c r="H251" s="20"/>
      <c r="I251" s="20"/>
      <c r="J251" s="20"/>
      <c r="K251" s="20"/>
      <c r="L251" s="20"/>
      <c r="M251" s="20"/>
      <c r="N251" s="18" t="str">
        <f aca="false">IF(COUNTBLANK(E251:M251)=9,"",IF(COUNTIF(E251:M251,"Fail")&gt;0,"Fail",IF(COUNTBLANK(E251:M251)&gt;0,"Incomplete","Pass")))</f>
        <v/>
      </c>
      <c r="O251" s="18" t="str">
        <f aca="true">IF(N251="","Not Yet Inspected",IF(N251="Fail","Fail",IF(D251="","",IF(D251&lt;TODAY(),"Overdue",IF(D251&lt;=TODAY()+30,"Due (within 30 days)","Pass")))))</f>
        <v>Not Yet Inspected</v>
      </c>
      <c r="P251" s="18"/>
      <c r="Q251" s="18"/>
      <c r="R251" s="19"/>
    </row>
    <row r="252" customFormat="false" ht="15.75" hidden="false" customHeight="true" outlineLevel="0" collapsed="false">
      <c r="A252" s="18"/>
      <c r="B252" s="18"/>
      <c r="C252" s="19"/>
      <c r="D252" s="19" t="str">
        <f aca="false">IF(C252="","",DATE(YEAR(C252)+1,MONTH(C252),DAY(C252)))</f>
        <v/>
      </c>
      <c r="E252" s="20"/>
      <c r="F252" s="20"/>
      <c r="G252" s="20"/>
      <c r="H252" s="20"/>
      <c r="I252" s="20"/>
      <c r="J252" s="20"/>
      <c r="K252" s="20"/>
      <c r="L252" s="20"/>
      <c r="M252" s="20"/>
      <c r="N252" s="18" t="str">
        <f aca="false">IF(COUNTBLANK(E252:M252)=9,"",IF(COUNTIF(E252:M252,"Fail")&gt;0,"Fail",IF(COUNTBLANK(E252:M252)&gt;0,"Incomplete","Pass")))</f>
        <v/>
      </c>
      <c r="O252" s="18" t="str">
        <f aca="true">IF(N252="","Not Yet Inspected",IF(N252="Fail","Fail",IF(D252="","",IF(D252&lt;TODAY(),"Overdue",IF(D252&lt;=TODAY()+30,"Due (within 30 days)","Pass")))))</f>
        <v>Not Yet Inspected</v>
      </c>
      <c r="P252" s="18"/>
      <c r="Q252" s="18"/>
      <c r="R252" s="19"/>
    </row>
    <row r="253" customFormat="false" ht="15.75" hidden="false" customHeight="true" outlineLevel="0" collapsed="false">
      <c r="A253" s="18"/>
      <c r="B253" s="18"/>
      <c r="C253" s="19"/>
      <c r="D253" s="19" t="str">
        <f aca="false">IF(C253="","",DATE(YEAR(C253)+1,MONTH(C253),DAY(C253)))</f>
        <v/>
      </c>
      <c r="E253" s="20"/>
      <c r="F253" s="20"/>
      <c r="G253" s="20"/>
      <c r="H253" s="20"/>
      <c r="I253" s="20"/>
      <c r="J253" s="20"/>
      <c r="K253" s="20"/>
      <c r="L253" s="20"/>
      <c r="M253" s="20"/>
      <c r="N253" s="18" t="str">
        <f aca="false">IF(COUNTBLANK(E253:M253)=9,"",IF(COUNTIF(E253:M253,"Fail")&gt;0,"Fail",IF(COUNTBLANK(E253:M253)&gt;0,"Incomplete","Pass")))</f>
        <v/>
      </c>
      <c r="O253" s="18" t="str">
        <f aca="true">IF(N253="","Not Yet Inspected",IF(N253="Fail","Fail",IF(D253="","",IF(D253&lt;TODAY(),"Overdue",IF(D253&lt;=TODAY()+30,"Due (within 30 days)","Pass")))))</f>
        <v>Not Yet Inspected</v>
      </c>
      <c r="P253" s="18"/>
      <c r="Q253" s="18"/>
      <c r="R253" s="19"/>
    </row>
    <row r="254" customFormat="false" ht="15.75" hidden="false" customHeight="true" outlineLevel="0" collapsed="false">
      <c r="A254" s="18"/>
      <c r="B254" s="18"/>
      <c r="C254" s="19"/>
      <c r="D254" s="19" t="str">
        <f aca="false">IF(C254="","",DATE(YEAR(C254)+1,MONTH(C254),DAY(C254)))</f>
        <v/>
      </c>
      <c r="E254" s="20"/>
      <c r="F254" s="20"/>
      <c r="G254" s="20"/>
      <c r="H254" s="20"/>
      <c r="I254" s="20"/>
      <c r="J254" s="20"/>
      <c r="K254" s="20"/>
      <c r="L254" s="20"/>
      <c r="M254" s="20"/>
      <c r="N254" s="18" t="str">
        <f aca="false">IF(COUNTBLANK(E254:M254)=9,"",IF(COUNTIF(E254:M254,"Fail")&gt;0,"Fail",IF(COUNTBLANK(E254:M254)&gt;0,"Incomplete","Pass")))</f>
        <v/>
      </c>
      <c r="O254" s="18" t="str">
        <f aca="true">IF(N254="","Not Yet Inspected",IF(N254="Fail","Fail",IF(D254="","",IF(D254&lt;TODAY(),"Overdue",IF(D254&lt;=TODAY()+30,"Due (within 30 days)","Pass")))))</f>
        <v>Not Yet Inspected</v>
      </c>
      <c r="P254" s="18"/>
      <c r="Q254" s="18"/>
      <c r="R254" s="19"/>
    </row>
    <row r="255" customFormat="false" ht="15.75" hidden="false" customHeight="true" outlineLevel="0" collapsed="false">
      <c r="A255" s="18"/>
      <c r="B255" s="18"/>
      <c r="C255" s="19"/>
      <c r="D255" s="19" t="str">
        <f aca="false">IF(C255="","",DATE(YEAR(C255)+1,MONTH(C255),DAY(C255)))</f>
        <v/>
      </c>
      <c r="E255" s="20"/>
      <c r="F255" s="20"/>
      <c r="G255" s="20"/>
      <c r="H255" s="20"/>
      <c r="I255" s="20"/>
      <c r="J255" s="20"/>
      <c r="K255" s="20"/>
      <c r="L255" s="20"/>
      <c r="M255" s="20"/>
      <c r="N255" s="18" t="str">
        <f aca="false">IF(COUNTBLANK(E255:M255)=9,"",IF(COUNTIF(E255:M255,"Fail")&gt;0,"Fail",IF(COUNTBLANK(E255:M255)&gt;0,"Incomplete","Pass")))</f>
        <v/>
      </c>
      <c r="O255" s="18" t="str">
        <f aca="true">IF(N255="","Not Yet Inspected",IF(N255="Fail","Fail",IF(D255="","",IF(D255&lt;TODAY(),"Overdue",IF(D255&lt;=TODAY()+30,"Due (within 30 days)","Pass")))))</f>
        <v>Not Yet Inspected</v>
      </c>
      <c r="P255" s="18"/>
      <c r="Q255" s="18"/>
      <c r="R255" s="19"/>
    </row>
    <row r="256" customFormat="false" ht="15.75" hidden="false" customHeight="true" outlineLevel="0" collapsed="false">
      <c r="A256" s="18"/>
      <c r="B256" s="18"/>
      <c r="C256" s="19"/>
      <c r="D256" s="19" t="str">
        <f aca="false">IF(C256="","",DATE(YEAR(C256)+1,MONTH(C256),DAY(C256)))</f>
        <v/>
      </c>
      <c r="E256" s="20"/>
      <c r="F256" s="20"/>
      <c r="G256" s="20"/>
      <c r="H256" s="20"/>
      <c r="I256" s="20"/>
      <c r="J256" s="20"/>
      <c r="K256" s="20"/>
      <c r="L256" s="20"/>
      <c r="M256" s="20"/>
      <c r="N256" s="18" t="str">
        <f aca="false">IF(COUNTBLANK(E256:M256)=9,"",IF(COUNTIF(E256:M256,"Fail")&gt;0,"Fail",IF(COUNTBLANK(E256:M256)&gt;0,"Incomplete","Pass")))</f>
        <v/>
      </c>
      <c r="O256" s="18" t="str">
        <f aca="true">IF(N256="","Not Yet Inspected",IF(N256="Fail","Fail",IF(D256="","",IF(D256&lt;TODAY(),"Overdue",IF(D256&lt;=TODAY()+30,"Due (within 30 days)","Pass")))))</f>
        <v>Not Yet Inspected</v>
      </c>
      <c r="P256" s="18"/>
      <c r="Q256" s="18"/>
      <c r="R256" s="19"/>
    </row>
    <row r="257" customFormat="false" ht="15.75" hidden="false" customHeight="true" outlineLevel="0" collapsed="false">
      <c r="A257" s="18"/>
      <c r="B257" s="18"/>
      <c r="C257" s="19"/>
      <c r="D257" s="19" t="str">
        <f aca="false">IF(C257="","",DATE(YEAR(C257)+1,MONTH(C257),DAY(C257)))</f>
        <v/>
      </c>
      <c r="E257" s="20"/>
      <c r="F257" s="20"/>
      <c r="G257" s="20"/>
      <c r="H257" s="20"/>
      <c r="I257" s="20"/>
      <c r="J257" s="20"/>
      <c r="K257" s="20"/>
      <c r="L257" s="20"/>
      <c r="M257" s="20"/>
      <c r="N257" s="18" t="str">
        <f aca="false">IF(COUNTBLANK(E257:M257)=9,"",IF(COUNTIF(E257:M257,"Fail")&gt;0,"Fail",IF(COUNTBLANK(E257:M257)&gt;0,"Incomplete","Pass")))</f>
        <v/>
      </c>
      <c r="O257" s="18" t="str">
        <f aca="true">IF(N257="","Not Yet Inspected",IF(N257="Fail","Fail",IF(D257="","",IF(D257&lt;TODAY(),"Overdue",IF(D257&lt;=TODAY()+30,"Due (within 30 days)","Pass")))))</f>
        <v>Not Yet Inspected</v>
      </c>
      <c r="P257" s="18"/>
      <c r="Q257" s="18"/>
      <c r="R257" s="19"/>
    </row>
    <row r="258" customFormat="false" ht="15.75" hidden="false" customHeight="true" outlineLevel="0" collapsed="false">
      <c r="A258" s="18"/>
      <c r="B258" s="18"/>
      <c r="C258" s="19"/>
      <c r="D258" s="19" t="str">
        <f aca="false">IF(C258="","",DATE(YEAR(C258)+1,MONTH(C258),DAY(C258)))</f>
        <v/>
      </c>
      <c r="E258" s="20"/>
      <c r="F258" s="20"/>
      <c r="G258" s="20"/>
      <c r="H258" s="20"/>
      <c r="I258" s="20"/>
      <c r="J258" s="20"/>
      <c r="K258" s="20"/>
      <c r="L258" s="20"/>
      <c r="M258" s="20"/>
      <c r="N258" s="18" t="str">
        <f aca="false">IF(COUNTBLANK(E258:M258)=9,"",IF(COUNTIF(E258:M258,"Fail")&gt;0,"Fail",IF(COUNTBLANK(E258:M258)&gt;0,"Incomplete","Pass")))</f>
        <v/>
      </c>
      <c r="O258" s="18" t="str">
        <f aca="true">IF(N258="","Not Yet Inspected",IF(N258="Fail","Fail",IF(D258="","",IF(D258&lt;TODAY(),"Overdue",IF(D258&lt;=TODAY()+30,"Due (within 30 days)","Pass")))))</f>
        <v>Not Yet Inspected</v>
      </c>
      <c r="P258" s="18"/>
      <c r="Q258" s="18"/>
      <c r="R258" s="19"/>
    </row>
    <row r="259" customFormat="false" ht="15.75" hidden="false" customHeight="true" outlineLevel="0" collapsed="false">
      <c r="A259" s="18"/>
      <c r="B259" s="18"/>
      <c r="C259" s="19"/>
      <c r="D259" s="19" t="str">
        <f aca="false">IF(C259="","",DATE(YEAR(C259)+1,MONTH(C259),DAY(C259)))</f>
        <v/>
      </c>
      <c r="E259" s="20"/>
      <c r="F259" s="20"/>
      <c r="G259" s="20"/>
      <c r="H259" s="20"/>
      <c r="I259" s="20"/>
      <c r="J259" s="20"/>
      <c r="K259" s="20"/>
      <c r="L259" s="20"/>
      <c r="M259" s="20"/>
      <c r="N259" s="18" t="str">
        <f aca="false">IF(COUNTBLANK(E259:M259)=9,"",IF(COUNTIF(E259:M259,"Fail")&gt;0,"Fail",IF(COUNTBLANK(E259:M259)&gt;0,"Incomplete","Pass")))</f>
        <v/>
      </c>
      <c r="O259" s="18" t="str">
        <f aca="true">IF(N259="","Not Yet Inspected",IF(N259="Fail","Fail",IF(D259="","",IF(D259&lt;TODAY(),"Overdue",IF(D259&lt;=TODAY()+30,"Due (within 30 days)","Pass")))))</f>
        <v>Not Yet Inspected</v>
      </c>
      <c r="P259" s="18"/>
      <c r="Q259" s="18"/>
      <c r="R259" s="19"/>
    </row>
    <row r="260" customFormat="false" ht="15.75" hidden="false" customHeight="true" outlineLevel="0" collapsed="false">
      <c r="A260" s="18"/>
      <c r="B260" s="18"/>
      <c r="C260" s="19"/>
      <c r="D260" s="19" t="str">
        <f aca="false">IF(C260="","",DATE(YEAR(C260)+1,MONTH(C260),DAY(C260)))</f>
        <v/>
      </c>
      <c r="E260" s="20"/>
      <c r="F260" s="20"/>
      <c r="G260" s="20"/>
      <c r="H260" s="20"/>
      <c r="I260" s="20"/>
      <c r="J260" s="20"/>
      <c r="K260" s="20"/>
      <c r="L260" s="20"/>
      <c r="M260" s="20"/>
      <c r="N260" s="18" t="str">
        <f aca="false">IF(COUNTBLANK(E260:M260)=9,"",IF(COUNTIF(E260:M260,"Fail")&gt;0,"Fail",IF(COUNTBLANK(E260:M260)&gt;0,"Incomplete","Pass")))</f>
        <v/>
      </c>
      <c r="O260" s="18" t="str">
        <f aca="true">IF(N260="","Not Yet Inspected",IF(N260="Fail","Fail",IF(D260="","",IF(D260&lt;TODAY(),"Overdue",IF(D260&lt;=TODAY()+30,"Due (within 30 days)","Pass")))))</f>
        <v>Not Yet Inspected</v>
      </c>
      <c r="P260" s="18"/>
      <c r="Q260" s="18"/>
      <c r="R260" s="19"/>
    </row>
    <row r="261" customFormat="false" ht="15.75" hidden="false" customHeight="true" outlineLevel="0" collapsed="false">
      <c r="A261" s="18"/>
      <c r="B261" s="18"/>
      <c r="C261" s="19"/>
      <c r="D261" s="19" t="str">
        <f aca="false">IF(C261="","",DATE(YEAR(C261)+1,MONTH(C261),DAY(C261)))</f>
        <v/>
      </c>
      <c r="E261" s="20"/>
      <c r="F261" s="20"/>
      <c r="G261" s="20"/>
      <c r="H261" s="20"/>
      <c r="I261" s="20"/>
      <c r="J261" s="20"/>
      <c r="K261" s="20"/>
      <c r="L261" s="20"/>
      <c r="M261" s="20"/>
      <c r="N261" s="18" t="str">
        <f aca="false">IF(COUNTBLANK(E261:M261)=9,"",IF(COUNTIF(E261:M261,"Fail")&gt;0,"Fail",IF(COUNTBLANK(E261:M261)&gt;0,"Incomplete","Pass")))</f>
        <v/>
      </c>
      <c r="O261" s="18" t="str">
        <f aca="true">IF(N261="","Not Yet Inspected",IF(N261="Fail","Fail",IF(D261="","",IF(D261&lt;TODAY(),"Overdue",IF(D261&lt;=TODAY()+30,"Due (within 30 days)","Pass")))))</f>
        <v>Not Yet Inspected</v>
      </c>
      <c r="P261" s="18"/>
      <c r="Q261" s="18"/>
      <c r="R261" s="19"/>
    </row>
    <row r="262" customFormat="false" ht="15.75" hidden="false" customHeight="true" outlineLevel="0" collapsed="false">
      <c r="A262" s="18"/>
      <c r="B262" s="18"/>
      <c r="C262" s="19"/>
      <c r="D262" s="19" t="str">
        <f aca="false">IF(C262="","",DATE(YEAR(C262)+1,MONTH(C262),DAY(C262)))</f>
        <v/>
      </c>
      <c r="E262" s="20"/>
      <c r="F262" s="20"/>
      <c r="G262" s="20"/>
      <c r="H262" s="20"/>
      <c r="I262" s="20"/>
      <c r="J262" s="20"/>
      <c r="K262" s="20"/>
      <c r="L262" s="20"/>
      <c r="M262" s="20"/>
      <c r="N262" s="18" t="str">
        <f aca="false">IF(COUNTBLANK(E262:M262)=9,"",IF(COUNTIF(E262:M262,"Fail")&gt;0,"Fail",IF(COUNTBLANK(E262:M262)&gt;0,"Incomplete","Pass")))</f>
        <v/>
      </c>
      <c r="O262" s="18" t="str">
        <f aca="true">IF(N262="","Not Yet Inspected",IF(N262="Fail","Fail",IF(D262="","",IF(D262&lt;TODAY(),"Overdue",IF(D262&lt;=TODAY()+30,"Due (within 30 days)","Pass")))))</f>
        <v>Not Yet Inspected</v>
      </c>
      <c r="P262" s="18"/>
      <c r="Q262" s="18"/>
      <c r="R262" s="19"/>
    </row>
    <row r="263" customFormat="false" ht="15.75" hidden="false" customHeight="true" outlineLevel="0" collapsed="false">
      <c r="A263" s="18"/>
      <c r="B263" s="18"/>
      <c r="C263" s="19"/>
      <c r="D263" s="19" t="str">
        <f aca="false">IF(C263="","",DATE(YEAR(C263)+1,MONTH(C263),DAY(C263)))</f>
        <v/>
      </c>
      <c r="E263" s="20"/>
      <c r="F263" s="20"/>
      <c r="G263" s="20"/>
      <c r="H263" s="20"/>
      <c r="I263" s="20"/>
      <c r="J263" s="20"/>
      <c r="K263" s="20"/>
      <c r="L263" s="20"/>
      <c r="M263" s="20"/>
      <c r="N263" s="18" t="str">
        <f aca="false">IF(COUNTBLANK(E263:M263)=9,"",IF(COUNTIF(E263:M263,"Fail")&gt;0,"Fail",IF(COUNTBLANK(E263:M263)&gt;0,"Incomplete","Pass")))</f>
        <v/>
      </c>
      <c r="O263" s="18" t="str">
        <f aca="true">IF(N263="","Not Yet Inspected",IF(N263="Fail","Fail",IF(D263="","",IF(D263&lt;TODAY(),"Overdue",IF(D263&lt;=TODAY()+30,"Due (within 30 days)","Pass")))))</f>
        <v>Not Yet Inspected</v>
      </c>
      <c r="P263" s="18"/>
      <c r="Q263" s="18"/>
      <c r="R263" s="19"/>
    </row>
    <row r="264" customFormat="false" ht="15.75" hidden="false" customHeight="true" outlineLevel="0" collapsed="false">
      <c r="A264" s="18"/>
      <c r="B264" s="18"/>
      <c r="C264" s="19"/>
      <c r="D264" s="19" t="str">
        <f aca="false">IF(C264="","",DATE(YEAR(C264)+1,MONTH(C264),DAY(C264)))</f>
        <v/>
      </c>
      <c r="E264" s="20"/>
      <c r="F264" s="20"/>
      <c r="G264" s="20"/>
      <c r="H264" s="20"/>
      <c r="I264" s="20"/>
      <c r="J264" s="20"/>
      <c r="K264" s="20"/>
      <c r="L264" s="20"/>
      <c r="M264" s="20"/>
      <c r="N264" s="18" t="str">
        <f aca="false">IF(COUNTBLANK(E264:M264)=9,"",IF(COUNTIF(E264:M264,"Fail")&gt;0,"Fail",IF(COUNTBLANK(E264:M264)&gt;0,"Incomplete","Pass")))</f>
        <v/>
      </c>
      <c r="O264" s="18" t="str">
        <f aca="true">IF(N264="","Not Yet Inspected",IF(N264="Fail","Fail",IF(D264="","",IF(D264&lt;TODAY(),"Overdue",IF(D264&lt;=TODAY()+30,"Due (within 30 days)","Pass")))))</f>
        <v>Not Yet Inspected</v>
      </c>
      <c r="P264" s="18"/>
      <c r="Q264" s="18"/>
      <c r="R264" s="19"/>
    </row>
    <row r="265" customFormat="false" ht="15.75" hidden="false" customHeight="true" outlineLevel="0" collapsed="false">
      <c r="A265" s="18"/>
      <c r="B265" s="18"/>
      <c r="C265" s="19"/>
      <c r="D265" s="19" t="str">
        <f aca="false">IF(C265="","",DATE(YEAR(C265)+1,MONTH(C265),DAY(C265)))</f>
        <v/>
      </c>
      <c r="E265" s="20"/>
      <c r="F265" s="20"/>
      <c r="G265" s="20"/>
      <c r="H265" s="20"/>
      <c r="I265" s="20"/>
      <c r="J265" s="20"/>
      <c r="K265" s="20"/>
      <c r="L265" s="20"/>
      <c r="M265" s="20"/>
      <c r="N265" s="18" t="str">
        <f aca="false">IF(COUNTBLANK(E265:M265)=9,"",IF(COUNTIF(E265:M265,"Fail")&gt;0,"Fail",IF(COUNTBLANK(E265:M265)&gt;0,"Incomplete","Pass")))</f>
        <v/>
      </c>
      <c r="O265" s="18" t="str">
        <f aca="true">IF(N265="","Not Yet Inspected",IF(N265="Fail","Fail",IF(D265="","",IF(D265&lt;TODAY(),"Overdue",IF(D265&lt;=TODAY()+30,"Due (within 30 days)","Pass")))))</f>
        <v>Not Yet Inspected</v>
      </c>
      <c r="P265" s="18"/>
      <c r="Q265" s="18"/>
      <c r="R265" s="19"/>
    </row>
    <row r="266" customFormat="false" ht="15.75" hidden="false" customHeight="true" outlineLevel="0" collapsed="false">
      <c r="A266" s="18"/>
      <c r="B266" s="18"/>
      <c r="C266" s="19"/>
      <c r="D266" s="19" t="str">
        <f aca="false">IF(C266="","",DATE(YEAR(C266)+1,MONTH(C266),DAY(C266)))</f>
        <v/>
      </c>
      <c r="E266" s="20"/>
      <c r="F266" s="20"/>
      <c r="G266" s="20"/>
      <c r="H266" s="20"/>
      <c r="I266" s="20"/>
      <c r="J266" s="20"/>
      <c r="K266" s="20"/>
      <c r="L266" s="20"/>
      <c r="M266" s="20"/>
      <c r="N266" s="18" t="str">
        <f aca="false">IF(COUNTBLANK(E266:M266)=9,"",IF(COUNTIF(E266:M266,"Fail")&gt;0,"Fail",IF(COUNTBLANK(E266:M266)&gt;0,"Incomplete","Pass")))</f>
        <v/>
      </c>
      <c r="O266" s="18" t="str">
        <f aca="true">IF(N266="","Not Yet Inspected",IF(N266="Fail","Fail",IF(D266="","",IF(D266&lt;TODAY(),"Overdue",IF(D266&lt;=TODAY()+30,"Due (within 30 days)","Pass")))))</f>
        <v>Not Yet Inspected</v>
      </c>
      <c r="P266" s="18"/>
      <c r="Q266" s="18"/>
      <c r="R266" s="19"/>
    </row>
    <row r="267" customFormat="false" ht="15.75" hidden="false" customHeight="true" outlineLevel="0" collapsed="false">
      <c r="A267" s="18"/>
      <c r="B267" s="18"/>
      <c r="C267" s="19"/>
      <c r="D267" s="19" t="str">
        <f aca="false">IF(C267="","",DATE(YEAR(C267)+1,MONTH(C267),DAY(C267)))</f>
        <v/>
      </c>
      <c r="E267" s="20"/>
      <c r="F267" s="20"/>
      <c r="G267" s="20"/>
      <c r="H267" s="20"/>
      <c r="I267" s="20"/>
      <c r="J267" s="20"/>
      <c r="K267" s="20"/>
      <c r="L267" s="20"/>
      <c r="M267" s="20"/>
      <c r="N267" s="18" t="str">
        <f aca="false">IF(COUNTBLANK(E267:M267)=9,"",IF(COUNTIF(E267:M267,"Fail")&gt;0,"Fail",IF(COUNTBLANK(E267:M267)&gt;0,"Incomplete","Pass")))</f>
        <v/>
      </c>
      <c r="O267" s="18" t="str">
        <f aca="true">IF(N267="","Not Yet Inspected",IF(N267="Fail","Fail",IF(D267="","",IF(D267&lt;TODAY(),"Overdue",IF(D267&lt;=TODAY()+30,"Due (within 30 days)","Pass")))))</f>
        <v>Not Yet Inspected</v>
      </c>
      <c r="P267" s="18"/>
      <c r="Q267" s="18"/>
      <c r="R267" s="19"/>
    </row>
    <row r="268" customFormat="false" ht="15.75" hidden="false" customHeight="true" outlineLevel="0" collapsed="false">
      <c r="A268" s="18"/>
      <c r="B268" s="18"/>
      <c r="C268" s="19"/>
      <c r="D268" s="19" t="str">
        <f aca="false">IF(C268="","",DATE(YEAR(C268)+1,MONTH(C268),DAY(C268)))</f>
        <v/>
      </c>
      <c r="E268" s="20"/>
      <c r="F268" s="20"/>
      <c r="G268" s="20"/>
      <c r="H268" s="20"/>
      <c r="I268" s="20"/>
      <c r="J268" s="20"/>
      <c r="K268" s="20"/>
      <c r="L268" s="20"/>
      <c r="M268" s="20"/>
      <c r="N268" s="18" t="str">
        <f aca="false">IF(COUNTBLANK(E268:M268)=9,"",IF(COUNTIF(E268:M268,"Fail")&gt;0,"Fail",IF(COUNTBLANK(E268:M268)&gt;0,"Incomplete","Pass")))</f>
        <v/>
      </c>
      <c r="O268" s="18" t="str">
        <f aca="true">IF(N268="","Not Yet Inspected",IF(N268="Fail","Fail",IF(D268="","",IF(D268&lt;TODAY(),"Overdue",IF(D268&lt;=TODAY()+30,"Due (within 30 days)","Pass")))))</f>
        <v>Not Yet Inspected</v>
      </c>
      <c r="P268" s="18"/>
      <c r="Q268" s="18"/>
      <c r="R268" s="19"/>
    </row>
    <row r="269" customFormat="false" ht="15.75" hidden="false" customHeight="true" outlineLevel="0" collapsed="false">
      <c r="A269" s="18"/>
      <c r="B269" s="18"/>
      <c r="C269" s="19"/>
      <c r="D269" s="19" t="str">
        <f aca="false">IF(C269="","",DATE(YEAR(C269)+1,MONTH(C269),DAY(C269)))</f>
        <v/>
      </c>
      <c r="E269" s="20"/>
      <c r="F269" s="20"/>
      <c r="G269" s="20"/>
      <c r="H269" s="20"/>
      <c r="I269" s="20"/>
      <c r="J269" s="20"/>
      <c r="K269" s="20"/>
      <c r="L269" s="20"/>
      <c r="M269" s="20"/>
      <c r="N269" s="18" t="str">
        <f aca="false">IF(COUNTBLANK(E269:M269)=9,"",IF(COUNTIF(E269:M269,"Fail")&gt;0,"Fail",IF(COUNTBLANK(E269:M269)&gt;0,"Incomplete","Pass")))</f>
        <v/>
      </c>
      <c r="O269" s="18" t="str">
        <f aca="true">IF(N269="","Not Yet Inspected",IF(N269="Fail","Fail",IF(D269="","",IF(D269&lt;TODAY(),"Overdue",IF(D269&lt;=TODAY()+30,"Due (within 30 days)","Pass")))))</f>
        <v>Not Yet Inspected</v>
      </c>
      <c r="P269" s="18"/>
      <c r="Q269" s="18"/>
      <c r="R269" s="19"/>
    </row>
    <row r="270" customFormat="false" ht="15.75" hidden="false" customHeight="true" outlineLevel="0" collapsed="false">
      <c r="A270" s="18"/>
      <c r="B270" s="18"/>
      <c r="C270" s="19"/>
      <c r="D270" s="19" t="str">
        <f aca="false">IF(C270="","",DATE(YEAR(C270)+1,MONTH(C270),DAY(C270)))</f>
        <v/>
      </c>
      <c r="E270" s="20"/>
      <c r="F270" s="20"/>
      <c r="G270" s="20"/>
      <c r="H270" s="20"/>
      <c r="I270" s="20"/>
      <c r="J270" s="20"/>
      <c r="K270" s="20"/>
      <c r="L270" s="20"/>
      <c r="M270" s="20"/>
      <c r="N270" s="18" t="str">
        <f aca="false">IF(COUNTBLANK(E270:M270)=9,"",IF(COUNTIF(E270:M270,"Fail")&gt;0,"Fail",IF(COUNTBLANK(E270:M270)&gt;0,"Incomplete","Pass")))</f>
        <v/>
      </c>
      <c r="O270" s="18" t="str">
        <f aca="true">IF(N270="","Not Yet Inspected",IF(N270="Fail","Fail",IF(D270="","",IF(D270&lt;TODAY(),"Overdue",IF(D270&lt;=TODAY()+30,"Due (within 30 days)","Pass")))))</f>
        <v>Not Yet Inspected</v>
      </c>
      <c r="P270" s="18"/>
      <c r="Q270" s="18"/>
      <c r="R270" s="19"/>
    </row>
    <row r="271" customFormat="false" ht="15.75" hidden="false" customHeight="true" outlineLevel="0" collapsed="false">
      <c r="A271" s="18"/>
      <c r="B271" s="18"/>
      <c r="C271" s="19"/>
      <c r="D271" s="19" t="str">
        <f aca="false">IF(C271="","",DATE(YEAR(C271)+1,MONTH(C271),DAY(C271)))</f>
        <v/>
      </c>
      <c r="E271" s="20"/>
      <c r="F271" s="20"/>
      <c r="G271" s="20"/>
      <c r="H271" s="20"/>
      <c r="I271" s="20"/>
      <c r="J271" s="20"/>
      <c r="K271" s="20"/>
      <c r="L271" s="20"/>
      <c r="M271" s="20"/>
      <c r="N271" s="18" t="str">
        <f aca="false">IF(COUNTBLANK(E271:M271)=9,"",IF(COUNTIF(E271:M271,"Fail")&gt;0,"Fail",IF(COUNTBLANK(E271:M271)&gt;0,"Incomplete","Pass")))</f>
        <v/>
      </c>
      <c r="O271" s="18" t="str">
        <f aca="true">IF(N271="","Not Yet Inspected",IF(N271="Fail","Fail",IF(D271="","",IF(D271&lt;TODAY(),"Overdue",IF(D271&lt;=TODAY()+30,"Due (within 30 days)","Pass")))))</f>
        <v>Not Yet Inspected</v>
      </c>
      <c r="P271" s="18"/>
      <c r="Q271" s="18"/>
      <c r="R271" s="19"/>
    </row>
    <row r="272" customFormat="false" ht="15.75" hidden="false" customHeight="true" outlineLevel="0" collapsed="false">
      <c r="A272" s="18"/>
      <c r="B272" s="18"/>
      <c r="C272" s="19"/>
      <c r="D272" s="19" t="str">
        <f aca="false">IF(C272="","",DATE(YEAR(C272)+1,MONTH(C272),DAY(C272)))</f>
        <v/>
      </c>
      <c r="E272" s="20"/>
      <c r="F272" s="20"/>
      <c r="G272" s="20"/>
      <c r="H272" s="20"/>
      <c r="I272" s="20"/>
      <c r="J272" s="20"/>
      <c r="K272" s="20"/>
      <c r="L272" s="20"/>
      <c r="M272" s="20"/>
      <c r="N272" s="18" t="str">
        <f aca="false">IF(COUNTBLANK(E272:M272)=9,"",IF(COUNTIF(E272:M272,"Fail")&gt;0,"Fail",IF(COUNTBLANK(E272:M272)&gt;0,"Incomplete","Pass")))</f>
        <v/>
      </c>
      <c r="O272" s="18" t="str">
        <f aca="true">IF(N272="","Not Yet Inspected",IF(N272="Fail","Fail",IF(D272="","",IF(D272&lt;TODAY(),"Overdue",IF(D272&lt;=TODAY()+30,"Due (within 30 days)","Pass")))))</f>
        <v>Not Yet Inspected</v>
      </c>
      <c r="P272" s="18"/>
      <c r="Q272" s="18"/>
      <c r="R272" s="19"/>
    </row>
    <row r="273" customFormat="false" ht="15.75" hidden="false" customHeight="true" outlineLevel="0" collapsed="false">
      <c r="A273" s="18"/>
      <c r="B273" s="18"/>
      <c r="C273" s="19"/>
      <c r="D273" s="19" t="str">
        <f aca="false">IF(C273="","",DATE(YEAR(C273)+1,MONTH(C273),DAY(C273)))</f>
        <v/>
      </c>
      <c r="E273" s="20"/>
      <c r="F273" s="20"/>
      <c r="G273" s="20"/>
      <c r="H273" s="20"/>
      <c r="I273" s="20"/>
      <c r="J273" s="20"/>
      <c r="K273" s="20"/>
      <c r="L273" s="20"/>
      <c r="M273" s="20"/>
      <c r="N273" s="18" t="str">
        <f aca="false">IF(COUNTBLANK(E273:M273)=9,"",IF(COUNTIF(E273:M273,"Fail")&gt;0,"Fail",IF(COUNTBLANK(E273:M273)&gt;0,"Incomplete","Pass")))</f>
        <v/>
      </c>
      <c r="O273" s="18" t="str">
        <f aca="true">IF(N273="","Not Yet Inspected",IF(N273="Fail","Fail",IF(D273="","",IF(D273&lt;TODAY(),"Overdue",IF(D273&lt;=TODAY()+30,"Due (within 30 days)","Pass")))))</f>
        <v>Not Yet Inspected</v>
      </c>
      <c r="P273" s="18"/>
      <c r="Q273" s="18"/>
      <c r="R273" s="19"/>
    </row>
    <row r="274" customFormat="false" ht="15.75" hidden="false" customHeight="true" outlineLevel="0" collapsed="false">
      <c r="A274" s="18"/>
      <c r="B274" s="18"/>
      <c r="C274" s="19"/>
      <c r="D274" s="19" t="str">
        <f aca="false">IF(C274="","",DATE(YEAR(C274)+1,MONTH(C274),DAY(C274)))</f>
        <v/>
      </c>
      <c r="E274" s="20"/>
      <c r="F274" s="20"/>
      <c r="G274" s="20"/>
      <c r="H274" s="20"/>
      <c r="I274" s="20"/>
      <c r="J274" s="20"/>
      <c r="K274" s="20"/>
      <c r="L274" s="20"/>
      <c r="M274" s="20"/>
      <c r="N274" s="18" t="str">
        <f aca="false">IF(COUNTBLANK(E274:M274)=9,"",IF(COUNTIF(E274:M274,"Fail")&gt;0,"Fail",IF(COUNTBLANK(E274:M274)&gt;0,"Incomplete","Pass")))</f>
        <v/>
      </c>
      <c r="O274" s="18" t="str">
        <f aca="true">IF(N274="","Not Yet Inspected",IF(N274="Fail","Fail",IF(D274="","",IF(D274&lt;TODAY(),"Overdue",IF(D274&lt;=TODAY()+30,"Due (within 30 days)","Pass")))))</f>
        <v>Not Yet Inspected</v>
      </c>
      <c r="P274" s="18"/>
      <c r="Q274" s="18"/>
      <c r="R274" s="19"/>
    </row>
    <row r="275" customFormat="false" ht="15.75" hidden="false" customHeight="true" outlineLevel="0" collapsed="false">
      <c r="A275" s="18"/>
      <c r="B275" s="18"/>
      <c r="C275" s="19"/>
      <c r="D275" s="19" t="str">
        <f aca="false">IF(C275="","",DATE(YEAR(C275)+1,MONTH(C275),DAY(C275)))</f>
        <v/>
      </c>
      <c r="E275" s="20"/>
      <c r="F275" s="20"/>
      <c r="G275" s="20"/>
      <c r="H275" s="20"/>
      <c r="I275" s="20"/>
      <c r="J275" s="20"/>
      <c r="K275" s="20"/>
      <c r="L275" s="20"/>
      <c r="M275" s="20"/>
      <c r="N275" s="18" t="str">
        <f aca="false">IF(COUNTBLANK(E275:M275)=9,"",IF(COUNTIF(E275:M275,"Fail")&gt;0,"Fail",IF(COUNTBLANK(E275:M275)&gt;0,"Incomplete","Pass")))</f>
        <v/>
      </c>
      <c r="O275" s="18" t="str">
        <f aca="true">IF(N275="","Not Yet Inspected",IF(N275="Fail","Fail",IF(D275="","",IF(D275&lt;TODAY(),"Overdue",IF(D275&lt;=TODAY()+30,"Due (within 30 days)","Pass")))))</f>
        <v>Not Yet Inspected</v>
      </c>
      <c r="P275" s="18"/>
      <c r="Q275" s="18"/>
      <c r="R275" s="19"/>
    </row>
    <row r="276" customFormat="false" ht="15.75" hidden="false" customHeight="true" outlineLevel="0" collapsed="false">
      <c r="A276" s="18"/>
      <c r="B276" s="18"/>
      <c r="C276" s="19"/>
      <c r="D276" s="19" t="str">
        <f aca="false">IF(C276="","",DATE(YEAR(C276)+1,MONTH(C276),DAY(C276)))</f>
        <v/>
      </c>
      <c r="E276" s="20"/>
      <c r="F276" s="20"/>
      <c r="G276" s="20"/>
      <c r="H276" s="20"/>
      <c r="I276" s="20"/>
      <c r="J276" s="20"/>
      <c r="K276" s="20"/>
      <c r="L276" s="20"/>
      <c r="M276" s="20"/>
      <c r="N276" s="18" t="str">
        <f aca="false">IF(COUNTBLANK(E276:M276)=9,"",IF(COUNTIF(E276:M276,"Fail")&gt;0,"Fail",IF(COUNTBLANK(E276:M276)&gt;0,"Incomplete","Pass")))</f>
        <v/>
      </c>
      <c r="O276" s="18" t="str">
        <f aca="true">IF(N276="","Not Yet Inspected",IF(N276="Fail","Fail",IF(D276="","",IF(D276&lt;TODAY(),"Overdue",IF(D276&lt;=TODAY()+30,"Due (within 30 days)","Pass")))))</f>
        <v>Not Yet Inspected</v>
      </c>
      <c r="P276" s="18"/>
      <c r="Q276" s="18"/>
      <c r="R276" s="19"/>
    </row>
    <row r="277" customFormat="false" ht="15.75" hidden="false" customHeight="true" outlineLevel="0" collapsed="false">
      <c r="A277" s="18"/>
      <c r="B277" s="18"/>
      <c r="C277" s="19"/>
      <c r="D277" s="19" t="str">
        <f aca="false">IF(C277="","",DATE(YEAR(C277)+1,MONTH(C277),DAY(C277)))</f>
        <v/>
      </c>
      <c r="E277" s="20"/>
      <c r="F277" s="20"/>
      <c r="G277" s="20"/>
      <c r="H277" s="20"/>
      <c r="I277" s="20"/>
      <c r="J277" s="20"/>
      <c r="K277" s="20"/>
      <c r="L277" s="20"/>
      <c r="M277" s="20"/>
      <c r="N277" s="18" t="str">
        <f aca="false">IF(COUNTBLANK(E277:M277)=9,"",IF(COUNTIF(E277:M277,"Fail")&gt;0,"Fail",IF(COUNTBLANK(E277:M277)&gt;0,"Incomplete","Pass")))</f>
        <v/>
      </c>
      <c r="O277" s="18" t="str">
        <f aca="true">IF(N277="","Not Yet Inspected",IF(N277="Fail","Fail",IF(D277="","",IF(D277&lt;TODAY(),"Overdue",IF(D277&lt;=TODAY()+30,"Due (within 30 days)","Pass")))))</f>
        <v>Not Yet Inspected</v>
      </c>
      <c r="P277" s="18"/>
      <c r="Q277" s="18"/>
      <c r="R277" s="19"/>
    </row>
    <row r="278" customFormat="false" ht="15.75" hidden="false" customHeight="true" outlineLevel="0" collapsed="false">
      <c r="A278" s="18"/>
      <c r="B278" s="18"/>
      <c r="C278" s="19"/>
      <c r="D278" s="19" t="str">
        <f aca="false">IF(C278="","",DATE(YEAR(C278)+1,MONTH(C278),DAY(C278)))</f>
        <v/>
      </c>
      <c r="E278" s="20"/>
      <c r="F278" s="20"/>
      <c r="G278" s="20"/>
      <c r="H278" s="20"/>
      <c r="I278" s="20"/>
      <c r="J278" s="20"/>
      <c r="K278" s="20"/>
      <c r="L278" s="20"/>
      <c r="M278" s="20"/>
      <c r="N278" s="18" t="str">
        <f aca="false">IF(COUNTBLANK(E278:M278)=9,"",IF(COUNTIF(E278:M278,"Fail")&gt;0,"Fail",IF(COUNTBLANK(E278:M278)&gt;0,"Incomplete","Pass")))</f>
        <v/>
      </c>
      <c r="O278" s="18" t="str">
        <f aca="true">IF(N278="","Not Yet Inspected",IF(N278="Fail","Fail",IF(D278="","",IF(D278&lt;TODAY(),"Overdue",IF(D278&lt;=TODAY()+30,"Due (within 30 days)","Pass")))))</f>
        <v>Not Yet Inspected</v>
      </c>
      <c r="P278" s="18"/>
      <c r="Q278" s="18"/>
      <c r="R278" s="19"/>
    </row>
    <row r="279" customFormat="false" ht="15.75" hidden="false" customHeight="true" outlineLevel="0" collapsed="false">
      <c r="A279" s="18"/>
      <c r="B279" s="18"/>
      <c r="C279" s="19"/>
      <c r="D279" s="19" t="str">
        <f aca="false">IF(C279="","",DATE(YEAR(C279)+1,MONTH(C279),DAY(C279)))</f>
        <v/>
      </c>
      <c r="E279" s="20"/>
      <c r="F279" s="20"/>
      <c r="G279" s="20"/>
      <c r="H279" s="20"/>
      <c r="I279" s="20"/>
      <c r="J279" s="20"/>
      <c r="K279" s="20"/>
      <c r="L279" s="20"/>
      <c r="M279" s="20"/>
      <c r="N279" s="18" t="str">
        <f aca="false">IF(COUNTBLANK(E279:M279)=9,"",IF(COUNTIF(E279:M279,"Fail")&gt;0,"Fail",IF(COUNTBLANK(E279:M279)&gt;0,"Incomplete","Pass")))</f>
        <v/>
      </c>
      <c r="O279" s="18" t="str">
        <f aca="true">IF(N279="","Not Yet Inspected",IF(N279="Fail","Fail",IF(D279="","",IF(D279&lt;TODAY(),"Overdue",IF(D279&lt;=TODAY()+30,"Due (within 30 days)","Pass")))))</f>
        <v>Not Yet Inspected</v>
      </c>
      <c r="P279" s="18"/>
      <c r="Q279" s="18"/>
      <c r="R279" s="19"/>
    </row>
    <row r="280" customFormat="false" ht="15.75" hidden="false" customHeight="true" outlineLevel="0" collapsed="false">
      <c r="A280" s="18"/>
      <c r="B280" s="18"/>
      <c r="C280" s="19"/>
      <c r="D280" s="19" t="str">
        <f aca="false">IF(C280="","",DATE(YEAR(C280)+1,MONTH(C280),DAY(C280)))</f>
        <v/>
      </c>
      <c r="E280" s="20"/>
      <c r="F280" s="20"/>
      <c r="G280" s="20"/>
      <c r="H280" s="20"/>
      <c r="I280" s="20"/>
      <c r="J280" s="20"/>
      <c r="K280" s="20"/>
      <c r="L280" s="20"/>
      <c r="M280" s="20"/>
      <c r="N280" s="18" t="str">
        <f aca="false">IF(COUNTBLANK(E280:M280)=9,"",IF(COUNTIF(E280:M280,"Fail")&gt;0,"Fail",IF(COUNTBLANK(E280:M280)&gt;0,"Incomplete","Pass")))</f>
        <v/>
      </c>
      <c r="O280" s="18" t="str">
        <f aca="true">IF(N280="","Not Yet Inspected",IF(N280="Fail","Fail",IF(D280="","",IF(D280&lt;TODAY(),"Overdue",IF(D280&lt;=TODAY()+30,"Due (within 30 days)","Pass")))))</f>
        <v>Not Yet Inspected</v>
      </c>
      <c r="P280" s="18"/>
      <c r="Q280" s="18"/>
      <c r="R280" s="19"/>
    </row>
    <row r="281" customFormat="false" ht="15.75" hidden="false" customHeight="true" outlineLevel="0" collapsed="false">
      <c r="A281" s="18"/>
      <c r="B281" s="18"/>
      <c r="C281" s="19"/>
      <c r="D281" s="19" t="str">
        <f aca="false">IF(C281="","",DATE(YEAR(C281)+1,MONTH(C281),DAY(C281)))</f>
        <v/>
      </c>
      <c r="E281" s="20"/>
      <c r="F281" s="20"/>
      <c r="G281" s="20"/>
      <c r="H281" s="20"/>
      <c r="I281" s="20"/>
      <c r="J281" s="20"/>
      <c r="K281" s="20"/>
      <c r="L281" s="20"/>
      <c r="M281" s="20"/>
      <c r="N281" s="18" t="str">
        <f aca="false">IF(COUNTBLANK(E281:M281)=9,"",IF(COUNTIF(E281:M281,"Fail")&gt;0,"Fail",IF(COUNTBLANK(E281:M281)&gt;0,"Incomplete","Pass")))</f>
        <v/>
      </c>
      <c r="O281" s="18" t="str">
        <f aca="true">IF(N281="","Not Yet Inspected",IF(N281="Fail","Fail",IF(D281="","",IF(D281&lt;TODAY(),"Overdue",IF(D281&lt;=TODAY()+30,"Due (within 30 days)","Pass")))))</f>
        <v>Not Yet Inspected</v>
      </c>
      <c r="P281" s="18"/>
      <c r="Q281" s="18"/>
      <c r="R281" s="19"/>
    </row>
    <row r="282" customFormat="false" ht="15.75" hidden="false" customHeight="true" outlineLevel="0" collapsed="false">
      <c r="A282" s="18"/>
      <c r="B282" s="18"/>
      <c r="C282" s="19"/>
      <c r="D282" s="19" t="str">
        <f aca="false">IF(C282="","",DATE(YEAR(C282)+1,MONTH(C282),DAY(C282)))</f>
        <v/>
      </c>
      <c r="E282" s="20"/>
      <c r="F282" s="20"/>
      <c r="G282" s="20"/>
      <c r="H282" s="20"/>
      <c r="I282" s="20"/>
      <c r="J282" s="20"/>
      <c r="K282" s="20"/>
      <c r="L282" s="20"/>
      <c r="M282" s="20"/>
      <c r="N282" s="18" t="str">
        <f aca="false">IF(COUNTBLANK(E282:M282)=9,"",IF(COUNTIF(E282:M282,"Fail")&gt;0,"Fail",IF(COUNTBLANK(E282:M282)&gt;0,"Incomplete","Pass")))</f>
        <v/>
      </c>
      <c r="O282" s="18" t="str">
        <f aca="true">IF(N282="","Not Yet Inspected",IF(N282="Fail","Fail",IF(D282="","",IF(D282&lt;TODAY(),"Overdue",IF(D282&lt;=TODAY()+30,"Due (within 30 days)","Pass")))))</f>
        <v>Not Yet Inspected</v>
      </c>
      <c r="P282" s="18"/>
      <c r="Q282" s="18"/>
      <c r="R282" s="19"/>
    </row>
    <row r="283" customFormat="false" ht="15.75" hidden="false" customHeight="true" outlineLevel="0" collapsed="false">
      <c r="A283" s="18"/>
      <c r="B283" s="18"/>
      <c r="C283" s="19"/>
      <c r="D283" s="19" t="str">
        <f aca="false">IF(C283="","",DATE(YEAR(C283)+1,MONTH(C283),DAY(C283)))</f>
        <v/>
      </c>
      <c r="E283" s="20"/>
      <c r="F283" s="20"/>
      <c r="G283" s="20"/>
      <c r="H283" s="20"/>
      <c r="I283" s="20"/>
      <c r="J283" s="20"/>
      <c r="K283" s="20"/>
      <c r="L283" s="20"/>
      <c r="M283" s="20"/>
      <c r="N283" s="18" t="str">
        <f aca="false">IF(COUNTBLANK(E283:M283)=9,"",IF(COUNTIF(E283:M283,"Fail")&gt;0,"Fail",IF(COUNTBLANK(E283:M283)&gt;0,"Incomplete","Pass")))</f>
        <v/>
      </c>
      <c r="O283" s="18" t="str">
        <f aca="true">IF(N283="","Not Yet Inspected",IF(N283="Fail","Fail",IF(D283="","",IF(D283&lt;TODAY(),"Overdue",IF(D283&lt;=TODAY()+30,"Due (within 30 days)","Pass")))))</f>
        <v>Not Yet Inspected</v>
      </c>
      <c r="P283" s="18"/>
      <c r="Q283" s="18"/>
      <c r="R283" s="19"/>
    </row>
    <row r="284" customFormat="false" ht="15.75" hidden="false" customHeight="true" outlineLevel="0" collapsed="false">
      <c r="A284" s="18"/>
      <c r="B284" s="18"/>
      <c r="C284" s="19"/>
      <c r="D284" s="19" t="str">
        <f aca="false">IF(C284="","",DATE(YEAR(C284)+1,MONTH(C284),DAY(C284)))</f>
        <v/>
      </c>
      <c r="E284" s="20"/>
      <c r="F284" s="20"/>
      <c r="G284" s="20"/>
      <c r="H284" s="20"/>
      <c r="I284" s="20"/>
      <c r="J284" s="20"/>
      <c r="K284" s="20"/>
      <c r="L284" s="20"/>
      <c r="M284" s="20"/>
      <c r="N284" s="18" t="str">
        <f aca="false">IF(COUNTBLANK(E284:M284)=9,"",IF(COUNTIF(E284:M284,"Fail")&gt;0,"Fail",IF(COUNTBLANK(E284:M284)&gt;0,"Incomplete","Pass")))</f>
        <v/>
      </c>
      <c r="O284" s="18" t="str">
        <f aca="true">IF(N284="","Not Yet Inspected",IF(N284="Fail","Fail",IF(D284="","",IF(D284&lt;TODAY(),"Overdue",IF(D284&lt;=TODAY()+30,"Due (within 30 days)","Pass")))))</f>
        <v>Not Yet Inspected</v>
      </c>
      <c r="P284" s="18"/>
      <c r="Q284" s="18"/>
      <c r="R284" s="19"/>
    </row>
    <row r="285" customFormat="false" ht="15.75" hidden="false" customHeight="true" outlineLevel="0" collapsed="false">
      <c r="A285" s="18"/>
      <c r="B285" s="18"/>
      <c r="C285" s="19"/>
      <c r="D285" s="19" t="str">
        <f aca="false">IF(C285="","",DATE(YEAR(C285)+1,MONTH(C285),DAY(C285)))</f>
        <v/>
      </c>
      <c r="E285" s="20"/>
      <c r="F285" s="20"/>
      <c r="G285" s="20"/>
      <c r="H285" s="20"/>
      <c r="I285" s="20"/>
      <c r="J285" s="20"/>
      <c r="K285" s="20"/>
      <c r="L285" s="20"/>
      <c r="M285" s="20"/>
      <c r="N285" s="18" t="str">
        <f aca="false">IF(COUNTBLANK(E285:M285)=9,"",IF(COUNTIF(E285:M285,"Fail")&gt;0,"Fail",IF(COUNTBLANK(E285:M285)&gt;0,"Incomplete","Pass")))</f>
        <v/>
      </c>
      <c r="O285" s="18" t="str">
        <f aca="true">IF(N285="","Not Yet Inspected",IF(N285="Fail","Fail",IF(D285="","",IF(D285&lt;TODAY(),"Overdue",IF(D285&lt;=TODAY()+30,"Due (within 30 days)","Pass")))))</f>
        <v>Not Yet Inspected</v>
      </c>
      <c r="P285" s="18"/>
      <c r="Q285" s="18"/>
      <c r="R285" s="19"/>
    </row>
    <row r="286" customFormat="false" ht="15.75" hidden="false" customHeight="true" outlineLevel="0" collapsed="false">
      <c r="A286" s="18"/>
      <c r="B286" s="18"/>
      <c r="C286" s="19"/>
      <c r="D286" s="19" t="str">
        <f aca="false">IF(C286="","",DATE(YEAR(C286)+1,MONTH(C286),DAY(C286)))</f>
        <v/>
      </c>
      <c r="E286" s="20"/>
      <c r="F286" s="20"/>
      <c r="G286" s="20"/>
      <c r="H286" s="20"/>
      <c r="I286" s="20"/>
      <c r="J286" s="20"/>
      <c r="K286" s="20"/>
      <c r="L286" s="20"/>
      <c r="M286" s="20"/>
      <c r="N286" s="18" t="str">
        <f aca="false">IF(COUNTBLANK(E286:M286)=9,"",IF(COUNTIF(E286:M286,"Fail")&gt;0,"Fail",IF(COUNTBLANK(E286:M286)&gt;0,"Incomplete","Pass")))</f>
        <v/>
      </c>
      <c r="O286" s="18" t="str">
        <f aca="true">IF(N286="","Not Yet Inspected",IF(N286="Fail","Fail",IF(D286="","",IF(D286&lt;TODAY(),"Overdue",IF(D286&lt;=TODAY()+30,"Due (within 30 days)","Pass")))))</f>
        <v>Not Yet Inspected</v>
      </c>
      <c r="P286" s="18"/>
      <c r="Q286" s="18"/>
      <c r="R286" s="19"/>
    </row>
    <row r="287" customFormat="false" ht="15.75" hidden="false" customHeight="true" outlineLevel="0" collapsed="false">
      <c r="A287" s="18"/>
      <c r="B287" s="18"/>
      <c r="C287" s="19"/>
      <c r="D287" s="19" t="str">
        <f aca="false">IF(C287="","",DATE(YEAR(C287)+1,MONTH(C287),DAY(C287)))</f>
        <v/>
      </c>
      <c r="E287" s="20"/>
      <c r="F287" s="20"/>
      <c r="G287" s="20"/>
      <c r="H287" s="20"/>
      <c r="I287" s="20"/>
      <c r="J287" s="20"/>
      <c r="K287" s="20"/>
      <c r="L287" s="20"/>
      <c r="M287" s="20"/>
      <c r="N287" s="18" t="str">
        <f aca="false">IF(COUNTBLANK(E287:M287)=9,"",IF(COUNTIF(E287:M287,"Fail")&gt;0,"Fail",IF(COUNTBLANK(E287:M287)&gt;0,"Incomplete","Pass")))</f>
        <v/>
      </c>
      <c r="O287" s="18" t="str">
        <f aca="true">IF(N287="","Not Yet Inspected",IF(N287="Fail","Fail",IF(D287="","",IF(D287&lt;TODAY(),"Overdue",IF(D287&lt;=TODAY()+30,"Due (within 30 days)","Pass")))))</f>
        <v>Not Yet Inspected</v>
      </c>
      <c r="P287" s="18"/>
      <c r="Q287" s="18"/>
      <c r="R287" s="19"/>
    </row>
    <row r="288" customFormat="false" ht="15.75" hidden="false" customHeight="true" outlineLevel="0" collapsed="false">
      <c r="A288" s="18"/>
      <c r="B288" s="18"/>
      <c r="C288" s="19"/>
      <c r="D288" s="19" t="str">
        <f aca="false">IF(C288="","",DATE(YEAR(C288)+1,MONTH(C288),DAY(C288)))</f>
        <v/>
      </c>
      <c r="E288" s="20"/>
      <c r="F288" s="20"/>
      <c r="G288" s="20"/>
      <c r="H288" s="20"/>
      <c r="I288" s="20"/>
      <c r="J288" s="20"/>
      <c r="K288" s="20"/>
      <c r="L288" s="20"/>
      <c r="M288" s="20"/>
      <c r="N288" s="18" t="str">
        <f aca="false">IF(COUNTBLANK(E288:M288)=9,"",IF(COUNTIF(E288:M288,"Fail")&gt;0,"Fail",IF(COUNTBLANK(E288:M288)&gt;0,"Incomplete","Pass")))</f>
        <v/>
      </c>
      <c r="O288" s="18" t="str">
        <f aca="true">IF(N288="","Not Yet Inspected",IF(N288="Fail","Fail",IF(D288="","",IF(D288&lt;TODAY(),"Overdue",IF(D288&lt;=TODAY()+30,"Due (within 30 days)","Pass")))))</f>
        <v>Not Yet Inspected</v>
      </c>
      <c r="P288" s="18"/>
      <c r="Q288" s="18"/>
      <c r="R288" s="19"/>
    </row>
    <row r="289" customFormat="false" ht="15.75" hidden="false" customHeight="true" outlineLevel="0" collapsed="false">
      <c r="A289" s="18"/>
      <c r="B289" s="18"/>
      <c r="C289" s="19"/>
      <c r="D289" s="19" t="str">
        <f aca="false">IF(C289="","",DATE(YEAR(C289)+1,MONTH(C289),DAY(C289)))</f>
        <v/>
      </c>
      <c r="E289" s="20"/>
      <c r="F289" s="20"/>
      <c r="G289" s="20"/>
      <c r="H289" s="20"/>
      <c r="I289" s="20"/>
      <c r="J289" s="20"/>
      <c r="K289" s="20"/>
      <c r="L289" s="20"/>
      <c r="M289" s="20"/>
      <c r="N289" s="18" t="str">
        <f aca="false">IF(COUNTBLANK(E289:M289)=9,"",IF(COUNTIF(E289:M289,"Fail")&gt;0,"Fail",IF(COUNTBLANK(E289:M289)&gt;0,"Incomplete","Pass")))</f>
        <v/>
      </c>
      <c r="O289" s="18" t="str">
        <f aca="true">IF(N289="","Not Yet Inspected",IF(N289="Fail","Fail",IF(D289="","",IF(D289&lt;TODAY(),"Overdue",IF(D289&lt;=TODAY()+30,"Due (within 30 days)","Pass")))))</f>
        <v>Not Yet Inspected</v>
      </c>
      <c r="P289" s="18"/>
      <c r="Q289" s="18"/>
      <c r="R289" s="19"/>
    </row>
    <row r="290" customFormat="false" ht="15.75" hidden="false" customHeight="true" outlineLevel="0" collapsed="false">
      <c r="A290" s="18"/>
      <c r="B290" s="18"/>
      <c r="C290" s="19"/>
      <c r="D290" s="19" t="str">
        <f aca="false">IF(C290="","",DATE(YEAR(C290)+1,MONTH(C290),DAY(C290)))</f>
        <v/>
      </c>
      <c r="E290" s="20"/>
      <c r="F290" s="20"/>
      <c r="G290" s="20"/>
      <c r="H290" s="20"/>
      <c r="I290" s="20"/>
      <c r="J290" s="20"/>
      <c r="K290" s="20"/>
      <c r="L290" s="20"/>
      <c r="M290" s="20"/>
      <c r="N290" s="18" t="str">
        <f aca="false">IF(COUNTBLANK(E290:M290)=9,"",IF(COUNTIF(E290:M290,"Fail")&gt;0,"Fail",IF(COUNTBLANK(E290:M290)&gt;0,"Incomplete","Pass")))</f>
        <v/>
      </c>
      <c r="O290" s="18" t="str">
        <f aca="true">IF(N290="","Not Yet Inspected",IF(N290="Fail","Fail",IF(D290="","",IF(D290&lt;TODAY(),"Overdue",IF(D290&lt;=TODAY()+30,"Due (within 30 days)","Pass")))))</f>
        <v>Not Yet Inspected</v>
      </c>
      <c r="P290" s="18"/>
      <c r="Q290" s="18"/>
      <c r="R290" s="19"/>
    </row>
    <row r="291" customFormat="false" ht="15.75" hidden="false" customHeight="true" outlineLevel="0" collapsed="false">
      <c r="A291" s="18"/>
      <c r="B291" s="18"/>
      <c r="C291" s="19"/>
      <c r="D291" s="19" t="str">
        <f aca="false">IF(C291="","",DATE(YEAR(C291)+1,MONTH(C291),DAY(C291)))</f>
        <v/>
      </c>
      <c r="E291" s="20"/>
      <c r="F291" s="20"/>
      <c r="G291" s="20"/>
      <c r="H291" s="20"/>
      <c r="I291" s="20"/>
      <c r="J291" s="20"/>
      <c r="K291" s="20"/>
      <c r="L291" s="20"/>
      <c r="M291" s="20"/>
      <c r="N291" s="18" t="str">
        <f aca="false">IF(COUNTBLANK(E291:M291)=9,"",IF(COUNTIF(E291:M291,"Fail")&gt;0,"Fail",IF(COUNTBLANK(E291:M291)&gt;0,"Incomplete","Pass")))</f>
        <v/>
      </c>
      <c r="O291" s="18" t="str">
        <f aca="true">IF(N291="","Not Yet Inspected",IF(N291="Fail","Fail",IF(D291="","",IF(D291&lt;TODAY(),"Overdue",IF(D291&lt;=TODAY()+30,"Due (within 30 days)","Pass")))))</f>
        <v>Not Yet Inspected</v>
      </c>
      <c r="P291" s="18"/>
      <c r="Q291" s="18"/>
      <c r="R291" s="19"/>
    </row>
    <row r="292" customFormat="false" ht="15.75" hidden="false" customHeight="true" outlineLevel="0" collapsed="false">
      <c r="A292" s="18"/>
      <c r="B292" s="18"/>
      <c r="C292" s="19"/>
      <c r="D292" s="19" t="str">
        <f aca="false">IF(C292="","",DATE(YEAR(C292)+1,MONTH(C292),DAY(C292)))</f>
        <v/>
      </c>
      <c r="E292" s="20"/>
      <c r="F292" s="20"/>
      <c r="G292" s="20"/>
      <c r="H292" s="20"/>
      <c r="I292" s="20"/>
      <c r="J292" s="20"/>
      <c r="K292" s="20"/>
      <c r="L292" s="20"/>
      <c r="M292" s="20"/>
      <c r="N292" s="18" t="str">
        <f aca="false">IF(COUNTBLANK(E292:M292)=9,"",IF(COUNTIF(E292:M292,"Fail")&gt;0,"Fail",IF(COUNTBLANK(E292:M292)&gt;0,"Incomplete","Pass")))</f>
        <v/>
      </c>
      <c r="O292" s="18" t="str">
        <f aca="true">IF(N292="","Not Yet Inspected",IF(N292="Fail","Fail",IF(D292="","",IF(D292&lt;TODAY(),"Overdue",IF(D292&lt;=TODAY()+30,"Due (within 30 days)","Pass")))))</f>
        <v>Not Yet Inspected</v>
      </c>
      <c r="P292" s="18"/>
      <c r="Q292" s="18"/>
      <c r="R292" s="19"/>
    </row>
    <row r="293" customFormat="false" ht="15.75" hidden="false" customHeight="true" outlineLevel="0" collapsed="false">
      <c r="A293" s="18"/>
      <c r="B293" s="18"/>
      <c r="C293" s="19"/>
      <c r="D293" s="19" t="str">
        <f aca="false">IF(C293="","",DATE(YEAR(C293)+1,MONTH(C293),DAY(C293)))</f>
        <v/>
      </c>
      <c r="E293" s="20"/>
      <c r="F293" s="20"/>
      <c r="G293" s="20"/>
      <c r="H293" s="20"/>
      <c r="I293" s="20"/>
      <c r="J293" s="20"/>
      <c r="K293" s="20"/>
      <c r="L293" s="20"/>
      <c r="M293" s="20"/>
      <c r="N293" s="18" t="str">
        <f aca="false">IF(COUNTBLANK(E293:M293)=9,"",IF(COUNTIF(E293:M293,"Fail")&gt;0,"Fail",IF(COUNTBLANK(E293:M293)&gt;0,"Incomplete","Pass")))</f>
        <v/>
      </c>
      <c r="O293" s="18" t="str">
        <f aca="true">IF(N293="","Not Yet Inspected",IF(N293="Fail","Fail",IF(D293="","",IF(D293&lt;TODAY(),"Overdue",IF(D293&lt;=TODAY()+30,"Due (within 30 days)","Pass")))))</f>
        <v>Not Yet Inspected</v>
      </c>
      <c r="P293" s="18"/>
      <c r="Q293" s="18"/>
      <c r="R293" s="19"/>
    </row>
    <row r="294" customFormat="false" ht="15.75" hidden="false" customHeight="true" outlineLevel="0" collapsed="false">
      <c r="A294" s="18"/>
      <c r="B294" s="18"/>
      <c r="C294" s="19"/>
      <c r="D294" s="19" t="str">
        <f aca="false">IF(C294="","",DATE(YEAR(C294)+1,MONTH(C294),DAY(C294)))</f>
        <v/>
      </c>
      <c r="E294" s="20"/>
      <c r="F294" s="20"/>
      <c r="G294" s="20"/>
      <c r="H294" s="20"/>
      <c r="I294" s="20"/>
      <c r="J294" s="20"/>
      <c r="K294" s="20"/>
      <c r="L294" s="20"/>
      <c r="M294" s="20"/>
      <c r="N294" s="18" t="str">
        <f aca="false">IF(COUNTBLANK(E294:M294)=9,"",IF(COUNTIF(E294:M294,"Fail")&gt;0,"Fail",IF(COUNTBLANK(E294:M294)&gt;0,"Incomplete","Pass")))</f>
        <v/>
      </c>
      <c r="O294" s="18" t="str">
        <f aca="true">IF(N294="","Not Yet Inspected",IF(N294="Fail","Fail",IF(D294="","",IF(D294&lt;TODAY(),"Overdue",IF(D294&lt;=TODAY()+30,"Due (within 30 days)","Pass")))))</f>
        <v>Not Yet Inspected</v>
      </c>
      <c r="P294" s="18"/>
      <c r="Q294" s="18"/>
      <c r="R294" s="19"/>
    </row>
    <row r="295" customFormat="false" ht="15.75" hidden="false" customHeight="true" outlineLevel="0" collapsed="false">
      <c r="A295" s="18"/>
      <c r="B295" s="18"/>
      <c r="C295" s="19"/>
      <c r="D295" s="19" t="str">
        <f aca="false">IF(C295="","",DATE(YEAR(C295)+1,MONTH(C295),DAY(C295)))</f>
        <v/>
      </c>
      <c r="E295" s="20"/>
      <c r="F295" s="20"/>
      <c r="G295" s="20"/>
      <c r="H295" s="20"/>
      <c r="I295" s="20"/>
      <c r="J295" s="20"/>
      <c r="K295" s="20"/>
      <c r="L295" s="20"/>
      <c r="M295" s="20"/>
      <c r="N295" s="18" t="str">
        <f aca="false">IF(COUNTBLANK(E295:M295)=9,"",IF(COUNTIF(E295:M295,"Fail")&gt;0,"Fail",IF(COUNTBLANK(E295:M295)&gt;0,"Incomplete","Pass")))</f>
        <v/>
      </c>
      <c r="O295" s="18" t="str">
        <f aca="true">IF(N295="","Not Yet Inspected",IF(N295="Fail","Fail",IF(D295="","",IF(D295&lt;TODAY(),"Overdue",IF(D295&lt;=TODAY()+30,"Due (within 30 days)","Pass")))))</f>
        <v>Not Yet Inspected</v>
      </c>
      <c r="P295" s="18"/>
      <c r="Q295" s="18"/>
      <c r="R295" s="19"/>
    </row>
    <row r="296" customFormat="false" ht="15.75" hidden="false" customHeight="true" outlineLevel="0" collapsed="false">
      <c r="A296" s="18"/>
      <c r="B296" s="18"/>
      <c r="C296" s="19"/>
      <c r="D296" s="19" t="str">
        <f aca="false">IF(C296="","",DATE(YEAR(C296)+1,MONTH(C296),DAY(C296)))</f>
        <v/>
      </c>
      <c r="E296" s="20"/>
      <c r="F296" s="20"/>
      <c r="G296" s="20"/>
      <c r="H296" s="20"/>
      <c r="I296" s="20"/>
      <c r="J296" s="20"/>
      <c r="K296" s="20"/>
      <c r="L296" s="20"/>
      <c r="M296" s="20"/>
      <c r="N296" s="18" t="str">
        <f aca="false">IF(COUNTBLANK(E296:M296)=9,"",IF(COUNTIF(E296:M296,"Fail")&gt;0,"Fail",IF(COUNTBLANK(E296:M296)&gt;0,"Incomplete","Pass")))</f>
        <v/>
      </c>
      <c r="O296" s="18" t="str">
        <f aca="true">IF(N296="","Not Yet Inspected",IF(N296="Fail","Fail",IF(D296="","",IF(D296&lt;TODAY(),"Overdue",IF(D296&lt;=TODAY()+30,"Due (within 30 days)","Pass")))))</f>
        <v>Not Yet Inspected</v>
      </c>
      <c r="P296" s="18"/>
      <c r="Q296" s="18"/>
      <c r="R296" s="19"/>
    </row>
    <row r="297" customFormat="false" ht="15.75" hidden="false" customHeight="true" outlineLevel="0" collapsed="false">
      <c r="A297" s="18"/>
      <c r="B297" s="18"/>
      <c r="C297" s="19"/>
      <c r="D297" s="19" t="str">
        <f aca="false">IF(C297="","",DATE(YEAR(C297)+1,MONTH(C297),DAY(C297)))</f>
        <v/>
      </c>
      <c r="E297" s="20"/>
      <c r="F297" s="20"/>
      <c r="G297" s="20"/>
      <c r="H297" s="20"/>
      <c r="I297" s="20"/>
      <c r="J297" s="20"/>
      <c r="K297" s="20"/>
      <c r="L297" s="20"/>
      <c r="M297" s="20"/>
      <c r="N297" s="18" t="str">
        <f aca="false">IF(COUNTBLANK(E297:M297)=9,"",IF(COUNTIF(E297:M297,"Fail")&gt;0,"Fail",IF(COUNTBLANK(E297:M297)&gt;0,"Incomplete","Pass")))</f>
        <v/>
      </c>
      <c r="O297" s="18" t="str">
        <f aca="true">IF(N297="","Not Yet Inspected",IF(N297="Fail","Fail",IF(D297="","",IF(D297&lt;TODAY(),"Overdue",IF(D297&lt;=TODAY()+30,"Due (within 30 days)","Pass")))))</f>
        <v>Not Yet Inspected</v>
      </c>
      <c r="P297" s="18"/>
      <c r="Q297" s="18"/>
      <c r="R297" s="19"/>
    </row>
    <row r="298" customFormat="false" ht="15.75" hidden="false" customHeight="true" outlineLevel="0" collapsed="false">
      <c r="A298" s="18"/>
      <c r="B298" s="18"/>
      <c r="C298" s="19"/>
      <c r="D298" s="19" t="str">
        <f aca="false">IF(C298="","",DATE(YEAR(C298)+1,MONTH(C298),DAY(C298)))</f>
        <v/>
      </c>
      <c r="E298" s="20"/>
      <c r="F298" s="20"/>
      <c r="G298" s="20"/>
      <c r="H298" s="20"/>
      <c r="I298" s="20"/>
      <c r="J298" s="20"/>
      <c r="K298" s="20"/>
      <c r="L298" s="20"/>
      <c r="M298" s="20"/>
      <c r="N298" s="18" t="str">
        <f aca="false">IF(COUNTBLANK(E298:M298)=9,"",IF(COUNTIF(E298:M298,"Fail")&gt;0,"Fail",IF(COUNTBLANK(E298:M298)&gt;0,"Incomplete","Pass")))</f>
        <v/>
      </c>
      <c r="O298" s="18" t="str">
        <f aca="true">IF(N298="","Not Yet Inspected",IF(N298="Fail","Fail",IF(D298="","",IF(D298&lt;TODAY(),"Overdue",IF(D298&lt;=TODAY()+30,"Due (within 30 days)","Pass")))))</f>
        <v>Not Yet Inspected</v>
      </c>
      <c r="P298" s="18"/>
      <c r="Q298" s="18"/>
      <c r="R298" s="19"/>
    </row>
    <row r="299" customFormat="false" ht="15.75" hidden="false" customHeight="true" outlineLevel="0" collapsed="false">
      <c r="A299" s="18"/>
      <c r="B299" s="18"/>
      <c r="C299" s="19"/>
      <c r="D299" s="19" t="str">
        <f aca="false">IF(C299="","",DATE(YEAR(C299)+1,MONTH(C299),DAY(C299)))</f>
        <v/>
      </c>
      <c r="E299" s="20"/>
      <c r="F299" s="20"/>
      <c r="G299" s="20"/>
      <c r="H299" s="20"/>
      <c r="I299" s="20"/>
      <c r="J299" s="20"/>
      <c r="K299" s="20"/>
      <c r="L299" s="20"/>
      <c r="M299" s="20"/>
      <c r="N299" s="18" t="str">
        <f aca="false">IF(COUNTBLANK(E299:M299)=9,"",IF(COUNTIF(E299:M299,"Fail")&gt;0,"Fail",IF(COUNTBLANK(E299:M299)&gt;0,"Incomplete","Pass")))</f>
        <v/>
      </c>
      <c r="O299" s="18" t="str">
        <f aca="true">IF(N299="","Not Yet Inspected",IF(N299="Fail","Fail",IF(D299="","",IF(D299&lt;TODAY(),"Overdue",IF(D299&lt;=TODAY()+30,"Due (within 30 days)","Pass")))))</f>
        <v>Not Yet Inspected</v>
      </c>
      <c r="P299" s="18"/>
      <c r="Q299" s="18"/>
      <c r="R299" s="19"/>
    </row>
    <row r="300" customFormat="false" ht="15.75" hidden="false" customHeight="true" outlineLevel="0" collapsed="false">
      <c r="A300" s="18"/>
      <c r="B300" s="18"/>
      <c r="C300" s="19"/>
      <c r="D300" s="19" t="str">
        <f aca="false">IF(C300="","",DATE(YEAR(C300)+1,MONTH(C300),DAY(C300)))</f>
        <v/>
      </c>
      <c r="E300" s="20"/>
      <c r="F300" s="20"/>
      <c r="G300" s="20"/>
      <c r="H300" s="20"/>
      <c r="I300" s="20"/>
      <c r="J300" s="20"/>
      <c r="K300" s="20"/>
      <c r="L300" s="20"/>
      <c r="M300" s="20"/>
      <c r="N300" s="18" t="str">
        <f aca="false">IF(COUNTBLANK(E300:M300)=9,"",IF(COUNTIF(E300:M300,"Fail")&gt;0,"Fail",IF(COUNTBLANK(E300:M300)&gt;0,"Incomplete","Pass")))</f>
        <v/>
      </c>
      <c r="O300" s="18" t="str">
        <f aca="true">IF(N300="","Not Yet Inspected",IF(N300="Fail","Fail",IF(D300="","",IF(D300&lt;TODAY(),"Overdue",IF(D300&lt;=TODAY()+30,"Due (within 30 days)","Pass")))))</f>
        <v>Not Yet Inspected</v>
      </c>
      <c r="P300" s="18"/>
      <c r="Q300" s="18"/>
      <c r="R300" s="19"/>
    </row>
    <row r="301" customFormat="false" ht="15.75" hidden="false" customHeight="true" outlineLevel="0" collapsed="false">
      <c r="A301" s="18"/>
      <c r="B301" s="18"/>
      <c r="C301" s="19"/>
      <c r="D301" s="19" t="str">
        <f aca="false">IF(C301="","",DATE(YEAR(C301)+1,MONTH(C301),DAY(C301)))</f>
        <v/>
      </c>
      <c r="E301" s="20"/>
      <c r="F301" s="20"/>
      <c r="G301" s="20"/>
      <c r="H301" s="20"/>
      <c r="I301" s="20"/>
      <c r="J301" s="20"/>
      <c r="K301" s="20"/>
      <c r="L301" s="20"/>
      <c r="M301" s="20"/>
      <c r="N301" s="18" t="str">
        <f aca="false">IF(COUNTBLANK(E301:M301)=9,"",IF(COUNTIF(E301:M301,"Fail")&gt;0,"Fail",IF(COUNTBLANK(E301:M301)&gt;0,"Incomplete","Pass")))</f>
        <v/>
      </c>
      <c r="O301" s="18" t="str">
        <f aca="true">IF(N301="","Not Yet Inspected",IF(N301="Fail","Fail",IF(D301="","",IF(D301&lt;TODAY(),"Overdue",IF(D301&lt;=TODAY()+30,"Due (within 30 days)","Pass")))))</f>
        <v>Not Yet Inspected</v>
      </c>
      <c r="P301" s="18"/>
      <c r="Q301" s="18"/>
      <c r="R301" s="19"/>
    </row>
    <row r="302" customFormat="false" ht="15.75" hidden="false" customHeight="true" outlineLevel="0" collapsed="false">
      <c r="A302" s="18"/>
      <c r="B302" s="18"/>
      <c r="C302" s="19"/>
      <c r="D302" s="19" t="str">
        <f aca="false">IF(C302="","",DATE(YEAR(C302)+1,MONTH(C302),DAY(C302)))</f>
        <v/>
      </c>
      <c r="E302" s="20"/>
      <c r="F302" s="20"/>
      <c r="G302" s="20"/>
      <c r="H302" s="20"/>
      <c r="I302" s="20"/>
      <c r="J302" s="20"/>
      <c r="K302" s="20"/>
      <c r="L302" s="20"/>
      <c r="M302" s="20"/>
      <c r="N302" s="18" t="str">
        <f aca="false">IF(COUNTBLANK(E302:M302)=9,"",IF(COUNTIF(E302:M302,"Fail")&gt;0,"Fail",IF(COUNTBLANK(E302:M302)&gt;0,"Incomplete","Pass")))</f>
        <v/>
      </c>
      <c r="O302" s="18" t="str">
        <f aca="true">IF(N302="","Not Yet Inspected",IF(N302="Fail","Fail",IF(D302="","",IF(D302&lt;TODAY(),"Overdue",IF(D302&lt;=TODAY()+30,"Due (within 30 days)","Pass")))))</f>
        <v>Not Yet Inspected</v>
      </c>
      <c r="P302" s="18"/>
      <c r="Q302" s="18"/>
      <c r="R302" s="19"/>
    </row>
    <row r="303" customFormat="false" ht="15.75" hidden="false" customHeight="true" outlineLevel="0" collapsed="false">
      <c r="A303" s="18"/>
      <c r="B303" s="18"/>
      <c r="C303" s="19"/>
      <c r="D303" s="19" t="str">
        <f aca="false">IF(C303="","",DATE(YEAR(C303)+1,MONTH(C303),DAY(C303)))</f>
        <v/>
      </c>
      <c r="E303" s="20"/>
      <c r="F303" s="20"/>
      <c r="G303" s="20"/>
      <c r="H303" s="20"/>
      <c r="I303" s="20"/>
      <c r="J303" s="20"/>
      <c r="K303" s="20"/>
      <c r="L303" s="20"/>
      <c r="M303" s="20"/>
      <c r="N303" s="18" t="str">
        <f aca="false">IF(COUNTBLANK(E303:M303)=9,"",IF(COUNTIF(E303:M303,"Fail")&gt;0,"Fail",IF(COUNTBLANK(E303:M303)&gt;0,"Incomplete","Pass")))</f>
        <v/>
      </c>
      <c r="O303" s="18" t="str">
        <f aca="true">IF(N303="","Not Yet Inspected",IF(N303="Fail","Fail",IF(D303="","",IF(D303&lt;TODAY(),"Overdue",IF(D303&lt;=TODAY()+30,"Due (within 30 days)","Pass")))))</f>
        <v>Not Yet Inspected</v>
      </c>
      <c r="P303" s="18"/>
      <c r="Q303" s="18"/>
      <c r="R303" s="19"/>
    </row>
    <row r="304" customFormat="false" ht="15.75" hidden="false" customHeight="true" outlineLevel="0" collapsed="false">
      <c r="A304" s="18"/>
      <c r="B304" s="18"/>
      <c r="C304" s="19"/>
      <c r="D304" s="19" t="str">
        <f aca="false">IF(C304="","",DATE(YEAR(C304)+1,MONTH(C304),DAY(C304)))</f>
        <v/>
      </c>
      <c r="E304" s="20"/>
      <c r="F304" s="20"/>
      <c r="G304" s="20"/>
      <c r="H304" s="20"/>
      <c r="I304" s="20"/>
      <c r="J304" s="20"/>
      <c r="K304" s="20"/>
      <c r="L304" s="20"/>
      <c r="M304" s="20"/>
      <c r="N304" s="18" t="str">
        <f aca="false">IF(COUNTBLANK(E304:M304)=9,"",IF(COUNTIF(E304:M304,"Fail")&gt;0,"Fail",IF(COUNTBLANK(E304:M304)&gt;0,"Incomplete","Pass")))</f>
        <v/>
      </c>
      <c r="O304" s="18" t="str">
        <f aca="true">IF(N304="","Not Yet Inspected",IF(N304="Fail","Fail",IF(D304="","",IF(D304&lt;TODAY(),"Overdue",IF(D304&lt;=TODAY()+30,"Due (within 30 days)","Pass")))))</f>
        <v>Not Yet Inspected</v>
      </c>
      <c r="P304" s="18"/>
      <c r="Q304" s="18"/>
      <c r="R304" s="19"/>
    </row>
    <row r="305" customFormat="false" ht="15.75" hidden="false" customHeight="true" outlineLevel="0" collapsed="false">
      <c r="A305" s="18"/>
      <c r="B305" s="18"/>
      <c r="C305" s="19"/>
      <c r="D305" s="19" t="str">
        <f aca="false">IF(C305="","",DATE(YEAR(C305)+1,MONTH(C305),DAY(C305)))</f>
        <v/>
      </c>
      <c r="E305" s="20"/>
      <c r="F305" s="20"/>
      <c r="G305" s="20"/>
      <c r="H305" s="20"/>
      <c r="I305" s="20"/>
      <c r="J305" s="20"/>
      <c r="K305" s="20"/>
      <c r="L305" s="20"/>
      <c r="M305" s="20"/>
      <c r="N305" s="18" t="str">
        <f aca="false">IF(COUNTBLANK(E305:M305)=9,"",IF(COUNTIF(E305:M305,"Fail")&gt;0,"Fail",IF(COUNTBLANK(E305:M305)&gt;0,"Incomplete","Pass")))</f>
        <v/>
      </c>
      <c r="O305" s="18" t="str">
        <f aca="true">IF(N305="","Not Yet Inspected",IF(N305="Fail","Fail",IF(D305="","",IF(D305&lt;TODAY(),"Overdue",IF(D305&lt;=TODAY()+30,"Due (within 30 days)","Pass")))))</f>
        <v>Not Yet Inspected</v>
      </c>
      <c r="P305" s="18"/>
      <c r="Q305" s="18"/>
      <c r="R305" s="19"/>
    </row>
    <row r="306" customFormat="false" ht="15.75" hidden="false" customHeight="true" outlineLevel="0" collapsed="false">
      <c r="A306" s="18"/>
      <c r="B306" s="18"/>
      <c r="C306" s="19"/>
      <c r="D306" s="19" t="str">
        <f aca="false">IF(C306="","",DATE(YEAR(C306)+1,MONTH(C306),DAY(C306)))</f>
        <v/>
      </c>
      <c r="E306" s="20"/>
      <c r="F306" s="20"/>
      <c r="G306" s="20"/>
      <c r="H306" s="20"/>
      <c r="I306" s="20"/>
      <c r="J306" s="20"/>
      <c r="K306" s="20"/>
      <c r="L306" s="20"/>
      <c r="M306" s="20"/>
      <c r="N306" s="18" t="str">
        <f aca="false">IF(COUNTBLANK(E306:M306)=9,"",IF(COUNTIF(E306:M306,"Fail")&gt;0,"Fail",IF(COUNTBLANK(E306:M306)&gt;0,"Incomplete","Pass")))</f>
        <v/>
      </c>
      <c r="O306" s="18" t="str">
        <f aca="true">IF(N306="","Not Yet Inspected",IF(N306="Fail","Fail",IF(D306="","",IF(D306&lt;TODAY(),"Overdue",IF(D306&lt;=TODAY()+30,"Due (within 30 days)","Pass")))))</f>
        <v>Not Yet Inspected</v>
      </c>
      <c r="P306" s="18"/>
      <c r="Q306" s="18"/>
      <c r="R306" s="19"/>
    </row>
    <row r="307" customFormat="false" ht="15.75" hidden="false" customHeight="true" outlineLevel="0" collapsed="false">
      <c r="A307" s="18"/>
      <c r="B307" s="18"/>
      <c r="C307" s="19"/>
      <c r="D307" s="19" t="str">
        <f aca="false">IF(C307="","",DATE(YEAR(C307)+1,MONTH(C307),DAY(C307)))</f>
        <v/>
      </c>
      <c r="E307" s="20"/>
      <c r="F307" s="20"/>
      <c r="G307" s="20"/>
      <c r="H307" s="20"/>
      <c r="I307" s="20"/>
      <c r="J307" s="20"/>
      <c r="K307" s="20"/>
      <c r="L307" s="20"/>
      <c r="M307" s="20"/>
      <c r="N307" s="18" t="str">
        <f aca="false">IF(COUNTBLANK(E307:M307)=9,"",IF(COUNTIF(E307:M307,"Fail")&gt;0,"Fail",IF(COUNTBLANK(E307:M307)&gt;0,"Incomplete","Pass")))</f>
        <v/>
      </c>
      <c r="O307" s="18" t="str">
        <f aca="true">IF(N307="","Not Yet Inspected",IF(N307="Fail","Fail",IF(D307="","",IF(D307&lt;TODAY(),"Overdue",IF(D307&lt;=TODAY()+30,"Due (within 30 days)","Pass")))))</f>
        <v>Not Yet Inspected</v>
      </c>
      <c r="P307" s="18"/>
      <c r="Q307" s="18"/>
      <c r="R307" s="19"/>
    </row>
    <row r="308" customFormat="false" ht="15.75" hidden="false" customHeight="true" outlineLevel="0" collapsed="false">
      <c r="A308" s="18"/>
      <c r="B308" s="18"/>
      <c r="C308" s="19"/>
      <c r="D308" s="19" t="str">
        <f aca="false">IF(C308="","",DATE(YEAR(C308)+1,MONTH(C308),DAY(C308)))</f>
        <v/>
      </c>
      <c r="E308" s="20"/>
      <c r="F308" s="20"/>
      <c r="G308" s="20"/>
      <c r="H308" s="20"/>
      <c r="I308" s="20"/>
      <c r="J308" s="20"/>
      <c r="K308" s="20"/>
      <c r="L308" s="20"/>
      <c r="M308" s="20"/>
      <c r="N308" s="18" t="str">
        <f aca="false">IF(COUNTBLANK(E308:M308)=9,"",IF(COUNTIF(E308:M308,"Fail")&gt;0,"Fail",IF(COUNTBLANK(E308:M308)&gt;0,"Incomplete","Pass")))</f>
        <v/>
      </c>
      <c r="O308" s="18" t="str">
        <f aca="true">IF(N308="","Not Yet Inspected",IF(N308="Fail","Fail",IF(D308="","",IF(D308&lt;TODAY(),"Overdue",IF(D308&lt;=TODAY()+30,"Due (within 30 days)","Pass")))))</f>
        <v>Not Yet Inspected</v>
      </c>
      <c r="P308" s="18"/>
      <c r="Q308" s="18"/>
      <c r="R308" s="19"/>
    </row>
    <row r="309" customFormat="false" ht="15.75" hidden="false" customHeight="true" outlineLevel="0" collapsed="false">
      <c r="A309" s="18"/>
      <c r="B309" s="18"/>
      <c r="C309" s="19"/>
      <c r="D309" s="19" t="str">
        <f aca="false">IF(C309="","",DATE(YEAR(C309)+1,MONTH(C309),DAY(C309)))</f>
        <v/>
      </c>
      <c r="E309" s="20"/>
      <c r="F309" s="20"/>
      <c r="G309" s="20"/>
      <c r="H309" s="20"/>
      <c r="I309" s="20"/>
      <c r="J309" s="20"/>
      <c r="K309" s="20"/>
      <c r="L309" s="20"/>
      <c r="M309" s="20"/>
      <c r="N309" s="18" t="str">
        <f aca="false">IF(COUNTBLANK(E309:M309)=9,"",IF(COUNTIF(E309:M309,"Fail")&gt;0,"Fail",IF(COUNTBLANK(E309:M309)&gt;0,"Incomplete","Pass")))</f>
        <v/>
      </c>
      <c r="O309" s="18" t="str">
        <f aca="true">IF(N309="","Not Yet Inspected",IF(N309="Fail","Fail",IF(D309="","",IF(D309&lt;TODAY(),"Overdue",IF(D309&lt;=TODAY()+30,"Due (within 30 days)","Pass")))))</f>
        <v>Not Yet Inspected</v>
      </c>
      <c r="P309" s="18"/>
      <c r="Q309" s="18"/>
      <c r="R309" s="19"/>
    </row>
    <row r="310" customFormat="false" ht="15.75" hidden="false" customHeight="true" outlineLevel="0" collapsed="false">
      <c r="A310" s="18"/>
      <c r="B310" s="18"/>
      <c r="C310" s="19"/>
      <c r="D310" s="19" t="str">
        <f aca="false">IF(C310="","",DATE(YEAR(C310)+1,MONTH(C310),DAY(C310)))</f>
        <v/>
      </c>
      <c r="E310" s="20"/>
      <c r="F310" s="20"/>
      <c r="G310" s="20"/>
      <c r="H310" s="20"/>
      <c r="I310" s="20"/>
      <c r="J310" s="20"/>
      <c r="K310" s="20"/>
      <c r="L310" s="20"/>
      <c r="M310" s="20"/>
      <c r="N310" s="18" t="str">
        <f aca="false">IF(COUNTBLANK(E310:M310)=9,"",IF(COUNTIF(E310:M310,"Fail")&gt;0,"Fail",IF(COUNTBLANK(E310:M310)&gt;0,"Incomplete","Pass")))</f>
        <v/>
      </c>
      <c r="O310" s="18" t="str">
        <f aca="true">IF(N310="","Not Yet Inspected",IF(N310="Fail","Fail",IF(D310="","",IF(D310&lt;TODAY(),"Overdue",IF(D310&lt;=TODAY()+30,"Due (within 30 days)","Pass")))))</f>
        <v>Not Yet Inspected</v>
      </c>
      <c r="P310" s="18"/>
      <c r="Q310" s="18"/>
      <c r="R310" s="19"/>
    </row>
    <row r="311" customFormat="false" ht="15.75" hidden="false" customHeight="true" outlineLevel="0" collapsed="false">
      <c r="A311" s="18"/>
      <c r="B311" s="18"/>
      <c r="C311" s="19"/>
      <c r="D311" s="19" t="str">
        <f aca="false">IF(C311="","",DATE(YEAR(C311)+1,MONTH(C311),DAY(C311)))</f>
        <v/>
      </c>
      <c r="E311" s="20"/>
      <c r="F311" s="20"/>
      <c r="G311" s="20"/>
      <c r="H311" s="20"/>
      <c r="I311" s="20"/>
      <c r="J311" s="20"/>
      <c r="K311" s="20"/>
      <c r="L311" s="20"/>
      <c r="M311" s="20"/>
      <c r="N311" s="18" t="str">
        <f aca="false">IF(COUNTBLANK(E311:M311)=9,"",IF(COUNTIF(E311:M311,"Fail")&gt;0,"Fail",IF(COUNTBLANK(E311:M311)&gt;0,"Incomplete","Pass")))</f>
        <v/>
      </c>
      <c r="O311" s="18" t="str">
        <f aca="true">IF(N311="","Not Yet Inspected",IF(N311="Fail","Fail",IF(D311="","",IF(D311&lt;TODAY(),"Overdue",IF(D311&lt;=TODAY()+30,"Due (within 30 days)","Pass")))))</f>
        <v>Not Yet Inspected</v>
      </c>
      <c r="P311" s="18"/>
      <c r="Q311" s="18"/>
      <c r="R311" s="19"/>
    </row>
    <row r="312" customFormat="false" ht="15.75" hidden="false" customHeight="true" outlineLevel="0" collapsed="false">
      <c r="A312" s="18"/>
      <c r="B312" s="18"/>
      <c r="C312" s="19"/>
      <c r="D312" s="19" t="str">
        <f aca="false">IF(C312="","",DATE(YEAR(C312)+1,MONTH(C312),DAY(C312)))</f>
        <v/>
      </c>
      <c r="E312" s="20"/>
      <c r="F312" s="20"/>
      <c r="G312" s="20"/>
      <c r="H312" s="20"/>
      <c r="I312" s="20"/>
      <c r="J312" s="20"/>
      <c r="K312" s="20"/>
      <c r="L312" s="20"/>
      <c r="M312" s="20"/>
      <c r="N312" s="18" t="str">
        <f aca="false">IF(COUNTBLANK(E312:M312)=9,"",IF(COUNTIF(E312:M312,"Fail")&gt;0,"Fail",IF(COUNTBLANK(E312:M312)&gt;0,"Incomplete","Pass")))</f>
        <v/>
      </c>
      <c r="O312" s="18" t="str">
        <f aca="true">IF(N312="","Not Yet Inspected",IF(N312="Fail","Fail",IF(D312="","",IF(D312&lt;TODAY(),"Overdue",IF(D312&lt;=TODAY()+30,"Due (within 30 days)","Pass")))))</f>
        <v>Not Yet Inspected</v>
      </c>
      <c r="P312" s="18"/>
      <c r="Q312" s="18"/>
      <c r="R312" s="19"/>
    </row>
    <row r="313" customFormat="false" ht="15.75" hidden="false" customHeight="true" outlineLevel="0" collapsed="false">
      <c r="A313" s="18"/>
      <c r="B313" s="18"/>
      <c r="C313" s="19"/>
      <c r="D313" s="19" t="str">
        <f aca="false">IF(C313="","",DATE(YEAR(C313)+1,MONTH(C313),DAY(C313)))</f>
        <v/>
      </c>
      <c r="E313" s="20"/>
      <c r="F313" s="20"/>
      <c r="G313" s="20"/>
      <c r="H313" s="20"/>
      <c r="I313" s="20"/>
      <c r="J313" s="20"/>
      <c r="K313" s="20"/>
      <c r="L313" s="20"/>
      <c r="M313" s="20"/>
      <c r="N313" s="18" t="str">
        <f aca="false">IF(COUNTBLANK(E313:M313)=9,"",IF(COUNTIF(E313:M313,"Fail")&gt;0,"Fail",IF(COUNTBLANK(E313:M313)&gt;0,"Incomplete","Pass")))</f>
        <v/>
      </c>
      <c r="O313" s="18" t="str">
        <f aca="true">IF(N313="","Not Yet Inspected",IF(N313="Fail","Fail",IF(D313="","",IF(D313&lt;TODAY(),"Overdue",IF(D313&lt;=TODAY()+30,"Due (within 30 days)","Pass")))))</f>
        <v>Not Yet Inspected</v>
      </c>
      <c r="P313" s="18"/>
      <c r="Q313" s="18"/>
      <c r="R313" s="19"/>
    </row>
    <row r="314" customFormat="false" ht="15.75" hidden="false" customHeight="true" outlineLevel="0" collapsed="false">
      <c r="A314" s="18"/>
      <c r="B314" s="18"/>
      <c r="C314" s="19"/>
      <c r="D314" s="19" t="str">
        <f aca="false">IF(C314="","",DATE(YEAR(C314)+1,MONTH(C314),DAY(C314)))</f>
        <v/>
      </c>
      <c r="E314" s="20"/>
      <c r="F314" s="20"/>
      <c r="G314" s="20"/>
      <c r="H314" s="20"/>
      <c r="I314" s="20"/>
      <c r="J314" s="20"/>
      <c r="K314" s="20"/>
      <c r="L314" s="20"/>
      <c r="M314" s="20"/>
      <c r="N314" s="18" t="str">
        <f aca="false">IF(COUNTBLANK(E314:M314)=9,"",IF(COUNTIF(E314:M314,"Fail")&gt;0,"Fail",IF(COUNTBLANK(E314:M314)&gt;0,"Incomplete","Pass")))</f>
        <v/>
      </c>
      <c r="O314" s="18" t="str">
        <f aca="true">IF(N314="","Not Yet Inspected",IF(N314="Fail","Fail",IF(D314="","",IF(D314&lt;TODAY(),"Overdue",IF(D314&lt;=TODAY()+30,"Due (within 30 days)","Pass")))))</f>
        <v>Not Yet Inspected</v>
      </c>
      <c r="P314" s="18"/>
      <c r="Q314" s="18"/>
      <c r="R314" s="19"/>
    </row>
    <row r="315" customFormat="false" ht="15.75" hidden="false" customHeight="true" outlineLevel="0" collapsed="false">
      <c r="A315" s="18"/>
      <c r="B315" s="18"/>
      <c r="C315" s="19"/>
      <c r="D315" s="19" t="str">
        <f aca="false">IF(C315="","",DATE(YEAR(C315)+1,MONTH(C315),DAY(C315)))</f>
        <v/>
      </c>
      <c r="E315" s="20"/>
      <c r="F315" s="20"/>
      <c r="G315" s="20"/>
      <c r="H315" s="20"/>
      <c r="I315" s="20"/>
      <c r="J315" s="20"/>
      <c r="K315" s="20"/>
      <c r="L315" s="20"/>
      <c r="M315" s="20"/>
      <c r="N315" s="18" t="str">
        <f aca="false">IF(COUNTBLANK(E315:M315)=9,"",IF(COUNTIF(E315:M315,"Fail")&gt;0,"Fail",IF(COUNTBLANK(E315:M315)&gt;0,"Incomplete","Pass")))</f>
        <v/>
      </c>
      <c r="O315" s="18" t="str">
        <f aca="true">IF(N315="","Not Yet Inspected",IF(N315="Fail","Fail",IF(D315="","",IF(D315&lt;TODAY(),"Overdue",IF(D315&lt;=TODAY()+30,"Due (within 30 days)","Pass")))))</f>
        <v>Not Yet Inspected</v>
      </c>
      <c r="P315" s="18"/>
      <c r="Q315" s="18"/>
      <c r="R315" s="19"/>
    </row>
    <row r="316" customFormat="false" ht="15.75" hidden="false" customHeight="true" outlineLevel="0" collapsed="false">
      <c r="A316" s="18"/>
      <c r="B316" s="18"/>
      <c r="C316" s="19"/>
      <c r="D316" s="19" t="str">
        <f aca="false">IF(C316="","",DATE(YEAR(C316)+1,MONTH(C316),DAY(C316)))</f>
        <v/>
      </c>
      <c r="E316" s="20"/>
      <c r="F316" s="20"/>
      <c r="G316" s="20"/>
      <c r="H316" s="20"/>
      <c r="I316" s="20"/>
      <c r="J316" s="20"/>
      <c r="K316" s="20"/>
      <c r="L316" s="20"/>
      <c r="M316" s="20"/>
      <c r="N316" s="18" t="str">
        <f aca="false">IF(COUNTBLANK(E316:M316)=9,"",IF(COUNTIF(E316:M316,"Fail")&gt;0,"Fail",IF(COUNTBLANK(E316:M316)&gt;0,"Incomplete","Pass")))</f>
        <v/>
      </c>
      <c r="O316" s="18" t="str">
        <f aca="true">IF(N316="","Not Yet Inspected",IF(N316="Fail","Fail",IF(D316="","",IF(D316&lt;TODAY(),"Overdue",IF(D316&lt;=TODAY()+30,"Due (within 30 days)","Pass")))))</f>
        <v>Not Yet Inspected</v>
      </c>
      <c r="P316" s="18"/>
      <c r="Q316" s="18"/>
      <c r="R316" s="19"/>
    </row>
    <row r="317" customFormat="false" ht="15.75" hidden="false" customHeight="true" outlineLevel="0" collapsed="false">
      <c r="A317" s="18"/>
      <c r="B317" s="18"/>
      <c r="C317" s="19"/>
      <c r="D317" s="19" t="str">
        <f aca="false">IF(C317="","",DATE(YEAR(C317)+1,MONTH(C317),DAY(C317)))</f>
        <v/>
      </c>
      <c r="E317" s="20"/>
      <c r="F317" s="20"/>
      <c r="G317" s="20"/>
      <c r="H317" s="20"/>
      <c r="I317" s="20"/>
      <c r="J317" s="20"/>
      <c r="K317" s="20"/>
      <c r="L317" s="20"/>
      <c r="M317" s="20"/>
      <c r="N317" s="18" t="str">
        <f aca="false">IF(COUNTBLANK(E317:M317)=9,"",IF(COUNTIF(E317:M317,"Fail")&gt;0,"Fail",IF(COUNTBLANK(E317:M317)&gt;0,"Incomplete","Pass")))</f>
        <v/>
      </c>
      <c r="O317" s="18" t="str">
        <f aca="true">IF(N317="","Not Yet Inspected",IF(N317="Fail","Fail",IF(D317="","",IF(D317&lt;TODAY(),"Overdue",IF(D317&lt;=TODAY()+30,"Due (within 30 days)","Pass")))))</f>
        <v>Not Yet Inspected</v>
      </c>
      <c r="P317" s="18"/>
      <c r="Q317" s="18"/>
      <c r="R317" s="19"/>
    </row>
    <row r="318" customFormat="false" ht="15.75" hidden="false" customHeight="true" outlineLevel="0" collapsed="false">
      <c r="A318" s="18"/>
      <c r="B318" s="18"/>
      <c r="C318" s="19"/>
      <c r="D318" s="19" t="str">
        <f aca="false">IF(C318="","",DATE(YEAR(C318)+1,MONTH(C318),DAY(C318)))</f>
        <v/>
      </c>
      <c r="E318" s="20"/>
      <c r="F318" s="20"/>
      <c r="G318" s="20"/>
      <c r="H318" s="20"/>
      <c r="I318" s="20"/>
      <c r="J318" s="20"/>
      <c r="K318" s="20"/>
      <c r="L318" s="20"/>
      <c r="M318" s="20"/>
      <c r="N318" s="18" t="str">
        <f aca="false">IF(COUNTBLANK(E318:M318)=9,"",IF(COUNTIF(E318:M318,"Fail")&gt;0,"Fail",IF(COUNTBLANK(E318:M318)&gt;0,"Incomplete","Pass")))</f>
        <v/>
      </c>
      <c r="O318" s="18" t="str">
        <f aca="true">IF(N318="","Not Yet Inspected",IF(N318="Fail","Fail",IF(D318="","",IF(D318&lt;TODAY(),"Overdue",IF(D318&lt;=TODAY()+30,"Due (within 30 days)","Pass")))))</f>
        <v>Not Yet Inspected</v>
      </c>
      <c r="P318" s="18"/>
      <c r="Q318" s="18"/>
      <c r="R318" s="19"/>
    </row>
    <row r="319" customFormat="false" ht="15.75" hidden="false" customHeight="true" outlineLevel="0" collapsed="false">
      <c r="A319" s="18"/>
      <c r="B319" s="18"/>
      <c r="C319" s="19"/>
      <c r="D319" s="19" t="str">
        <f aca="false">IF(C319="","",DATE(YEAR(C319)+1,MONTH(C319),DAY(C319)))</f>
        <v/>
      </c>
      <c r="E319" s="20"/>
      <c r="F319" s="20"/>
      <c r="G319" s="20"/>
      <c r="H319" s="20"/>
      <c r="I319" s="20"/>
      <c r="J319" s="20"/>
      <c r="K319" s="20"/>
      <c r="L319" s="20"/>
      <c r="M319" s="20"/>
      <c r="N319" s="18" t="str">
        <f aca="false">IF(COUNTBLANK(E319:M319)=9,"",IF(COUNTIF(E319:M319,"Fail")&gt;0,"Fail",IF(COUNTBLANK(E319:M319)&gt;0,"Incomplete","Pass")))</f>
        <v/>
      </c>
      <c r="O319" s="18" t="str">
        <f aca="true">IF(N319="","Not Yet Inspected",IF(N319="Fail","Fail",IF(D319="","",IF(D319&lt;TODAY(),"Overdue",IF(D319&lt;=TODAY()+30,"Due (within 30 days)","Pass")))))</f>
        <v>Not Yet Inspected</v>
      </c>
      <c r="P319" s="18"/>
      <c r="Q319" s="18"/>
      <c r="R319" s="19"/>
    </row>
    <row r="320" customFormat="false" ht="15.75" hidden="false" customHeight="true" outlineLevel="0" collapsed="false">
      <c r="A320" s="18"/>
      <c r="B320" s="18"/>
      <c r="C320" s="19"/>
      <c r="D320" s="19" t="str">
        <f aca="false">IF(C320="","",DATE(YEAR(C320)+1,MONTH(C320),DAY(C320)))</f>
        <v/>
      </c>
      <c r="E320" s="20"/>
      <c r="F320" s="20"/>
      <c r="G320" s="20"/>
      <c r="H320" s="20"/>
      <c r="I320" s="20"/>
      <c r="J320" s="20"/>
      <c r="K320" s="20"/>
      <c r="L320" s="20"/>
      <c r="M320" s="20"/>
      <c r="N320" s="18" t="str">
        <f aca="false">IF(COUNTBLANK(E320:M320)=9,"",IF(COUNTIF(E320:M320,"Fail")&gt;0,"Fail",IF(COUNTBLANK(E320:M320)&gt;0,"Incomplete","Pass")))</f>
        <v/>
      </c>
      <c r="O320" s="18" t="str">
        <f aca="true">IF(N320="","Not Yet Inspected",IF(N320="Fail","Fail",IF(D320="","",IF(D320&lt;TODAY(),"Overdue",IF(D320&lt;=TODAY()+30,"Due (within 30 days)","Pass")))))</f>
        <v>Not Yet Inspected</v>
      </c>
      <c r="P320" s="18"/>
      <c r="Q320" s="18"/>
      <c r="R320" s="19"/>
    </row>
    <row r="321" customFormat="false" ht="15.75" hidden="false" customHeight="true" outlineLevel="0" collapsed="false">
      <c r="A321" s="18"/>
      <c r="B321" s="18"/>
      <c r="C321" s="19"/>
      <c r="D321" s="19" t="str">
        <f aca="false">IF(C321="","",DATE(YEAR(C321)+1,MONTH(C321),DAY(C321)))</f>
        <v/>
      </c>
      <c r="E321" s="20"/>
      <c r="F321" s="20"/>
      <c r="G321" s="20"/>
      <c r="H321" s="20"/>
      <c r="I321" s="20"/>
      <c r="J321" s="20"/>
      <c r="K321" s="20"/>
      <c r="L321" s="20"/>
      <c r="M321" s="20"/>
      <c r="N321" s="18" t="str">
        <f aca="false">IF(COUNTBLANK(E321:M321)=9,"",IF(COUNTIF(E321:M321,"Fail")&gt;0,"Fail",IF(COUNTBLANK(E321:M321)&gt;0,"Incomplete","Pass")))</f>
        <v/>
      </c>
      <c r="O321" s="18" t="str">
        <f aca="true">IF(N321="","Not Yet Inspected",IF(N321="Fail","Fail",IF(D321="","",IF(D321&lt;TODAY(),"Overdue",IF(D321&lt;=TODAY()+30,"Due (within 30 days)","Pass")))))</f>
        <v>Not Yet Inspected</v>
      </c>
      <c r="P321" s="18"/>
      <c r="Q321" s="18"/>
      <c r="R321" s="19"/>
    </row>
    <row r="322" customFormat="false" ht="15.75" hidden="false" customHeight="true" outlineLevel="0" collapsed="false">
      <c r="A322" s="18"/>
      <c r="B322" s="18"/>
      <c r="C322" s="19"/>
      <c r="D322" s="19" t="str">
        <f aca="false">IF(C322="","",DATE(YEAR(C322)+1,MONTH(C322),DAY(C322)))</f>
        <v/>
      </c>
      <c r="E322" s="20"/>
      <c r="F322" s="20"/>
      <c r="G322" s="20"/>
      <c r="H322" s="20"/>
      <c r="I322" s="20"/>
      <c r="J322" s="20"/>
      <c r="K322" s="20"/>
      <c r="L322" s="20"/>
      <c r="M322" s="20"/>
      <c r="N322" s="18" t="str">
        <f aca="false">IF(COUNTBLANK(E322:M322)=9,"",IF(COUNTIF(E322:M322,"Fail")&gt;0,"Fail",IF(COUNTBLANK(E322:M322)&gt;0,"Incomplete","Pass")))</f>
        <v/>
      </c>
      <c r="O322" s="18" t="str">
        <f aca="true">IF(N322="","Not Yet Inspected",IF(N322="Fail","Fail",IF(D322="","",IF(D322&lt;TODAY(),"Overdue",IF(D322&lt;=TODAY()+30,"Due (within 30 days)","Pass")))))</f>
        <v>Not Yet Inspected</v>
      </c>
      <c r="P322" s="18"/>
      <c r="Q322" s="18"/>
      <c r="R322" s="19"/>
    </row>
    <row r="323" customFormat="false" ht="15.75" hidden="false" customHeight="true" outlineLevel="0" collapsed="false">
      <c r="A323" s="18"/>
      <c r="B323" s="18"/>
      <c r="C323" s="19"/>
      <c r="D323" s="19" t="str">
        <f aca="false">IF(C323="","",DATE(YEAR(C323)+1,MONTH(C323),DAY(C323)))</f>
        <v/>
      </c>
      <c r="E323" s="20"/>
      <c r="F323" s="20"/>
      <c r="G323" s="20"/>
      <c r="H323" s="20"/>
      <c r="I323" s="20"/>
      <c r="J323" s="20"/>
      <c r="K323" s="20"/>
      <c r="L323" s="20"/>
      <c r="M323" s="20"/>
      <c r="N323" s="18" t="str">
        <f aca="false">IF(COUNTBLANK(E323:M323)=9,"",IF(COUNTIF(E323:M323,"Fail")&gt;0,"Fail",IF(COUNTBLANK(E323:M323)&gt;0,"Incomplete","Pass")))</f>
        <v/>
      </c>
      <c r="O323" s="18" t="str">
        <f aca="true">IF(N323="","Not Yet Inspected",IF(N323="Fail","Fail",IF(D323="","",IF(D323&lt;TODAY(),"Overdue",IF(D323&lt;=TODAY()+30,"Due (within 30 days)","Pass")))))</f>
        <v>Not Yet Inspected</v>
      </c>
      <c r="P323" s="18"/>
      <c r="Q323" s="18"/>
      <c r="R323" s="19"/>
    </row>
    <row r="324" customFormat="false" ht="15.75" hidden="false" customHeight="true" outlineLevel="0" collapsed="false">
      <c r="A324" s="18"/>
      <c r="B324" s="18"/>
      <c r="C324" s="19"/>
      <c r="D324" s="19" t="str">
        <f aca="false">IF(C324="","",DATE(YEAR(C324)+1,MONTH(C324),DAY(C324)))</f>
        <v/>
      </c>
      <c r="E324" s="20"/>
      <c r="F324" s="20"/>
      <c r="G324" s="20"/>
      <c r="H324" s="20"/>
      <c r="I324" s="20"/>
      <c r="J324" s="20"/>
      <c r="K324" s="20"/>
      <c r="L324" s="20"/>
      <c r="M324" s="20"/>
      <c r="N324" s="18" t="str">
        <f aca="false">IF(COUNTBLANK(E324:M324)=9,"",IF(COUNTIF(E324:M324,"Fail")&gt;0,"Fail",IF(COUNTBLANK(E324:M324)&gt;0,"Incomplete","Pass")))</f>
        <v/>
      </c>
      <c r="O324" s="18" t="str">
        <f aca="true">IF(N324="","Not Yet Inspected",IF(N324="Fail","Fail",IF(D324="","",IF(D324&lt;TODAY(),"Overdue",IF(D324&lt;=TODAY()+30,"Due (within 30 days)","Pass")))))</f>
        <v>Not Yet Inspected</v>
      </c>
      <c r="P324" s="18"/>
      <c r="Q324" s="18"/>
      <c r="R324" s="19"/>
    </row>
    <row r="325" customFormat="false" ht="15.75" hidden="false" customHeight="true" outlineLevel="0" collapsed="false">
      <c r="A325" s="18"/>
      <c r="B325" s="18"/>
      <c r="C325" s="19"/>
      <c r="D325" s="19" t="str">
        <f aca="false">IF(C325="","",DATE(YEAR(C325)+1,MONTH(C325),DAY(C325)))</f>
        <v/>
      </c>
      <c r="E325" s="20"/>
      <c r="F325" s="20"/>
      <c r="G325" s="20"/>
      <c r="H325" s="20"/>
      <c r="I325" s="20"/>
      <c r="J325" s="20"/>
      <c r="K325" s="20"/>
      <c r="L325" s="20"/>
      <c r="M325" s="20"/>
      <c r="N325" s="18" t="str">
        <f aca="false">IF(COUNTBLANK(E325:M325)=9,"",IF(COUNTIF(E325:M325,"Fail")&gt;0,"Fail",IF(COUNTBLANK(E325:M325)&gt;0,"Incomplete","Pass")))</f>
        <v/>
      </c>
      <c r="O325" s="18" t="str">
        <f aca="true">IF(N325="","Not Yet Inspected",IF(N325="Fail","Fail",IF(D325="","",IF(D325&lt;TODAY(),"Overdue",IF(D325&lt;=TODAY()+30,"Due (within 30 days)","Pass")))))</f>
        <v>Not Yet Inspected</v>
      </c>
      <c r="P325" s="18"/>
      <c r="Q325" s="18"/>
      <c r="R325" s="19"/>
    </row>
    <row r="326" customFormat="false" ht="15.75" hidden="false" customHeight="true" outlineLevel="0" collapsed="false">
      <c r="A326" s="18"/>
      <c r="B326" s="18"/>
      <c r="C326" s="19"/>
      <c r="D326" s="19" t="str">
        <f aca="false">IF(C326="","",DATE(YEAR(C326)+1,MONTH(C326),DAY(C326)))</f>
        <v/>
      </c>
      <c r="E326" s="20"/>
      <c r="F326" s="20"/>
      <c r="G326" s="20"/>
      <c r="H326" s="20"/>
      <c r="I326" s="20"/>
      <c r="J326" s="20"/>
      <c r="K326" s="20"/>
      <c r="L326" s="20"/>
      <c r="M326" s="20"/>
      <c r="N326" s="18" t="str">
        <f aca="false">IF(COUNTBLANK(E326:M326)=9,"",IF(COUNTIF(E326:M326,"Fail")&gt;0,"Fail",IF(COUNTBLANK(E326:M326)&gt;0,"Incomplete","Pass")))</f>
        <v/>
      </c>
      <c r="O326" s="18" t="str">
        <f aca="true">IF(N326="","Not Yet Inspected",IF(N326="Fail","Fail",IF(D326="","",IF(D326&lt;TODAY(),"Overdue",IF(D326&lt;=TODAY()+30,"Due (within 30 days)","Pass")))))</f>
        <v>Not Yet Inspected</v>
      </c>
      <c r="P326" s="18"/>
      <c r="Q326" s="18"/>
      <c r="R326" s="19"/>
    </row>
    <row r="327" customFormat="false" ht="15.75" hidden="false" customHeight="true" outlineLevel="0" collapsed="false">
      <c r="A327" s="18"/>
      <c r="B327" s="18"/>
      <c r="C327" s="19"/>
      <c r="D327" s="19" t="str">
        <f aca="false">IF(C327="","",DATE(YEAR(C327)+1,MONTH(C327),DAY(C327)))</f>
        <v/>
      </c>
      <c r="E327" s="20"/>
      <c r="F327" s="20"/>
      <c r="G327" s="20"/>
      <c r="H327" s="20"/>
      <c r="I327" s="20"/>
      <c r="J327" s="20"/>
      <c r="K327" s="20"/>
      <c r="L327" s="20"/>
      <c r="M327" s="20"/>
      <c r="N327" s="18" t="str">
        <f aca="false">IF(COUNTBLANK(E327:M327)=9,"",IF(COUNTIF(E327:M327,"Fail")&gt;0,"Fail",IF(COUNTBLANK(E327:M327)&gt;0,"Incomplete","Pass")))</f>
        <v/>
      </c>
      <c r="O327" s="18" t="str">
        <f aca="true">IF(N327="","Not Yet Inspected",IF(N327="Fail","Fail",IF(D327="","",IF(D327&lt;TODAY(),"Overdue",IF(D327&lt;=TODAY()+30,"Due (within 30 days)","Pass")))))</f>
        <v>Not Yet Inspected</v>
      </c>
      <c r="P327" s="18"/>
      <c r="Q327" s="18"/>
      <c r="R327" s="19"/>
    </row>
    <row r="328" customFormat="false" ht="15.75" hidden="false" customHeight="true" outlineLevel="0" collapsed="false">
      <c r="A328" s="18"/>
      <c r="B328" s="18"/>
      <c r="C328" s="19"/>
      <c r="D328" s="19" t="str">
        <f aca="false">IF(C328="","",DATE(YEAR(C328)+1,MONTH(C328),DAY(C328)))</f>
        <v/>
      </c>
      <c r="E328" s="20"/>
      <c r="F328" s="20"/>
      <c r="G328" s="20"/>
      <c r="H328" s="20"/>
      <c r="I328" s="20"/>
      <c r="J328" s="20"/>
      <c r="K328" s="20"/>
      <c r="L328" s="20"/>
      <c r="M328" s="20"/>
      <c r="N328" s="18" t="str">
        <f aca="false">IF(COUNTBLANK(E328:M328)=9,"",IF(COUNTIF(E328:M328,"Fail")&gt;0,"Fail",IF(COUNTBLANK(E328:M328)&gt;0,"Incomplete","Pass")))</f>
        <v/>
      </c>
      <c r="O328" s="18" t="str">
        <f aca="true">IF(N328="","Not Yet Inspected",IF(N328="Fail","Fail",IF(D328="","",IF(D328&lt;TODAY(),"Overdue",IF(D328&lt;=TODAY()+30,"Due (within 30 days)","Pass")))))</f>
        <v>Not Yet Inspected</v>
      </c>
      <c r="P328" s="18"/>
      <c r="Q328" s="18"/>
      <c r="R328" s="19"/>
    </row>
    <row r="329" customFormat="false" ht="15.75" hidden="false" customHeight="true" outlineLevel="0" collapsed="false">
      <c r="A329" s="18"/>
      <c r="B329" s="18"/>
      <c r="C329" s="19"/>
      <c r="D329" s="19" t="str">
        <f aca="false">IF(C329="","",DATE(YEAR(C329)+1,MONTH(C329),DAY(C329)))</f>
        <v/>
      </c>
      <c r="E329" s="20"/>
      <c r="F329" s="20"/>
      <c r="G329" s="20"/>
      <c r="H329" s="20"/>
      <c r="I329" s="20"/>
      <c r="J329" s="20"/>
      <c r="K329" s="20"/>
      <c r="L329" s="20"/>
      <c r="M329" s="20"/>
      <c r="N329" s="18" t="str">
        <f aca="false">IF(COUNTBLANK(E329:M329)=9,"",IF(COUNTIF(E329:M329,"Fail")&gt;0,"Fail",IF(COUNTBLANK(E329:M329)&gt;0,"Incomplete","Pass")))</f>
        <v/>
      </c>
      <c r="O329" s="18" t="str">
        <f aca="true">IF(N329="","Not Yet Inspected",IF(N329="Fail","Fail",IF(D329="","",IF(D329&lt;TODAY(),"Overdue",IF(D329&lt;=TODAY()+30,"Due (within 30 days)","Pass")))))</f>
        <v>Not Yet Inspected</v>
      </c>
      <c r="P329" s="18"/>
      <c r="Q329" s="18"/>
      <c r="R329" s="19"/>
    </row>
    <row r="330" customFormat="false" ht="15.75" hidden="false" customHeight="true" outlineLevel="0" collapsed="false">
      <c r="A330" s="18"/>
      <c r="B330" s="18"/>
      <c r="C330" s="19"/>
      <c r="D330" s="19" t="str">
        <f aca="false">IF(C330="","",DATE(YEAR(C330)+1,MONTH(C330),DAY(C330)))</f>
        <v/>
      </c>
      <c r="E330" s="20"/>
      <c r="F330" s="20"/>
      <c r="G330" s="20"/>
      <c r="H330" s="20"/>
      <c r="I330" s="20"/>
      <c r="J330" s="20"/>
      <c r="K330" s="20"/>
      <c r="L330" s="20"/>
      <c r="M330" s="20"/>
      <c r="N330" s="18" t="str">
        <f aca="false">IF(COUNTBLANK(E330:M330)=9,"",IF(COUNTIF(E330:M330,"Fail")&gt;0,"Fail",IF(COUNTBLANK(E330:M330)&gt;0,"Incomplete","Pass")))</f>
        <v/>
      </c>
      <c r="O330" s="18" t="str">
        <f aca="true">IF(N330="","Not Yet Inspected",IF(N330="Fail","Fail",IF(D330="","",IF(D330&lt;TODAY(),"Overdue",IF(D330&lt;=TODAY()+30,"Due (within 30 days)","Pass")))))</f>
        <v>Not Yet Inspected</v>
      </c>
      <c r="P330" s="18"/>
      <c r="Q330" s="18"/>
      <c r="R330" s="19"/>
    </row>
    <row r="331" customFormat="false" ht="15.75" hidden="false" customHeight="true" outlineLevel="0" collapsed="false">
      <c r="A331" s="18"/>
      <c r="B331" s="18"/>
      <c r="C331" s="19"/>
      <c r="D331" s="19" t="str">
        <f aca="false">IF(C331="","",DATE(YEAR(C331)+1,MONTH(C331),DAY(C331)))</f>
        <v/>
      </c>
      <c r="E331" s="20"/>
      <c r="F331" s="20"/>
      <c r="G331" s="20"/>
      <c r="H331" s="20"/>
      <c r="I331" s="20"/>
      <c r="J331" s="20"/>
      <c r="K331" s="20"/>
      <c r="L331" s="20"/>
      <c r="M331" s="20"/>
      <c r="N331" s="18" t="str">
        <f aca="false">IF(COUNTBLANK(E331:M331)=9,"",IF(COUNTIF(E331:M331,"Fail")&gt;0,"Fail",IF(COUNTBLANK(E331:M331)&gt;0,"Incomplete","Pass")))</f>
        <v/>
      </c>
      <c r="O331" s="18" t="str">
        <f aca="true">IF(N331="","Not Yet Inspected",IF(N331="Fail","Fail",IF(D331="","",IF(D331&lt;TODAY(),"Overdue",IF(D331&lt;=TODAY()+30,"Due (within 30 days)","Pass")))))</f>
        <v>Not Yet Inspected</v>
      </c>
      <c r="P331" s="18"/>
      <c r="Q331" s="18"/>
      <c r="R331" s="19"/>
    </row>
    <row r="332" customFormat="false" ht="15.75" hidden="false" customHeight="true" outlineLevel="0" collapsed="false">
      <c r="A332" s="18"/>
      <c r="B332" s="18"/>
      <c r="C332" s="19"/>
      <c r="D332" s="19" t="str">
        <f aca="false">IF(C332="","",DATE(YEAR(C332)+1,MONTH(C332),DAY(C332)))</f>
        <v/>
      </c>
      <c r="E332" s="20"/>
      <c r="F332" s="20"/>
      <c r="G332" s="20"/>
      <c r="H332" s="20"/>
      <c r="I332" s="20"/>
      <c r="J332" s="20"/>
      <c r="K332" s="20"/>
      <c r="L332" s="20"/>
      <c r="M332" s="20"/>
      <c r="N332" s="18" t="str">
        <f aca="false">IF(COUNTBLANK(E332:M332)=9,"",IF(COUNTIF(E332:M332,"Fail")&gt;0,"Fail",IF(COUNTBLANK(E332:M332)&gt;0,"Incomplete","Pass")))</f>
        <v/>
      </c>
      <c r="O332" s="18" t="str">
        <f aca="true">IF(N332="","Not Yet Inspected",IF(N332="Fail","Fail",IF(D332="","",IF(D332&lt;TODAY(),"Overdue",IF(D332&lt;=TODAY()+30,"Due (within 30 days)","Pass")))))</f>
        <v>Not Yet Inspected</v>
      </c>
      <c r="P332" s="18"/>
      <c r="Q332" s="18"/>
      <c r="R332" s="19"/>
    </row>
    <row r="333" customFormat="false" ht="15.75" hidden="false" customHeight="true" outlineLevel="0" collapsed="false">
      <c r="A333" s="18"/>
      <c r="B333" s="18"/>
      <c r="C333" s="19"/>
      <c r="D333" s="19" t="str">
        <f aca="false">IF(C333="","",DATE(YEAR(C333)+1,MONTH(C333),DAY(C333)))</f>
        <v/>
      </c>
      <c r="E333" s="20"/>
      <c r="F333" s="20"/>
      <c r="G333" s="20"/>
      <c r="H333" s="20"/>
      <c r="I333" s="20"/>
      <c r="J333" s="20"/>
      <c r="K333" s="20"/>
      <c r="L333" s="20"/>
      <c r="M333" s="20"/>
      <c r="N333" s="18" t="str">
        <f aca="false">IF(COUNTBLANK(E333:M333)=9,"",IF(COUNTIF(E333:M333,"Fail")&gt;0,"Fail",IF(COUNTBLANK(E333:M333)&gt;0,"Incomplete","Pass")))</f>
        <v/>
      </c>
      <c r="O333" s="18" t="str">
        <f aca="true">IF(N333="","Not Yet Inspected",IF(N333="Fail","Fail",IF(D333="","",IF(D333&lt;TODAY(),"Overdue",IF(D333&lt;=TODAY()+30,"Due (within 30 days)","Pass")))))</f>
        <v>Not Yet Inspected</v>
      </c>
      <c r="P333" s="18"/>
      <c r="Q333" s="18"/>
      <c r="R333" s="19"/>
    </row>
    <row r="334" customFormat="false" ht="15.75" hidden="false" customHeight="true" outlineLevel="0" collapsed="false">
      <c r="A334" s="18"/>
      <c r="B334" s="18"/>
      <c r="C334" s="19"/>
      <c r="D334" s="19" t="str">
        <f aca="false">IF(C334="","",DATE(YEAR(C334)+1,MONTH(C334),DAY(C334)))</f>
        <v/>
      </c>
      <c r="E334" s="20"/>
      <c r="F334" s="20"/>
      <c r="G334" s="20"/>
      <c r="H334" s="20"/>
      <c r="I334" s="20"/>
      <c r="J334" s="20"/>
      <c r="K334" s="20"/>
      <c r="L334" s="20"/>
      <c r="M334" s="20"/>
      <c r="N334" s="18" t="str">
        <f aca="false">IF(COUNTBLANK(E334:M334)=9,"",IF(COUNTIF(E334:M334,"Fail")&gt;0,"Fail",IF(COUNTBLANK(E334:M334)&gt;0,"Incomplete","Pass")))</f>
        <v/>
      </c>
      <c r="O334" s="18" t="str">
        <f aca="true">IF(N334="","Not Yet Inspected",IF(N334="Fail","Fail",IF(D334="","",IF(D334&lt;TODAY(),"Overdue",IF(D334&lt;=TODAY()+30,"Due (within 30 days)","Pass")))))</f>
        <v>Not Yet Inspected</v>
      </c>
      <c r="P334" s="18"/>
      <c r="Q334" s="18"/>
      <c r="R334" s="19"/>
    </row>
    <row r="335" customFormat="false" ht="15.75" hidden="false" customHeight="true" outlineLevel="0" collapsed="false">
      <c r="A335" s="18"/>
      <c r="B335" s="18"/>
      <c r="C335" s="19"/>
      <c r="D335" s="19" t="str">
        <f aca="false">IF(C335="","",DATE(YEAR(C335)+1,MONTH(C335),DAY(C335)))</f>
        <v/>
      </c>
      <c r="E335" s="20"/>
      <c r="F335" s="20"/>
      <c r="G335" s="20"/>
      <c r="H335" s="20"/>
      <c r="I335" s="20"/>
      <c r="J335" s="20"/>
      <c r="K335" s="20"/>
      <c r="L335" s="20"/>
      <c r="M335" s="20"/>
      <c r="N335" s="18" t="str">
        <f aca="false">IF(COUNTBLANK(E335:M335)=9,"",IF(COUNTIF(E335:M335,"Fail")&gt;0,"Fail",IF(COUNTBLANK(E335:M335)&gt;0,"Incomplete","Pass")))</f>
        <v/>
      </c>
      <c r="O335" s="18" t="str">
        <f aca="true">IF(N335="","Not Yet Inspected",IF(N335="Fail","Fail",IF(D335="","",IF(D335&lt;TODAY(),"Overdue",IF(D335&lt;=TODAY()+30,"Due (within 30 days)","Pass")))))</f>
        <v>Not Yet Inspected</v>
      </c>
      <c r="P335" s="18"/>
      <c r="Q335" s="18"/>
      <c r="R335" s="19"/>
    </row>
    <row r="336" customFormat="false" ht="15.75" hidden="false" customHeight="true" outlineLevel="0" collapsed="false">
      <c r="A336" s="18"/>
      <c r="B336" s="18"/>
      <c r="C336" s="19"/>
      <c r="D336" s="19" t="str">
        <f aca="false">IF(C336="","",DATE(YEAR(C336)+1,MONTH(C336),DAY(C336)))</f>
        <v/>
      </c>
      <c r="E336" s="20"/>
      <c r="F336" s="20"/>
      <c r="G336" s="20"/>
      <c r="H336" s="20"/>
      <c r="I336" s="20"/>
      <c r="J336" s="20"/>
      <c r="K336" s="20"/>
      <c r="L336" s="20"/>
      <c r="M336" s="20"/>
      <c r="N336" s="18" t="str">
        <f aca="false">IF(COUNTBLANK(E336:M336)=9,"",IF(COUNTIF(E336:M336,"Fail")&gt;0,"Fail",IF(COUNTBLANK(E336:M336)&gt;0,"Incomplete","Pass")))</f>
        <v/>
      </c>
      <c r="O336" s="18" t="str">
        <f aca="true">IF(N336="","Not Yet Inspected",IF(N336="Fail","Fail",IF(D336="","",IF(D336&lt;TODAY(),"Overdue",IF(D336&lt;=TODAY()+30,"Due (within 30 days)","Pass")))))</f>
        <v>Not Yet Inspected</v>
      </c>
      <c r="P336" s="18"/>
      <c r="Q336" s="18"/>
      <c r="R336" s="19"/>
    </row>
    <row r="337" customFormat="false" ht="15.75" hidden="false" customHeight="true" outlineLevel="0" collapsed="false">
      <c r="A337" s="18"/>
      <c r="B337" s="18"/>
      <c r="C337" s="19"/>
      <c r="D337" s="19" t="str">
        <f aca="false">IF(C337="","",DATE(YEAR(C337)+1,MONTH(C337),DAY(C337)))</f>
        <v/>
      </c>
      <c r="E337" s="20"/>
      <c r="F337" s="20"/>
      <c r="G337" s="20"/>
      <c r="H337" s="20"/>
      <c r="I337" s="20"/>
      <c r="J337" s="20"/>
      <c r="K337" s="20"/>
      <c r="L337" s="20"/>
      <c r="M337" s="20"/>
      <c r="N337" s="18" t="str">
        <f aca="false">IF(COUNTBLANK(E337:M337)=9,"",IF(COUNTIF(E337:M337,"Fail")&gt;0,"Fail",IF(COUNTBLANK(E337:M337)&gt;0,"Incomplete","Pass")))</f>
        <v/>
      </c>
      <c r="O337" s="18" t="str">
        <f aca="true">IF(N337="","Not Yet Inspected",IF(N337="Fail","Fail",IF(D337="","",IF(D337&lt;TODAY(),"Overdue",IF(D337&lt;=TODAY()+30,"Due (within 30 days)","Pass")))))</f>
        <v>Not Yet Inspected</v>
      </c>
      <c r="P337" s="18"/>
      <c r="Q337" s="18"/>
      <c r="R337" s="19"/>
    </row>
    <row r="338" customFormat="false" ht="15.75" hidden="false" customHeight="true" outlineLevel="0" collapsed="false">
      <c r="A338" s="18"/>
      <c r="B338" s="18"/>
      <c r="C338" s="19"/>
      <c r="D338" s="19" t="str">
        <f aca="false">IF(C338="","",DATE(YEAR(C338)+1,MONTH(C338),DAY(C338)))</f>
        <v/>
      </c>
      <c r="E338" s="20"/>
      <c r="F338" s="20"/>
      <c r="G338" s="20"/>
      <c r="H338" s="20"/>
      <c r="I338" s="20"/>
      <c r="J338" s="20"/>
      <c r="K338" s="20"/>
      <c r="L338" s="20"/>
      <c r="M338" s="20"/>
      <c r="N338" s="18" t="str">
        <f aca="false">IF(COUNTBLANK(E338:M338)=9,"",IF(COUNTIF(E338:M338,"Fail")&gt;0,"Fail",IF(COUNTBLANK(E338:M338)&gt;0,"Incomplete","Pass")))</f>
        <v/>
      </c>
      <c r="O338" s="18" t="str">
        <f aca="true">IF(N338="","Not Yet Inspected",IF(N338="Fail","Fail",IF(D338="","",IF(D338&lt;TODAY(),"Overdue",IF(D338&lt;=TODAY()+30,"Due (within 30 days)","Pass")))))</f>
        <v>Not Yet Inspected</v>
      </c>
      <c r="P338" s="18"/>
      <c r="Q338" s="18"/>
      <c r="R338" s="19"/>
    </row>
    <row r="339" customFormat="false" ht="15.75" hidden="false" customHeight="true" outlineLevel="0" collapsed="false">
      <c r="A339" s="18"/>
      <c r="B339" s="18"/>
      <c r="C339" s="19"/>
      <c r="D339" s="19" t="str">
        <f aca="false">IF(C339="","",DATE(YEAR(C339)+1,MONTH(C339),DAY(C339)))</f>
        <v/>
      </c>
      <c r="E339" s="20"/>
      <c r="F339" s="20"/>
      <c r="G339" s="20"/>
      <c r="H339" s="20"/>
      <c r="I339" s="20"/>
      <c r="J339" s="20"/>
      <c r="K339" s="20"/>
      <c r="L339" s="20"/>
      <c r="M339" s="20"/>
      <c r="N339" s="18" t="str">
        <f aca="false">IF(COUNTBLANK(E339:M339)=9,"",IF(COUNTIF(E339:M339,"Fail")&gt;0,"Fail",IF(COUNTBLANK(E339:M339)&gt;0,"Incomplete","Pass")))</f>
        <v/>
      </c>
      <c r="O339" s="18" t="str">
        <f aca="true">IF(N339="","Not Yet Inspected",IF(N339="Fail","Fail",IF(D339="","",IF(D339&lt;TODAY(),"Overdue",IF(D339&lt;=TODAY()+30,"Due (within 30 days)","Pass")))))</f>
        <v>Not Yet Inspected</v>
      </c>
      <c r="P339" s="18"/>
      <c r="Q339" s="18"/>
      <c r="R339" s="19"/>
    </row>
    <row r="340" customFormat="false" ht="15.75" hidden="false" customHeight="true" outlineLevel="0" collapsed="false">
      <c r="A340" s="18"/>
      <c r="B340" s="18"/>
      <c r="C340" s="19"/>
      <c r="D340" s="19" t="str">
        <f aca="false">IF(C340="","",DATE(YEAR(C340)+1,MONTH(C340),DAY(C340)))</f>
        <v/>
      </c>
      <c r="E340" s="20"/>
      <c r="F340" s="20"/>
      <c r="G340" s="20"/>
      <c r="H340" s="20"/>
      <c r="I340" s="20"/>
      <c r="J340" s="20"/>
      <c r="K340" s="20"/>
      <c r="L340" s="20"/>
      <c r="M340" s="20"/>
      <c r="N340" s="18" t="str">
        <f aca="false">IF(COUNTBLANK(E340:M340)=9,"",IF(COUNTIF(E340:M340,"Fail")&gt;0,"Fail",IF(COUNTBLANK(E340:M340)&gt;0,"Incomplete","Pass")))</f>
        <v/>
      </c>
      <c r="O340" s="18" t="str">
        <f aca="true">IF(N340="","Not Yet Inspected",IF(N340="Fail","Fail",IF(D340="","",IF(D340&lt;TODAY(),"Overdue",IF(D340&lt;=TODAY()+30,"Due (within 30 days)","Pass")))))</f>
        <v>Not Yet Inspected</v>
      </c>
      <c r="P340" s="18"/>
      <c r="Q340" s="18"/>
      <c r="R340" s="19"/>
    </row>
    <row r="341" customFormat="false" ht="15.75" hidden="false" customHeight="true" outlineLevel="0" collapsed="false">
      <c r="A341" s="18"/>
      <c r="B341" s="18"/>
      <c r="C341" s="19"/>
      <c r="D341" s="19" t="str">
        <f aca="false">IF(C341="","",DATE(YEAR(C341)+1,MONTH(C341),DAY(C341)))</f>
        <v/>
      </c>
      <c r="E341" s="20"/>
      <c r="F341" s="20"/>
      <c r="G341" s="20"/>
      <c r="H341" s="20"/>
      <c r="I341" s="20"/>
      <c r="J341" s="20"/>
      <c r="K341" s="20"/>
      <c r="L341" s="20"/>
      <c r="M341" s="20"/>
      <c r="N341" s="18" t="str">
        <f aca="false">IF(COUNTBLANK(E341:M341)=9,"",IF(COUNTIF(E341:M341,"Fail")&gt;0,"Fail",IF(COUNTBLANK(E341:M341)&gt;0,"Incomplete","Pass")))</f>
        <v/>
      </c>
      <c r="O341" s="18" t="str">
        <f aca="true">IF(N341="","Not Yet Inspected",IF(N341="Fail","Fail",IF(D341="","",IF(D341&lt;TODAY(),"Overdue",IF(D341&lt;=TODAY()+30,"Due (within 30 days)","Pass")))))</f>
        <v>Not Yet Inspected</v>
      </c>
      <c r="P341" s="18"/>
      <c r="Q341" s="18"/>
      <c r="R341" s="19"/>
    </row>
    <row r="342" customFormat="false" ht="15.75" hidden="false" customHeight="true" outlineLevel="0" collapsed="false">
      <c r="A342" s="18"/>
      <c r="B342" s="18"/>
      <c r="C342" s="19"/>
      <c r="D342" s="19" t="str">
        <f aca="false">IF(C342="","",DATE(YEAR(C342)+1,MONTH(C342),DAY(C342)))</f>
        <v/>
      </c>
      <c r="E342" s="20"/>
      <c r="F342" s="20"/>
      <c r="G342" s="20"/>
      <c r="H342" s="20"/>
      <c r="I342" s="20"/>
      <c r="J342" s="20"/>
      <c r="K342" s="20"/>
      <c r="L342" s="20"/>
      <c r="M342" s="20"/>
      <c r="N342" s="18" t="str">
        <f aca="false">IF(COUNTBLANK(E342:M342)=9,"",IF(COUNTIF(E342:M342,"Fail")&gt;0,"Fail",IF(COUNTBLANK(E342:M342)&gt;0,"Incomplete","Pass")))</f>
        <v/>
      </c>
      <c r="O342" s="18" t="str">
        <f aca="true">IF(N342="","Not Yet Inspected",IF(N342="Fail","Fail",IF(D342="","",IF(D342&lt;TODAY(),"Overdue",IF(D342&lt;=TODAY()+30,"Due (within 30 days)","Pass")))))</f>
        <v>Not Yet Inspected</v>
      </c>
      <c r="P342" s="18"/>
      <c r="Q342" s="18"/>
      <c r="R342" s="19"/>
    </row>
    <row r="343" customFormat="false" ht="15.75" hidden="false" customHeight="true" outlineLevel="0" collapsed="false">
      <c r="A343" s="18"/>
      <c r="B343" s="18"/>
      <c r="C343" s="19"/>
      <c r="D343" s="19" t="str">
        <f aca="false">IF(C343="","",DATE(YEAR(C343)+1,MONTH(C343),DAY(C343)))</f>
        <v/>
      </c>
      <c r="E343" s="20"/>
      <c r="F343" s="20"/>
      <c r="G343" s="20"/>
      <c r="H343" s="20"/>
      <c r="I343" s="20"/>
      <c r="J343" s="20"/>
      <c r="K343" s="20"/>
      <c r="L343" s="20"/>
      <c r="M343" s="20"/>
      <c r="N343" s="18" t="str">
        <f aca="false">IF(COUNTBLANK(E343:M343)=9,"",IF(COUNTIF(E343:M343,"Fail")&gt;0,"Fail",IF(COUNTBLANK(E343:M343)&gt;0,"Incomplete","Pass")))</f>
        <v/>
      </c>
      <c r="O343" s="18" t="str">
        <f aca="true">IF(N343="","Not Yet Inspected",IF(N343="Fail","Fail",IF(D343="","",IF(D343&lt;TODAY(),"Overdue",IF(D343&lt;=TODAY()+30,"Due (within 30 days)","Pass")))))</f>
        <v>Not Yet Inspected</v>
      </c>
      <c r="P343" s="18"/>
      <c r="Q343" s="18"/>
      <c r="R343" s="19"/>
    </row>
    <row r="344" customFormat="false" ht="15.75" hidden="false" customHeight="true" outlineLevel="0" collapsed="false">
      <c r="A344" s="18"/>
      <c r="B344" s="18"/>
      <c r="C344" s="19"/>
      <c r="D344" s="19" t="str">
        <f aca="false">IF(C344="","",DATE(YEAR(C344)+1,MONTH(C344),DAY(C344)))</f>
        <v/>
      </c>
      <c r="E344" s="20"/>
      <c r="F344" s="20"/>
      <c r="G344" s="20"/>
      <c r="H344" s="20"/>
      <c r="I344" s="20"/>
      <c r="J344" s="20"/>
      <c r="K344" s="20"/>
      <c r="L344" s="20"/>
      <c r="M344" s="20"/>
      <c r="N344" s="18" t="str">
        <f aca="false">IF(COUNTBLANK(E344:M344)=9,"",IF(COUNTIF(E344:M344,"Fail")&gt;0,"Fail",IF(COUNTBLANK(E344:M344)&gt;0,"Incomplete","Pass")))</f>
        <v/>
      </c>
      <c r="O344" s="18" t="str">
        <f aca="true">IF(N344="","Not Yet Inspected",IF(N344="Fail","Fail",IF(D344="","",IF(D344&lt;TODAY(),"Overdue",IF(D344&lt;=TODAY()+30,"Due (within 30 days)","Pass")))))</f>
        <v>Not Yet Inspected</v>
      </c>
      <c r="P344" s="18"/>
      <c r="Q344" s="18"/>
      <c r="R344" s="19"/>
    </row>
    <row r="345" customFormat="false" ht="15.75" hidden="false" customHeight="true" outlineLevel="0" collapsed="false">
      <c r="A345" s="18"/>
      <c r="B345" s="18"/>
      <c r="C345" s="19"/>
      <c r="D345" s="19" t="str">
        <f aca="false">IF(C345="","",DATE(YEAR(C345)+1,MONTH(C345),DAY(C345)))</f>
        <v/>
      </c>
      <c r="E345" s="20"/>
      <c r="F345" s="20"/>
      <c r="G345" s="20"/>
      <c r="H345" s="20"/>
      <c r="I345" s="20"/>
      <c r="J345" s="20"/>
      <c r="K345" s="20"/>
      <c r="L345" s="20"/>
      <c r="M345" s="20"/>
      <c r="N345" s="18" t="str">
        <f aca="false">IF(COUNTBLANK(E345:M345)=9,"",IF(COUNTIF(E345:M345,"Fail")&gt;0,"Fail",IF(COUNTBLANK(E345:M345)&gt;0,"Incomplete","Pass")))</f>
        <v/>
      </c>
      <c r="O345" s="18" t="str">
        <f aca="true">IF(N345="","Not Yet Inspected",IF(N345="Fail","Fail",IF(D345="","",IF(D345&lt;TODAY(),"Overdue",IF(D345&lt;=TODAY()+30,"Due (within 30 days)","Pass")))))</f>
        <v>Not Yet Inspected</v>
      </c>
      <c r="P345" s="18"/>
      <c r="Q345" s="18"/>
      <c r="R345" s="19"/>
    </row>
    <row r="346" customFormat="false" ht="15.75" hidden="false" customHeight="true" outlineLevel="0" collapsed="false">
      <c r="A346" s="18"/>
      <c r="B346" s="18"/>
      <c r="C346" s="19"/>
      <c r="D346" s="19" t="str">
        <f aca="false">IF(C346="","",DATE(YEAR(C346)+1,MONTH(C346),DAY(C346)))</f>
        <v/>
      </c>
      <c r="E346" s="20"/>
      <c r="F346" s="20"/>
      <c r="G346" s="20"/>
      <c r="H346" s="20"/>
      <c r="I346" s="20"/>
      <c r="J346" s="20"/>
      <c r="K346" s="20"/>
      <c r="L346" s="20"/>
      <c r="M346" s="20"/>
      <c r="N346" s="18" t="str">
        <f aca="false">IF(COUNTBLANK(E346:M346)=9,"",IF(COUNTIF(E346:M346,"Fail")&gt;0,"Fail",IF(COUNTBLANK(E346:M346)&gt;0,"Incomplete","Pass")))</f>
        <v/>
      </c>
      <c r="O346" s="18" t="str">
        <f aca="true">IF(N346="","Not Yet Inspected",IF(N346="Fail","Fail",IF(D346="","",IF(D346&lt;TODAY(),"Overdue",IF(D346&lt;=TODAY()+30,"Due (within 30 days)","Pass")))))</f>
        <v>Not Yet Inspected</v>
      </c>
      <c r="P346" s="18"/>
      <c r="Q346" s="18"/>
      <c r="R346" s="19"/>
    </row>
    <row r="347" customFormat="false" ht="15.75" hidden="false" customHeight="true" outlineLevel="0" collapsed="false">
      <c r="A347" s="18"/>
      <c r="B347" s="18"/>
      <c r="C347" s="19"/>
      <c r="D347" s="19" t="str">
        <f aca="false">IF(C347="","",DATE(YEAR(C347)+1,MONTH(C347),DAY(C347)))</f>
        <v/>
      </c>
      <c r="E347" s="20"/>
      <c r="F347" s="20"/>
      <c r="G347" s="20"/>
      <c r="H347" s="20"/>
      <c r="I347" s="20"/>
      <c r="J347" s="20"/>
      <c r="K347" s="20"/>
      <c r="L347" s="20"/>
      <c r="M347" s="20"/>
      <c r="N347" s="18" t="str">
        <f aca="false">IF(COUNTBLANK(E347:M347)=9,"",IF(COUNTIF(E347:M347,"Fail")&gt;0,"Fail",IF(COUNTBLANK(E347:M347)&gt;0,"Incomplete","Pass")))</f>
        <v/>
      </c>
      <c r="O347" s="18" t="str">
        <f aca="true">IF(N347="","Not Yet Inspected",IF(N347="Fail","Fail",IF(D347="","",IF(D347&lt;TODAY(),"Overdue",IF(D347&lt;=TODAY()+30,"Due (within 30 days)","Pass")))))</f>
        <v>Not Yet Inspected</v>
      </c>
      <c r="P347" s="18"/>
      <c r="Q347" s="18"/>
      <c r="R347" s="19"/>
    </row>
    <row r="348" customFormat="false" ht="15.75" hidden="false" customHeight="true" outlineLevel="0" collapsed="false">
      <c r="A348" s="18"/>
      <c r="B348" s="18"/>
      <c r="C348" s="19"/>
      <c r="D348" s="19" t="str">
        <f aca="false">IF(C348="","",DATE(YEAR(C348)+1,MONTH(C348),DAY(C348)))</f>
        <v/>
      </c>
      <c r="E348" s="20"/>
      <c r="F348" s="20"/>
      <c r="G348" s="20"/>
      <c r="H348" s="20"/>
      <c r="I348" s="20"/>
      <c r="J348" s="20"/>
      <c r="K348" s="20"/>
      <c r="L348" s="20"/>
      <c r="M348" s="20"/>
      <c r="N348" s="18" t="str">
        <f aca="false">IF(COUNTBLANK(E348:M348)=9,"",IF(COUNTIF(E348:M348,"Fail")&gt;0,"Fail",IF(COUNTBLANK(E348:M348)&gt;0,"Incomplete","Pass")))</f>
        <v/>
      </c>
      <c r="O348" s="18" t="str">
        <f aca="true">IF(N348="","Not Yet Inspected",IF(N348="Fail","Fail",IF(D348="","",IF(D348&lt;TODAY(),"Overdue",IF(D348&lt;=TODAY()+30,"Due (within 30 days)","Pass")))))</f>
        <v>Not Yet Inspected</v>
      </c>
      <c r="P348" s="18"/>
      <c r="Q348" s="18"/>
      <c r="R348" s="19"/>
    </row>
    <row r="349" customFormat="false" ht="15.75" hidden="false" customHeight="true" outlineLevel="0" collapsed="false">
      <c r="A349" s="18"/>
      <c r="B349" s="18"/>
      <c r="C349" s="19"/>
      <c r="D349" s="19" t="str">
        <f aca="false">IF(C349="","",DATE(YEAR(C349)+1,MONTH(C349),DAY(C349)))</f>
        <v/>
      </c>
      <c r="E349" s="20"/>
      <c r="F349" s="20"/>
      <c r="G349" s="20"/>
      <c r="H349" s="20"/>
      <c r="I349" s="20"/>
      <c r="J349" s="20"/>
      <c r="K349" s="20"/>
      <c r="L349" s="20"/>
      <c r="M349" s="20"/>
      <c r="N349" s="18" t="str">
        <f aca="false">IF(COUNTBLANK(E349:M349)=9,"",IF(COUNTIF(E349:M349,"Fail")&gt;0,"Fail",IF(COUNTBLANK(E349:M349)&gt;0,"Incomplete","Pass")))</f>
        <v/>
      </c>
      <c r="O349" s="18" t="str">
        <f aca="true">IF(N349="","Not Yet Inspected",IF(N349="Fail","Fail",IF(D349="","",IF(D349&lt;TODAY(),"Overdue",IF(D349&lt;=TODAY()+30,"Due (within 30 days)","Pass")))))</f>
        <v>Not Yet Inspected</v>
      </c>
      <c r="P349" s="18"/>
      <c r="Q349" s="18"/>
      <c r="R349" s="19"/>
    </row>
    <row r="350" customFormat="false" ht="15.75" hidden="false" customHeight="true" outlineLevel="0" collapsed="false">
      <c r="A350" s="18"/>
      <c r="B350" s="18"/>
      <c r="C350" s="19"/>
      <c r="D350" s="19" t="str">
        <f aca="false">IF(C350="","",DATE(YEAR(C350)+1,MONTH(C350),DAY(C350)))</f>
        <v/>
      </c>
      <c r="E350" s="20"/>
      <c r="F350" s="20"/>
      <c r="G350" s="20"/>
      <c r="H350" s="20"/>
      <c r="I350" s="20"/>
      <c r="J350" s="20"/>
      <c r="K350" s="20"/>
      <c r="L350" s="20"/>
      <c r="M350" s="20"/>
      <c r="N350" s="18" t="str">
        <f aca="false">IF(COUNTBLANK(E350:M350)=9,"",IF(COUNTIF(E350:M350,"Fail")&gt;0,"Fail",IF(COUNTBLANK(E350:M350)&gt;0,"Incomplete","Pass")))</f>
        <v/>
      </c>
      <c r="O350" s="18" t="str">
        <f aca="true">IF(N350="","Not Yet Inspected",IF(N350="Fail","Fail",IF(D350="","",IF(D350&lt;TODAY(),"Overdue",IF(D350&lt;=TODAY()+30,"Due (within 30 days)","Pass")))))</f>
        <v>Not Yet Inspected</v>
      </c>
      <c r="P350" s="18"/>
      <c r="Q350" s="18"/>
      <c r="R350" s="19"/>
    </row>
    <row r="351" customFormat="false" ht="15.75" hidden="false" customHeight="true" outlineLevel="0" collapsed="false">
      <c r="A351" s="18"/>
      <c r="B351" s="18"/>
      <c r="C351" s="19"/>
      <c r="D351" s="19" t="str">
        <f aca="false">IF(C351="","",DATE(YEAR(C351)+1,MONTH(C351),DAY(C351)))</f>
        <v/>
      </c>
      <c r="E351" s="20"/>
      <c r="F351" s="20"/>
      <c r="G351" s="20"/>
      <c r="H351" s="20"/>
      <c r="I351" s="20"/>
      <c r="J351" s="20"/>
      <c r="K351" s="20"/>
      <c r="L351" s="20"/>
      <c r="M351" s="20"/>
      <c r="N351" s="18" t="str">
        <f aca="false">IF(COUNTBLANK(E351:M351)=9,"",IF(COUNTIF(E351:M351,"Fail")&gt;0,"Fail",IF(COUNTBLANK(E351:M351)&gt;0,"Incomplete","Pass")))</f>
        <v/>
      </c>
      <c r="O351" s="18" t="str">
        <f aca="true">IF(N351="","Not Yet Inspected",IF(N351="Fail","Fail",IF(D351="","",IF(D351&lt;TODAY(),"Overdue",IF(D351&lt;=TODAY()+30,"Due (within 30 days)","Pass")))))</f>
        <v>Not Yet Inspected</v>
      </c>
      <c r="P351" s="18"/>
      <c r="Q351" s="18"/>
      <c r="R351" s="19"/>
    </row>
    <row r="352" customFormat="false" ht="15.75" hidden="false" customHeight="true" outlineLevel="0" collapsed="false">
      <c r="A352" s="18"/>
      <c r="B352" s="18"/>
      <c r="C352" s="19"/>
      <c r="D352" s="19" t="str">
        <f aca="false">IF(C352="","",DATE(YEAR(C352)+1,MONTH(C352),DAY(C352)))</f>
        <v/>
      </c>
      <c r="E352" s="20"/>
      <c r="F352" s="20"/>
      <c r="G352" s="20"/>
      <c r="H352" s="20"/>
      <c r="I352" s="20"/>
      <c r="J352" s="20"/>
      <c r="K352" s="20"/>
      <c r="L352" s="20"/>
      <c r="M352" s="20"/>
      <c r="N352" s="18" t="str">
        <f aca="false">IF(COUNTBLANK(E352:M352)=9,"",IF(COUNTIF(E352:M352,"Fail")&gt;0,"Fail",IF(COUNTBLANK(E352:M352)&gt;0,"Incomplete","Pass")))</f>
        <v/>
      </c>
      <c r="O352" s="18" t="str">
        <f aca="true">IF(N352="","Not Yet Inspected",IF(N352="Fail","Fail",IF(D352="","",IF(D352&lt;TODAY(),"Overdue",IF(D352&lt;=TODAY()+30,"Due (within 30 days)","Pass")))))</f>
        <v>Not Yet Inspected</v>
      </c>
      <c r="P352" s="18"/>
      <c r="Q352" s="18"/>
      <c r="R352" s="19"/>
    </row>
    <row r="353" customFormat="false" ht="15.75" hidden="false" customHeight="true" outlineLevel="0" collapsed="false">
      <c r="A353" s="18"/>
      <c r="B353" s="18"/>
      <c r="C353" s="19"/>
      <c r="D353" s="19" t="str">
        <f aca="false">IF(C353="","",DATE(YEAR(C353)+1,MONTH(C353),DAY(C353)))</f>
        <v/>
      </c>
      <c r="E353" s="20"/>
      <c r="F353" s="20"/>
      <c r="G353" s="20"/>
      <c r="H353" s="20"/>
      <c r="I353" s="20"/>
      <c r="J353" s="20"/>
      <c r="K353" s="20"/>
      <c r="L353" s="20"/>
      <c r="M353" s="20"/>
      <c r="N353" s="18" t="str">
        <f aca="false">IF(COUNTBLANK(E353:M353)=9,"",IF(COUNTIF(E353:M353,"Fail")&gt;0,"Fail",IF(COUNTBLANK(E353:M353)&gt;0,"Incomplete","Pass")))</f>
        <v/>
      </c>
      <c r="O353" s="18" t="str">
        <f aca="true">IF(N353="","Not Yet Inspected",IF(N353="Fail","Fail",IF(D353="","",IF(D353&lt;TODAY(),"Overdue",IF(D353&lt;=TODAY()+30,"Due (within 30 days)","Pass")))))</f>
        <v>Not Yet Inspected</v>
      </c>
      <c r="P353" s="18"/>
      <c r="Q353" s="18"/>
      <c r="R353" s="19"/>
    </row>
    <row r="354" customFormat="false" ht="15.75" hidden="false" customHeight="true" outlineLevel="0" collapsed="false">
      <c r="A354" s="18"/>
      <c r="B354" s="18"/>
      <c r="C354" s="19"/>
      <c r="D354" s="19" t="str">
        <f aca="false">IF(C354="","",DATE(YEAR(C354)+1,MONTH(C354),DAY(C354)))</f>
        <v/>
      </c>
      <c r="E354" s="20"/>
      <c r="F354" s="20"/>
      <c r="G354" s="20"/>
      <c r="H354" s="20"/>
      <c r="I354" s="20"/>
      <c r="J354" s="20"/>
      <c r="K354" s="20"/>
      <c r="L354" s="20"/>
      <c r="M354" s="20"/>
      <c r="N354" s="18" t="str">
        <f aca="false">IF(COUNTBLANK(E354:M354)=9,"",IF(COUNTIF(E354:M354,"Fail")&gt;0,"Fail",IF(COUNTBLANK(E354:M354)&gt;0,"Incomplete","Pass")))</f>
        <v/>
      </c>
      <c r="O354" s="18" t="str">
        <f aca="true">IF(N354="","Not Yet Inspected",IF(N354="Fail","Fail",IF(D354="","",IF(D354&lt;TODAY(),"Overdue",IF(D354&lt;=TODAY()+30,"Due (within 30 days)","Pass")))))</f>
        <v>Not Yet Inspected</v>
      </c>
      <c r="P354" s="18"/>
      <c r="Q354" s="18"/>
      <c r="R354" s="19"/>
    </row>
    <row r="355" customFormat="false" ht="15.75" hidden="false" customHeight="true" outlineLevel="0" collapsed="false">
      <c r="A355" s="18"/>
      <c r="B355" s="18"/>
      <c r="C355" s="19"/>
      <c r="D355" s="19" t="str">
        <f aca="false">IF(C355="","",DATE(YEAR(C355)+1,MONTH(C355),DAY(C355)))</f>
        <v/>
      </c>
      <c r="E355" s="20"/>
      <c r="F355" s="20"/>
      <c r="G355" s="20"/>
      <c r="H355" s="20"/>
      <c r="I355" s="20"/>
      <c r="J355" s="20"/>
      <c r="K355" s="20"/>
      <c r="L355" s="20"/>
      <c r="M355" s="20"/>
      <c r="N355" s="18" t="str">
        <f aca="false">IF(COUNTBLANK(E355:M355)=9,"",IF(COUNTIF(E355:M355,"Fail")&gt;0,"Fail",IF(COUNTBLANK(E355:M355)&gt;0,"Incomplete","Pass")))</f>
        <v/>
      </c>
      <c r="O355" s="18" t="str">
        <f aca="true">IF(N355="","Not Yet Inspected",IF(N355="Fail","Fail",IF(D355="","",IF(D355&lt;TODAY(),"Overdue",IF(D355&lt;=TODAY()+30,"Due (within 30 days)","Pass")))))</f>
        <v>Not Yet Inspected</v>
      </c>
      <c r="P355" s="18"/>
      <c r="Q355" s="18"/>
      <c r="R355" s="19"/>
    </row>
    <row r="356" customFormat="false" ht="15.75" hidden="false" customHeight="true" outlineLevel="0" collapsed="false">
      <c r="A356" s="18"/>
      <c r="B356" s="18"/>
      <c r="C356" s="19"/>
      <c r="D356" s="19" t="str">
        <f aca="false">IF(C356="","",DATE(YEAR(C356)+1,MONTH(C356),DAY(C356)))</f>
        <v/>
      </c>
      <c r="E356" s="20"/>
      <c r="F356" s="20"/>
      <c r="G356" s="20"/>
      <c r="H356" s="20"/>
      <c r="I356" s="20"/>
      <c r="J356" s="20"/>
      <c r="K356" s="20"/>
      <c r="L356" s="20"/>
      <c r="M356" s="20"/>
      <c r="N356" s="18" t="str">
        <f aca="false">IF(COUNTBLANK(E356:M356)=9,"",IF(COUNTIF(E356:M356,"Fail")&gt;0,"Fail",IF(COUNTBLANK(E356:M356)&gt;0,"Incomplete","Pass")))</f>
        <v/>
      </c>
      <c r="O356" s="18" t="str">
        <f aca="true">IF(N356="","Not Yet Inspected",IF(N356="Fail","Fail",IF(D356="","",IF(D356&lt;TODAY(),"Overdue",IF(D356&lt;=TODAY()+30,"Due (within 30 days)","Pass")))))</f>
        <v>Not Yet Inspected</v>
      </c>
      <c r="P356" s="18"/>
      <c r="Q356" s="18"/>
      <c r="R356" s="19"/>
    </row>
    <row r="357" customFormat="false" ht="15.75" hidden="false" customHeight="true" outlineLevel="0" collapsed="false">
      <c r="A357" s="18"/>
      <c r="B357" s="18"/>
      <c r="C357" s="19"/>
      <c r="D357" s="19" t="str">
        <f aca="false">IF(C357="","",DATE(YEAR(C357)+1,MONTH(C357),DAY(C357)))</f>
        <v/>
      </c>
      <c r="E357" s="20"/>
      <c r="F357" s="20"/>
      <c r="G357" s="20"/>
      <c r="H357" s="20"/>
      <c r="I357" s="20"/>
      <c r="J357" s="20"/>
      <c r="K357" s="20"/>
      <c r="L357" s="20"/>
      <c r="M357" s="20"/>
      <c r="N357" s="18" t="str">
        <f aca="false">IF(COUNTBLANK(E357:M357)=9,"",IF(COUNTIF(E357:M357,"Fail")&gt;0,"Fail",IF(COUNTBLANK(E357:M357)&gt;0,"Incomplete","Pass")))</f>
        <v/>
      </c>
      <c r="O357" s="18" t="str">
        <f aca="true">IF(N357="","Not Yet Inspected",IF(N357="Fail","Fail",IF(D357="","",IF(D357&lt;TODAY(),"Overdue",IF(D357&lt;=TODAY()+30,"Due (within 30 days)","Pass")))))</f>
        <v>Not Yet Inspected</v>
      </c>
      <c r="P357" s="18"/>
      <c r="Q357" s="18"/>
      <c r="R357" s="19"/>
    </row>
    <row r="358" customFormat="false" ht="15.75" hidden="false" customHeight="true" outlineLevel="0" collapsed="false">
      <c r="A358" s="18"/>
      <c r="B358" s="18"/>
      <c r="C358" s="19"/>
      <c r="D358" s="19" t="str">
        <f aca="false">IF(C358="","",DATE(YEAR(C358)+1,MONTH(C358),DAY(C358)))</f>
        <v/>
      </c>
      <c r="E358" s="20"/>
      <c r="F358" s="20"/>
      <c r="G358" s="20"/>
      <c r="H358" s="20"/>
      <c r="I358" s="20"/>
      <c r="J358" s="20"/>
      <c r="K358" s="20"/>
      <c r="L358" s="20"/>
      <c r="M358" s="20"/>
      <c r="N358" s="18" t="str">
        <f aca="false">IF(COUNTBLANK(E358:M358)=9,"",IF(COUNTIF(E358:M358,"Fail")&gt;0,"Fail",IF(COUNTBLANK(E358:M358)&gt;0,"Incomplete","Pass")))</f>
        <v/>
      </c>
      <c r="O358" s="18" t="str">
        <f aca="true">IF(N358="","Not Yet Inspected",IF(N358="Fail","Fail",IF(D358="","",IF(D358&lt;TODAY(),"Overdue",IF(D358&lt;=TODAY()+30,"Due (within 30 days)","Pass")))))</f>
        <v>Not Yet Inspected</v>
      </c>
      <c r="P358" s="18"/>
      <c r="Q358" s="18"/>
      <c r="R358" s="19"/>
    </row>
    <row r="359" customFormat="false" ht="15.75" hidden="false" customHeight="true" outlineLevel="0" collapsed="false">
      <c r="A359" s="18"/>
      <c r="B359" s="18"/>
      <c r="C359" s="19"/>
      <c r="D359" s="19" t="str">
        <f aca="false">IF(C359="","",DATE(YEAR(C359)+1,MONTH(C359),DAY(C359)))</f>
        <v/>
      </c>
      <c r="E359" s="20"/>
      <c r="F359" s="20"/>
      <c r="G359" s="20"/>
      <c r="H359" s="20"/>
      <c r="I359" s="20"/>
      <c r="J359" s="20"/>
      <c r="K359" s="20"/>
      <c r="L359" s="20"/>
      <c r="M359" s="20"/>
      <c r="N359" s="18" t="str">
        <f aca="false">IF(COUNTBLANK(E359:M359)=9,"",IF(COUNTIF(E359:M359,"Fail")&gt;0,"Fail",IF(COUNTBLANK(E359:M359)&gt;0,"Incomplete","Pass")))</f>
        <v/>
      </c>
      <c r="O359" s="18" t="str">
        <f aca="true">IF(N359="","Not Yet Inspected",IF(N359="Fail","Fail",IF(D359="","",IF(D359&lt;TODAY(),"Overdue",IF(D359&lt;=TODAY()+30,"Due (within 30 days)","Pass")))))</f>
        <v>Not Yet Inspected</v>
      </c>
      <c r="P359" s="18"/>
      <c r="Q359" s="18"/>
      <c r="R359" s="19"/>
    </row>
    <row r="360" customFormat="false" ht="15.75" hidden="false" customHeight="true" outlineLevel="0" collapsed="false">
      <c r="A360" s="18"/>
      <c r="B360" s="18"/>
      <c r="C360" s="19"/>
      <c r="D360" s="19" t="str">
        <f aca="false">IF(C360="","",DATE(YEAR(C360)+1,MONTH(C360),DAY(C360)))</f>
        <v/>
      </c>
      <c r="E360" s="20"/>
      <c r="F360" s="20"/>
      <c r="G360" s="20"/>
      <c r="H360" s="20"/>
      <c r="I360" s="20"/>
      <c r="J360" s="20"/>
      <c r="K360" s="20"/>
      <c r="L360" s="20"/>
      <c r="M360" s="20"/>
      <c r="N360" s="18" t="str">
        <f aca="false">IF(COUNTBLANK(E360:M360)=9,"",IF(COUNTIF(E360:M360,"Fail")&gt;0,"Fail",IF(COUNTBLANK(E360:M360)&gt;0,"Incomplete","Pass")))</f>
        <v/>
      </c>
      <c r="O360" s="18" t="str">
        <f aca="true">IF(N360="","Not Yet Inspected",IF(N360="Fail","Fail",IF(D360="","",IF(D360&lt;TODAY(),"Overdue",IF(D360&lt;=TODAY()+30,"Due (within 30 days)","Pass")))))</f>
        <v>Not Yet Inspected</v>
      </c>
      <c r="P360" s="18"/>
      <c r="Q360" s="18"/>
      <c r="R360" s="19"/>
    </row>
    <row r="361" customFormat="false" ht="15.75" hidden="false" customHeight="true" outlineLevel="0" collapsed="false">
      <c r="A361" s="18"/>
      <c r="B361" s="18"/>
      <c r="C361" s="19"/>
      <c r="D361" s="19" t="str">
        <f aca="false">IF(C361="","",DATE(YEAR(C361)+1,MONTH(C361),DAY(C361)))</f>
        <v/>
      </c>
      <c r="E361" s="20"/>
      <c r="F361" s="20"/>
      <c r="G361" s="20"/>
      <c r="H361" s="20"/>
      <c r="I361" s="20"/>
      <c r="J361" s="20"/>
      <c r="K361" s="20"/>
      <c r="L361" s="20"/>
      <c r="M361" s="20"/>
      <c r="N361" s="18" t="str">
        <f aca="false">IF(COUNTBLANK(E361:M361)=9,"",IF(COUNTIF(E361:M361,"Fail")&gt;0,"Fail",IF(COUNTBLANK(E361:M361)&gt;0,"Incomplete","Pass")))</f>
        <v/>
      </c>
      <c r="O361" s="18" t="str">
        <f aca="true">IF(N361="","Not Yet Inspected",IF(N361="Fail","Fail",IF(D361="","",IF(D361&lt;TODAY(),"Overdue",IF(D361&lt;=TODAY()+30,"Due (within 30 days)","Pass")))))</f>
        <v>Not Yet Inspected</v>
      </c>
      <c r="P361" s="18"/>
      <c r="Q361" s="18"/>
      <c r="R361" s="19"/>
    </row>
    <row r="362" customFormat="false" ht="15.75" hidden="false" customHeight="true" outlineLevel="0" collapsed="false">
      <c r="A362" s="18"/>
      <c r="B362" s="18"/>
      <c r="C362" s="19"/>
      <c r="D362" s="19" t="str">
        <f aca="false">IF(C362="","",DATE(YEAR(C362)+1,MONTH(C362),DAY(C362)))</f>
        <v/>
      </c>
      <c r="E362" s="20"/>
      <c r="F362" s="20"/>
      <c r="G362" s="20"/>
      <c r="H362" s="20"/>
      <c r="I362" s="20"/>
      <c r="J362" s="20"/>
      <c r="K362" s="20"/>
      <c r="L362" s="20"/>
      <c r="M362" s="20"/>
      <c r="N362" s="18" t="str">
        <f aca="false">IF(COUNTBLANK(E362:M362)=9,"",IF(COUNTIF(E362:M362,"Fail")&gt;0,"Fail",IF(COUNTBLANK(E362:M362)&gt;0,"Incomplete","Pass")))</f>
        <v/>
      </c>
      <c r="O362" s="18" t="str">
        <f aca="true">IF(N362="","Not Yet Inspected",IF(N362="Fail","Fail",IF(D362="","",IF(D362&lt;TODAY(),"Overdue",IF(D362&lt;=TODAY()+30,"Due (within 30 days)","Pass")))))</f>
        <v>Not Yet Inspected</v>
      </c>
      <c r="P362" s="18"/>
      <c r="Q362" s="18"/>
      <c r="R362" s="19"/>
    </row>
    <row r="363" customFormat="false" ht="15.75" hidden="false" customHeight="true" outlineLevel="0" collapsed="false">
      <c r="A363" s="18"/>
      <c r="B363" s="18"/>
      <c r="C363" s="19"/>
      <c r="D363" s="19" t="str">
        <f aca="false">IF(C363="","",DATE(YEAR(C363)+1,MONTH(C363),DAY(C363)))</f>
        <v/>
      </c>
      <c r="E363" s="20"/>
      <c r="F363" s="20"/>
      <c r="G363" s="20"/>
      <c r="H363" s="20"/>
      <c r="I363" s="20"/>
      <c r="J363" s="20"/>
      <c r="K363" s="20"/>
      <c r="L363" s="20"/>
      <c r="M363" s="20"/>
      <c r="N363" s="18" t="str">
        <f aca="false">IF(COUNTBLANK(E363:M363)=9,"",IF(COUNTIF(E363:M363,"Fail")&gt;0,"Fail",IF(COUNTBLANK(E363:M363)&gt;0,"Incomplete","Pass")))</f>
        <v/>
      </c>
      <c r="O363" s="18" t="str">
        <f aca="true">IF(N363="","Not Yet Inspected",IF(N363="Fail","Fail",IF(D363="","",IF(D363&lt;TODAY(),"Overdue",IF(D363&lt;=TODAY()+30,"Due (within 30 days)","Pass")))))</f>
        <v>Not Yet Inspected</v>
      </c>
      <c r="P363" s="18"/>
      <c r="Q363" s="18"/>
      <c r="R363" s="19"/>
    </row>
    <row r="364" customFormat="false" ht="15.75" hidden="false" customHeight="true" outlineLevel="0" collapsed="false">
      <c r="A364" s="18"/>
      <c r="B364" s="18"/>
      <c r="C364" s="19"/>
      <c r="D364" s="19" t="str">
        <f aca="false">IF(C364="","",DATE(YEAR(C364)+1,MONTH(C364),DAY(C364)))</f>
        <v/>
      </c>
      <c r="E364" s="20"/>
      <c r="F364" s="20"/>
      <c r="G364" s="20"/>
      <c r="H364" s="20"/>
      <c r="I364" s="20"/>
      <c r="J364" s="20"/>
      <c r="K364" s="20"/>
      <c r="L364" s="20"/>
      <c r="M364" s="20"/>
      <c r="N364" s="18" t="str">
        <f aca="false">IF(COUNTBLANK(E364:M364)=9,"",IF(COUNTIF(E364:M364,"Fail")&gt;0,"Fail",IF(COUNTBLANK(E364:M364)&gt;0,"Incomplete","Pass")))</f>
        <v/>
      </c>
      <c r="O364" s="18" t="str">
        <f aca="true">IF(N364="","Not Yet Inspected",IF(N364="Fail","Fail",IF(D364="","",IF(D364&lt;TODAY(),"Overdue",IF(D364&lt;=TODAY()+30,"Due (within 30 days)","Pass")))))</f>
        <v>Not Yet Inspected</v>
      </c>
      <c r="P364" s="18"/>
      <c r="Q364" s="18"/>
      <c r="R364" s="19"/>
    </row>
    <row r="365" customFormat="false" ht="15.75" hidden="false" customHeight="true" outlineLevel="0" collapsed="false">
      <c r="A365" s="18"/>
      <c r="B365" s="18"/>
      <c r="C365" s="19"/>
      <c r="D365" s="19" t="str">
        <f aca="false">IF(C365="","",DATE(YEAR(C365)+1,MONTH(C365),DAY(C365)))</f>
        <v/>
      </c>
      <c r="E365" s="20"/>
      <c r="F365" s="20"/>
      <c r="G365" s="20"/>
      <c r="H365" s="20"/>
      <c r="I365" s="20"/>
      <c r="J365" s="20"/>
      <c r="K365" s="20"/>
      <c r="L365" s="20"/>
      <c r="M365" s="20"/>
      <c r="N365" s="18" t="str">
        <f aca="false">IF(COUNTBLANK(E365:M365)=9,"",IF(COUNTIF(E365:M365,"Fail")&gt;0,"Fail",IF(COUNTBLANK(E365:M365)&gt;0,"Incomplete","Pass")))</f>
        <v/>
      </c>
      <c r="O365" s="18" t="str">
        <f aca="true">IF(N365="","Not Yet Inspected",IF(N365="Fail","Fail",IF(D365="","",IF(D365&lt;TODAY(),"Overdue",IF(D365&lt;=TODAY()+30,"Due (within 30 days)","Pass")))))</f>
        <v>Not Yet Inspected</v>
      </c>
      <c r="P365" s="18"/>
      <c r="Q365" s="18"/>
      <c r="R365" s="19"/>
    </row>
    <row r="366" customFormat="false" ht="15.75" hidden="false" customHeight="true" outlineLevel="0" collapsed="false">
      <c r="A366" s="18"/>
      <c r="B366" s="18"/>
      <c r="C366" s="19"/>
      <c r="D366" s="19" t="str">
        <f aca="false">IF(C366="","",DATE(YEAR(C366)+1,MONTH(C366),DAY(C366)))</f>
        <v/>
      </c>
      <c r="E366" s="20"/>
      <c r="F366" s="20"/>
      <c r="G366" s="20"/>
      <c r="H366" s="20"/>
      <c r="I366" s="20"/>
      <c r="J366" s="20"/>
      <c r="K366" s="20"/>
      <c r="L366" s="20"/>
      <c r="M366" s="20"/>
      <c r="N366" s="18" t="str">
        <f aca="false">IF(COUNTBLANK(E366:M366)=9,"",IF(COUNTIF(E366:M366,"Fail")&gt;0,"Fail",IF(COUNTBLANK(E366:M366)&gt;0,"Incomplete","Pass")))</f>
        <v/>
      </c>
      <c r="O366" s="18" t="str">
        <f aca="true">IF(N366="","Not Yet Inspected",IF(N366="Fail","Fail",IF(D366="","",IF(D366&lt;TODAY(),"Overdue",IF(D366&lt;=TODAY()+30,"Due (within 30 days)","Pass")))))</f>
        <v>Not Yet Inspected</v>
      </c>
      <c r="P366" s="18"/>
      <c r="Q366" s="18"/>
      <c r="R366" s="19"/>
    </row>
    <row r="367" customFormat="false" ht="15.75" hidden="false" customHeight="true" outlineLevel="0" collapsed="false">
      <c r="A367" s="18"/>
      <c r="B367" s="18"/>
      <c r="C367" s="19"/>
      <c r="D367" s="19" t="str">
        <f aca="false">IF(C367="","",DATE(YEAR(C367)+1,MONTH(C367),DAY(C367)))</f>
        <v/>
      </c>
      <c r="E367" s="20"/>
      <c r="F367" s="20"/>
      <c r="G367" s="20"/>
      <c r="H367" s="20"/>
      <c r="I367" s="20"/>
      <c r="J367" s="20"/>
      <c r="K367" s="20"/>
      <c r="L367" s="20"/>
      <c r="M367" s="20"/>
      <c r="N367" s="18" t="str">
        <f aca="false">IF(COUNTBLANK(E367:M367)=9,"",IF(COUNTIF(E367:M367,"Fail")&gt;0,"Fail",IF(COUNTBLANK(E367:M367)&gt;0,"Incomplete","Pass")))</f>
        <v/>
      </c>
      <c r="O367" s="18" t="str">
        <f aca="true">IF(N367="","Not Yet Inspected",IF(N367="Fail","Fail",IF(D367="","",IF(D367&lt;TODAY(),"Overdue",IF(D367&lt;=TODAY()+30,"Due (within 30 days)","Pass")))))</f>
        <v>Not Yet Inspected</v>
      </c>
      <c r="P367" s="18"/>
      <c r="Q367" s="18"/>
      <c r="R367" s="19"/>
    </row>
    <row r="368" customFormat="false" ht="15.75" hidden="false" customHeight="true" outlineLevel="0" collapsed="false">
      <c r="A368" s="18"/>
      <c r="B368" s="18"/>
      <c r="C368" s="19"/>
      <c r="D368" s="19" t="str">
        <f aca="false">IF(C368="","",DATE(YEAR(C368)+1,MONTH(C368),DAY(C368)))</f>
        <v/>
      </c>
      <c r="E368" s="20"/>
      <c r="F368" s="20"/>
      <c r="G368" s="20"/>
      <c r="H368" s="20"/>
      <c r="I368" s="20"/>
      <c r="J368" s="20"/>
      <c r="K368" s="20"/>
      <c r="L368" s="20"/>
      <c r="M368" s="20"/>
      <c r="N368" s="18" t="str">
        <f aca="false">IF(COUNTBLANK(E368:M368)=9,"",IF(COUNTIF(E368:M368,"Fail")&gt;0,"Fail",IF(COUNTBLANK(E368:M368)&gt;0,"Incomplete","Pass")))</f>
        <v/>
      </c>
      <c r="O368" s="18" t="str">
        <f aca="true">IF(N368="","Not Yet Inspected",IF(N368="Fail","Fail",IF(D368="","",IF(D368&lt;TODAY(),"Overdue",IF(D368&lt;=TODAY()+30,"Due (within 30 days)","Pass")))))</f>
        <v>Not Yet Inspected</v>
      </c>
      <c r="P368" s="18"/>
      <c r="Q368" s="18"/>
      <c r="R368" s="19"/>
    </row>
    <row r="369" customFormat="false" ht="15.75" hidden="false" customHeight="true" outlineLevel="0" collapsed="false">
      <c r="A369" s="18"/>
      <c r="B369" s="18"/>
      <c r="C369" s="19"/>
      <c r="D369" s="19" t="str">
        <f aca="false">IF(C369="","",DATE(YEAR(C369)+1,MONTH(C369),DAY(C369)))</f>
        <v/>
      </c>
      <c r="E369" s="20"/>
      <c r="F369" s="20"/>
      <c r="G369" s="20"/>
      <c r="H369" s="20"/>
      <c r="I369" s="20"/>
      <c r="J369" s="20"/>
      <c r="K369" s="20"/>
      <c r="L369" s="20"/>
      <c r="M369" s="20"/>
      <c r="N369" s="18" t="str">
        <f aca="false">IF(COUNTBLANK(E369:M369)=9,"",IF(COUNTIF(E369:M369,"Fail")&gt;0,"Fail",IF(COUNTBLANK(E369:M369)&gt;0,"Incomplete","Pass")))</f>
        <v/>
      </c>
      <c r="O369" s="18" t="str">
        <f aca="true">IF(N369="","Not Yet Inspected",IF(N369="Fail","Fail",IF(D369="","",IF(D369&lt;TODAY(),"Overdue",IF(D369&lt;=TODAY()+30,"Due (within 30 days)","Pass")))))</f>
        <v>Not Yet Inspected</v>
      </c>
      <c r="P369" s="18"/>
      <c r="Q369" s="18"/>
      <c r="R369" s="19"/>
    </row>
    <row r="370" customFormat="false" ht="15.75" hidden="false" customHeight="true" outlineLevel="0" collapsed="false">
      <c r="A370" s="18"/>
      <c r="B370" s="18"/>
      <c r="C370" s="19"/>
      <c r="D370" s="19" t="str">
        <f aca="false">IF(C370="","",DATE(YEAR(C370)+1,MONTH(C370),DAY(C370)))</f>
        <v/>
      </c>
      <c r="E370" s="20"/>
      <c r="F370" s="20"/>
      <c r="G370" s="20"/>
      <c r="H370" s="20"/>
      <c r="I370" s="20"/>
      <c r="J370" s="20"/>
      <c r="K370" s="20"/>
      <c r="L370" s="20"/>
      <c r="M370" s="20"/>
      <c r="N370" s="18" t="str">
        <f aca="false">IF(COUNTBLANK(E370:M370)=9,"",IF(COUNTIF(E370:M370,"Fail")&gt;0,"Fail",IF(COUNTBLANK(E370:M370)&gt;0,"Incomplete","Pass")))</f>
        <v/>
      </c>
      <c r="O370" s="18" t="str">
        <f aca="true">IF(N370="","Not Yet Inspected",IF(N370="Fail","Fail",IF(D370="","",IF(D370&lt;TODAY(),"Overdue",IF(D370&lt;=TODAY()+30,"Due (within 30 days)","Pass")))))</f>
        <v>Not Yet Inspected</v>
      </c>
      <c r="P370" s="18"/>
      <c r="Q370" s="18"/>
      <c r="R370" s="19"/>
    </row>
    <row r="371" customFormat="false" ht="15.75" hidden="false" customHeight="true" outlineLevel="0" collapsed="false">
      <c r="A371" s="18"/>
      <c r="B371" s="18"/>
      <c r="C371" s="19"/>
      <c r="D371" s="19" t="str">
        <f aca="false">IF(C371="","",DATE(YEAR(C371)+1,MONTH(C371),DAY(C371)))</f>
        <v/>
      </c>
      <c r="E371" s="20"/>
      <c r="F371" s="20"/>
      <c r="G371" s="20"/>
      <c r="H371" s="20"/>
      <c r="I371" s="20"/>
      <c r="J371" s="20"/>
      <c r="K371" s="20"/>
      <c r="L371" s="20"/>
      <c r="M371" s="20"/>
      <c r="N371" s="18" t="str">
        <f aca="false">IF(COUNTBLANK(E371:M371)=9,"",IF(COUNTIF(E371:M371,"Fail")&gt;0,"Fail",IF(COUNTBLANK(E371:M371)&gt;0,"Incomplete","Pass")))</f>
        <v/>
      </c>
      <c r="O371" s="18" t="str">
        <f aca="true">IF(N371="","Not Yet Inspected",IF(N371="Fail","Fail",IF(D371="","",IF(D371&lt;TODAY(),"Overdue",IF(D371&lt;=TODAY()+30,"Due (within 30 days)","Pass")))))</f>
        <v>Not Yet Inspected</v>
      </c>
      <c r="P371" s="18"/>
      <c r="Q371" s="18"/>
      <c r="R371" s="19"/>
    </row>
    <row r="372" customFormat="false" ht="15.75" hidden="false" customHeight="true" outlineLevel="0" collapsed="false">
      <c r="A372" s="18"/>
      <c r="B372" s="18"/>
      <c r="C372" s="19"/>
      <c r="D372" s="19" t="str">
        <f aca="false">IF(C372="","",DATE(YEAR(C372)+1,MONTH(C372),DAY(C372)))</f>
        <v/>
      </c>
      <c r="E372" s="20"/>
      <c r="F372" s="20"/>
      <c r="G372" s="20"/>
      <c r="H372" s="20"/>
      <c r="I372" s="20"/>
      <c r="J372" s="20"/>
      <c r="K372" s="20"/>
      <c r="L372" s="20"/>
      <c r="M372" s="20"/>
      <c r="N372" s="18" t="str">
        <f aca="false">IF(COUNTBLANK(E372:M372)=9,"",IF(COUNTIF(E372:M372,"Fail")&gt;0,"Fail",IF(COUNTBLANK(E372:M372)&gt;0,"Incomplete","Pass")))</f>
        <v/>
      </c>
      <c r="O372" s="18" t="str">
        <f aca="true">IF(N372="","Not Yet Inspected",IF(N372="Fail","Fail",IF(D372="","",IF(D372&lt;TODAY(),"Overdue",IF(D372&lt;=TODAY()+30,"Due (within 30 days)","Pass")))))</f>
        <v>Not Yet Inspected</v>
      </c>
      <c r="P372" s="18"/>
      <c r="Q372" s="18"/>
      <c r="R372" s="19"/>
    </row>
    <row r="373" customFormat="false" ht="15.75" hidden="false" customHeight="true" outlineLevel="0" collapsed="false">
      <c r="A373" s="18"/>
      <c r="B373" s="18"/>
      <c r="C373" s="19"/>
      <c r="D373" s="19" t="str">
        <f aca="false">IF(C373="","",DATE(YEAR(C373)+1,MONTH(C373),DAY(C373)))</f>
        <v/>
      </c>
      <c r="E373" s="20"/>
      <c r="F373" s="20"/>
      <c r="G373" s="20"/>
      <c r="H373" s="20"/>
      <c r="I373" s="20"/>
      <c r="J373" s="20"/>
      <c r="K373" s="20"/>
      <c r="L373" s="20"/>
      <c r="M373" s="20"/>
      <c r="N373" s="18" t="str">
        <f aca="false">IF(COUNTBLANK(E373:M373)=9,"",IF(COUNTIF(E373:M373,"Fail")&gt;0,"Fail",IF(COUNTBLANK(E373:M373)&gt;0,"Incomplete","Pass")))</f>
        <v/>
      </c>
      <c r="O373" s="18" t="str">
        <f aca="true">IF(N373="","Not Yet Inspected",IF(N373="Fail","Fail",IF(D373="","",IF(D373&lt;TODAY(),"Overdue",IF(D373&lt;=TODAY()+30,"Due (within 30 days)","Pass")))))</f>
        <v>Not Yet Inspected</v>
      </c>
      <c r="P373" s="18"/>
      <c r="Q373" s="18"/>
      <c r="R373" s="19"/>
    </row>
    <row r="374" customFormat="false" ht="15.75" hidden="false" customHeight="true" outlineLevel="0" collapsed="false">
      <c r="A374" s="18"/>
      <c r="B374" s="18"/>
      <c r="C374" s="19"/>
      <c r="D374" s="19" t="str">
        <f aca="false">IF(C374="","",DATE(YEAR(C374)+1,MONTH(C374),DAY(C374)))</f>
        <v/>
      </c>
      <c r="E374" s="20"/>
      <c r="F374" s="20"/>
      <c r="G374" s="20"/>
      <c r="H374" s="20"/>
      <c r="I374" s="20"/>
      <c r="J374" s="20"/>
      <c r="K374" s="20"/>
      <c r="L374" s="20"/>
      <c r="M374" s="20"/>
      <c r="N374" s="18" t="str">
        <f aca="false">IF(COUNTBLANK(E374:M374)=9,"",IF(COUNTIF(E374:M374,"Fail")&gt;0,"Fail",IF(COUNTBLANK(E374:M374)&gt;0,"Incomplete","Pass")))</f>
        <v/>
      </c>
      <c r="O374" s="18" t="str">
        <f aca="true">IF(N374="","Not Yet Inspected",IF(N374="Fail","Fail",IF(D374="","",IF(D374&lt;TODAY(),"Overdue",IF(D374&lt;=TODAY()+30,"Due (within 30 days)","Pass")))))</f>
        <v>Not Yet Inspected</v>
      </c>
      <c r="P374" s="18"/>
      <c r="Q374" s="18"/>
      <c r="R374" s="19"/>
    </row>
    <row r="375" customFormat="false" ht="15.75" hidden="false" customHeight="true" outlineLevel="0" collapsed="false">
      <c r="A375" s="18"/>
      <c r="B375" s="18"/>
      <c r="C375" s="19"/>
      <c r="D375" s="19" t="str">
        <f aca="false">IF(C375="","",DATE(YEAR(C375)+1,MONTH(C375),DAY(C375)))</f>
        <v/>
      </c>
      <c r="E375" s="20"/>
      <c r="F375" s="20"/>
      <c r="G375" s="20"/>
      <c r="H375" s="20"/>
      <c r="I375" s="20"/>
      <c r="J375" s="20"/>
      <c r="K375" s="20"/>
      <c r="L375" s="20"/>
      <c r="M375" s="20"/>
      <c r="N375" s="18" t="str">
        <f aca="false">IF(COUNTBLANK(E375:M375)=9,"",IF(COUNTIF(E375:M375,"Fail")&gt;0,"Fail",IF(COUNTBLANK(E375:M375)&gt;0,"Incomplete","Pass")))</f>
        <v/>
      </c>
      <c r="O375" s="18" t="str">
        <f aca="true">IF(N375="","Not Yet Inspected",IF(N375="Fail","Fail",IF(D375="","",IF(D375&lt;TODAY(),"Overdue",IF(D375&lt;=TODAY()+30,"Due (within 30 days)","Pass")))))</f>
        <v>Not Yet Inspected</v>
      </c>
      <c r="P375" s="18"/>
      <c r="Q375" s="18"/>
      <c r="R375" s="19"/>
    </row>
    <row r="376" customFormat="false" ht="15.75" hidden="false" customHeight="true" outlineLevel="0" collapsed="false">
      <c r="A376" s="18"/>
      <c r="B376" s="18"/>
      <c r="C376" s="19"/>
      <c r="D376" s="19" t="str">
        <f aca="false">IF(C376="","",DATE(YEAR(C376)+1,MONTH(C376),DAY(C376)))</f>
        <v/>
      </c>
      <c r="E376" s="20"/>
      <c r="F376" s="20"/>
      <c r="G376" s="20"/>
      <c r="H376" s="20"/>
      <c r="I376" s="20"/>
      <c r="J376" s="20"/>
      <c r="K376" s="20"/>
      <c r="L376" s="20"/>
      <c r="M376" s="20"/>
      <c r="N376" s="18" t="str">
        <f aca="false">IF(COUNTBLANK(E376:M376)=9,"",IF(COUNTIF(E376:M376,"Fail")&gt;0,"Fail",IF(COUNTBLANK(E376:M376)&gt;0,"Incomplete","Pass")))</f>
        <v/>
      </c>
      <c r="O376" s="18" t="str">
        <f aca="true">IF(N376="","Not Yet Inspected",IF(N376="Fail","Fail",IF(D376="","",IF(D376&lt;TODAY(),"Overdue",IF(D376&lt;=TODAY()+30,"Due (within 30 days)","Pass")))))</f>
        <v>Not Yet Inspected</v>
      </c>
      <c r="P376" s="18"/>
      <c r="Q376" s="18"/>
      <c r="R376" s="19"/>
    </row>
    <row r="377" customFormat="false" ht="15.75" hidden="false" customHeight="true" outlineLevel="0" collapsed="false">
      <c r="A377" s="18"/>
      <c r="B377" s="18"/>
      <c r="C377" s="19"/>
      <c r="D377" s="19" t="str">
        <f aca="false">IF(C377="","",DATE(YEAR(C377)+1,MONTH(C377),DAY(C377)))</f>
        <v/>
      </c>
      <c r="E377" s="20"/>
      <c r="F377" s="20"/>
      <c r="G377" s="20"/>
      <c r="H377" s="20"/>
      <c r="I377" s="20"/>
      <c r="J377" s="20"/>
      <c r="K377" s="20"/>
      <c r="L377" s="20"/>
      <c r="M377" s="20"/>
      <c r="N377" s="18" t="str">
        <f aca="false">IF(COUNTBLANK(E377:M377)=9,"",IF(COUNTIF(E377:M377,"Fail")&gt;0,"Fail",IF(COUNTBLANK(E377:M377)&gt;0,"Incomplete","Pass")))</f>
        <v/>
      </c>
      <c r="O377" s="18" t="str">
        <f aca="true">IF(N377="","Not Yet Inspected",IF(N377="Fail","Fail",IF(D377="","",IF(D377&lt;TODAY(),"Overdue",IF(D377&lt;=TODAY()+30,"Due (within 30 days)","Pass")))))</f>
        <v>Not Yet Inspected</v>
      </c>
      <c r="P377" s="18"/>
      <c r="Q377" s="18"/>
      <c r="R377" s="19"/>
    </row>
    <row r="378" customFormat="false" ht="15.75" hidden="false" customHeight="true" outlineLevel="0" collapsed="false">
      <c r="A378" s="18"/>
      <c r="B378" s="18"/>
      <c r="C378" s="19"/>
      <c r="D378" s="19" t="str">
        <f aca="false">IF(C378="","",DATE(YEAR(C378)+1,MONTH(C378),DAY(C378)))</f>
        <v/>
      </c>
      <c r="E378" s="20"/>
      <c r="F378" s="20"/>
      <c r="G378" s="20"/>
      <c r="H378" s="20"/>
      <c r="I378" s="20"/>
      <c r="J378" s="20"/>
      <c r="K378" s="20"/>
      <c r="L378" s="20"/>
      <c r="M378" s="20"/>
      <c r="N378" s="18" t="str">
        <f aca="false">IF(COUNTBLANK(E378:M378)=9,"",IF(COUNTIF(E378:M378,"Fail")&gt;0,"Fail",IF(COUNTBLANK(E378:M378)&gt;0,"Incomplete","Pass")))</f>
        <v/>
      </c>
      <c r="O378" s="18" t="str">
        <f aca="true">IF(N378="","Not Yet Inspected",IF(N378="Fail","Fail",IF(D378="","",IF(D378&lt;TODAY(),"Overdue",IF(D378&lt;=TODAY()+30,"Due (within 30 days)","Pass")))))</f>
        <v>Not Yet Inspected</v>
      </c>
      <c r="P378" s="18"/>
      <c r="Q378" s="18"/>
      <c r="R378" s="19"/>
    </row>
    <row r="379" customFormat="false" ht="15.75" hidden="false" customHeight="true" outlineLevel="0" collapsed="false">
      <c r="A379" s="18"/>
      <c r="B379" s="18"/>
      <c r="C379" s="19"/>
      <c r="D379" s="19" t="str">
        <f aca="false">IF(C379="","",DATE(YEAR(C379)+1,MONTH(C379),DAY(C379)))</f>
        <v/>
      </c>
      <c r="E379" s="20"/>
      <c r="F379" s="20"/>
      <c r="G379" s="20"/>
      <c r="H379" s="20"/>
      <c r="I379" s="20"/>
      <c r="J379" s="20"/>
      <c r="K379" s="20"/>
      <c r="L379" s="20"/>
      <c r="M379" s="20"/>
      <c r="N379" s="18" t="str">
        <f aca="false">IF(COUNTBLANK(E379:M379)=9,"",IF(COUNTIF(E379:M379,"Fail")&gt;0,"Fail",IF(COUNTBLANK(E379:M379)&gt;0,"Incomplete","Pass")))</f>
        <v/>
      </c>
      <c r="O379" s="18" t="str">
        <f aca="true">IF(N379="","Not Yet Inspected",IF(N379="Fail","Fail",IF(D379="","",IF(D379&lt;TODAY(),"Overdue",IF(D379&lt;=TODAY()+30,"Due (within 30 days)","Pass")))))</f>
        <v>Not Yet Inspected</v>
      </c>
      <c r="P379" s="18"/>
      <c r="Q379" s="18"/>
      <c r="R379" s="19"/>
    </row>
    <row r="380" customFormat="false" ht="15.75" hidden="false" customHeight="true" outlineLevel="0" collapsed="false">
      <c r="A380" s="18"/>
      <c r="B380" s="18"/>
      <c r="C380" s="19"/>
      <c r="D380" s="19" t="str">
        <f aca="false">IF(C380="","",DATE(YEAR(C380)+1,MONTH(C380),DAY(C380)))</f>
        <v/>
      </c>
      <c r="E380" s="20"/>
      <c r="F380" s="20"/>
      <c r="G380" s="20"/>
      <c r="H380" s="20"/>
      <c r="I380" s="20"/>
      <c r="J380" s="20"/>
      <c r="K380" s="20"/>
      <c r="L380" s="20"/>
      <c r="M380" s="20"/>
      <c r="N380" s="18" t="str">
        <f aca="false">IF(COUNTBLANK(E380:M380)=9,"",IF(COUNTIF(E380:M380,"Fail")&gt;0,"Fail",IF(COUNTBLANK(E380:M380)&gt;0,"Incomplete","Pass")))</f>
        <v/>
      </c>
      <c r="O380" s="18" t="str">
        <f aca="true">IF(N380="","Not Yet Inspected",IF(N380="Fail","Fail",IF(D380="","",IF(D380&lt;TODAY(),"Overdue",IF(D380&lt;=TODAY()+30,"Due (within 30 days)","Pass")))))</f>
        <v>Not Yet Inspected</v>
      </c>
      <c r="P380" s="18"/>
      <c r="Q380" s="18"/>
      <c r="R380" s="19"/>
    </row>
    <row r="381" customFormat="false" ht="15.75" hidden="false" customHeight="true" outlineLevel="0" collapsed="false">
      <c r="A381" s="18"/>
      <c r="B381" s="18"/>
      <c r="C381" s="19"/>
      <c r="D381" s="19" t="str">
        <f aca="false">IF(C381="","",DATE(YEAR(C381)+1,MONTH(C381),DAY(C381)))</f>
        <v/>
      </c>
      <c r="E381" s="20"/>
      <c r="F381" s="20"/>
      <c r="G381" s="20"/>
      <c r="H381" s="20"/>
      <c r="I381" s="20"/>
      <c r="J381" s="20"/>
      <c r="K381" s="20"/>
      <c r="L381" s="20"/>
      <c r="M381" s="20"/>
      <c r="N381" s="18" t="str">
        <f aca="false">IF(COUNTBLANK(E381:M381)=9,"",IF(COUNTIF(E381:M381,"Fail")&gt;0,"Fail",IF(COUNTBLANK(E381:M381)&gt;0,"Incomplete","Pass")))</f>
        <v/>
      </c>
      <c r="O381" s="18" t="str">
        <f aca="true">IF(N381="","Not Yet Inspected",IF(N381="Fail","Fail",IF(D381="","",IF(D381&lt;TODAY(),"Overdue",IF(D381&lt;=TODAY()+30,"Due (within 30 days)","Pass")))))</f>
        <v>Not Yet Inspected</v>
      </c>
      <c r="P381" s="18"/>
      <c r="Q381" s="18"/>
      <c r="R381" s="19"/>
    </row>
    <row r="382" customFormat="false" ht="15.75" hidden="false" customHeight="true" outlineLevel="0" collapsed="false">
      <c r="A382" s="18"/>
      <c r="B382" s="18"/>
      <c r="C382" s="19"/>
      <c r="D382" s="19" t="str">
        <f aca="false">IF(C382="","",DATE(YEAR(C382)+1,MONTH(C382),DAY(C382)))</f>
        <v/>
      </c>
      <c r="E382" s="20"/>
      <c r="F382" s="20"/>
      <c r="G382" s="20"/>
      <c r="H382" s="20"/>
      <c r="I382" s="20"/>
      <c r="J382" s="20"/>
      <c r="K382" s="20"/>
      <c r="L382" s="20"/>
      <c r="M382" s="20"/>
      <c r="N382" s="18" t="str">
        <f aca="false">IF(COUNTBLANK(E382:M382)=9,"",IF(COUNTIF(E382:M382,"Fail")&gt;0,"Fail",IF(COUNTBLANK(E382:M382)&gt;0,"Incomplete","Pass")))</f>
        <v/>
      </c>
      <c r="O382" s="18" t="str">
        <f aca="true">IF(N382="","Not Yet Inspected",IF(N382="Fail","Fail",IF(D382="","",IF(D382&lt;TODAY(),"Overdue",IF(D382&lt;=TODAY()+30,"Due (within 30 days)","Pass")))))</f>
        <v>Not Yet Inspected</v>
      </c>
      <c r="P382" s="18"/>
      <c r="Q382" s="18"/>
      <c r="R382" s="19"/>
    </row>
    <row r="383" customFormat="false" ht="15.75" hidden="false" customHeight="true" outlineLevel="0" collapsed="false">
      <c r="A383" s="18"/>
      <c r="B383" s="18"/>
      <c r="C383" s="19"/>
      <c r="D383" s="19" t="str">
        <f aca="false">IF(C383="","",DATE(YEAR(C383)+1,MONTH(C383),DAY(C383)))</f>
        <v/>
      </c>
      <c r="E383" s="20"/>
      <c r="F383" s="20"/>
      <c r="G383" s="20"/>
      <c r="H383" s="20"/>
      <c r="I383" s="20"/>
      <c r="J383" s="20"/>
      <c r="K383" s="20"/>
      <c r="L383" s="20"/>
      <c r="M383" s="20"/>
      <c r="N383" s="18" t="str">
        <f aca="false">IF(COUNTBLANK(E383:M383)=9,"",IF(COUNTIF(E383:M383,"Fail")&gt;0,"Fail",IF(COUNTBLANK(E383:M383)&gt;0,"Incomplete","Pass")))</f>
        <v/>
      </c>
      <c r="O383" s="18" t="str">
        <f aca="true">IF(N383="","Not Yet Inspected",IF(N383="Fail","Fail",IF(D383="","",IF(D383&lt;TODAY(),"Overdue",IF(D383&lt;=TODAY()+30,"Due (within 30 days)","Pass")))))</f>
        <v>Not Yet Inspected</v>
      </c>
      <c r="P383" s="18"/>
      <c r="Q383" s="18"/>
      <c r="R383" s="19"/>
    </row>
    <row r="384" customFormat="false" ht="15.75" hidden="false" customHeight="true" outlineLevel="0" collapsed="false">
      <c r="A384" s="18"/>
      <c r="B384" s="18"/>
      <c r="C384" s="19"/>
      <c r="D384" s="19" t="str">
        <f aca="false">IF(C384="","",DATE(YEAR(C384)+1,MONTH(C384),DAY(C384)))</f>
        <v/>
      </c>
      <c r="E384" s="20"/>
      <c r="F384" s="20"/>
      <c r="G384" s="20"/>
      <c r="H384" s="20"/>
      <c r="I384" s="20"/>
      <c r="J384" s="20"/>
      <c r="K384" s="20"/>
      <c r="L384" s="20"/>
      <c r="M384" s="20"/>
      <c r="N384" s="18" t="str">
        <f aca="false">IF(COUNTBLANK(E384:M384)=9,"",IF(COUNTIF(E384:M384,"Fail")&gt;0,"Fail",IF(COUNTBLANK(E384:M384)&gt;0,"Incomplete","Pass")))</f>
        <v/>
      </c>
      <c r="O384" s="18" t="str">
        <f aca="true">IF(N384="","Not Yet Inspected",IF(N384="Fail","Fail",IF(D384="","",IF(D384&lt;TODAY(),"Overdue",IF(D384&lt;=TODAY()+30,"Due (within 30 days)","Pass")))))</f>
        <v>Not Yet Inspected</v>
      </c>
      <c r="P384" s="18"/>
      <c r="Q384" s="18"/>
      <c r="R384" s="19"/>
    </row>
    <row r="385" customFormat="false" ht="15.75" hidden="false" customHeight="true" outlineLevel="0" collapsed="false">
      <c r="A385" s="18"/>
      <c r="B385" s="18"/>
      <c r="C385" s="19"/>
      <c r="D385" s="19" t="str">
        <f aca="false">IF(C385="","",DATE(YEAR(C385)+1,MONTH(C385),DAY(C385)))</f>
        <v/>
      </c>
      <c r="E385" s="20"/>
      <c r="F385" s="20"/>
      <c r="G385" s="20"/>
      <c r="H385" s="20"/>
      <c r="I385" s="20"/>
      <c r="J385" s="20"/>
      <c r="K385" s="20"/>
      <c r="L385" s="20"/>
      <c r="M385" s="20"/>
      <c r="N385" s="18" t="str">
        <f aca="false">IF(COUNTBLANK(E385:M385)=9,"",IF(COUNTIF(E385:M385,"Fail")&gt;0,"Fail",IF(COUNTBLANK(E385:M385)&gt;0,"Incomplete","Pass")))</f>
        <v/>
      </c>
      <c r="O385" s="18" t="str">
        <f aca="true">IF(N385="","Not Yet Inspected",IF(N385="Fail","Fail",IF(D385="","",IF(D385&lt;TODAY(),"Overdue",IF(D385&lt;=TODAY()+30,"Due (within 30 days)","Pass")))))</f>
        <v>Not Yet Inspected</v>
      </c>
      <c r="P385" s="18"/>
      <c r="Q385" s="18"/>
      <c r="R385" s="19"/>
    </row>
    <row r="386" customFormat="false" ht="15.75" hidden="false" customHeight="true" outlineLevel="0" collapsed="false">
      <c r="A386" s="18"/>
      <c r="B386" s="18"/>
      <c r="C386" s="19"/>
      <c r="D386" s="19" t="str">
        <f aca="false">IF(C386="","",DATE(YEAR(C386)+1,MONTH(C386),DAY(C386)))</f>
        <v/>
      </c>
      <c r="E386" s="20"/>
      <c r="F386" s="20"/>
      <c r="G386" s="20"/>
      <c r="H386" s="20"/>
      <c r="I386" s="20"/>
      <c r="J386" s="20"/>
      <c r="K386" s="20"/>
      <c r="L386" s="20"/>
      <c r="M386" s="20"/>
      <c r="N386" s="18" t="str">
        <f aca="false">IF(COUNTBLANK(E386:M386)=9,"",IF(COUNTIF(E386:M386,"Fail")&gt;0,"Fail",IF(COUNTBLANK(E386:M386)&gt;0,"Incomplete","Pass")))</f>
        <v/>
      </c>
      <c r="O386" s="18" t="str">
        <f aca="true">IF(N386="","Not Yet Inspected",IF(N386="Fail","Fail",IF(D386="","",IF(D386&lt;TODAY(),"Overdue",IF(D386&lt;=TODAY()+30,"Due (within 30 days)","Pass")))))</f>
        <v>Not Yet Inspected</v>
      </c>
      <c r="P386" s="18"/>
      <c r="Q386" s="18"/>
      <c r="R386" s="19"/>
    </row>
    <row r="387" customFormat="false" ht="15.75" hidden="false" customHeight="true" outlineLevel="0" collapsed="false">
      <c r="A387" s="18"/>
      <c r="B387" s="18"/>
      <c r="C387" s="19"/>
      <c r="D387" s="19" t="str">
        <f aca="false">IF(C387="","",DATE(YEAR(C387)+1,MONTH(C387),DAY(C387)))</f>
        <v/>
      </c>
      <c r="E387" s="20"/>
      <c r="F387" s="20"/>
      <c r="G387" s="20"/>
      <c r="H387" s="20"/>
      <c r="I387" s="20"/>
      <c r="J387" s="20"/>
      <c r="K387" s="20"/>
      <c r="L387" s="20"/>
      <c r="M387" s="20"/>
      <c r="N387" s="18" t="str">
        <f aca="false">IF(COUNTBLANK(E387:M387)=9,"",IF(COUNTIF(E387:M387,"Fail")&gt;0,"Fail",IF(COUNTBLANK(E387:M387)&gt;0,"Incomplete","Pass")))</f>
        <v/>
      </c>
      <c r="O387" s="18" t="str">
        <f aca="true">IF(N387="","Not Yet Inspected",IF(N387="Fail","Fail",IF(D387="","",IF(D387&lt;TODAY(),"Overdue",IF(D387&lt;=TODAY()+30,"Due (within 30 days)","Pass")))))</f>
        <v>Not Yet Inspected</v>
      </c>
      <c r="P387" s="18"/>
      <c r="Q387" s="18"/>
      <c r="R387" s="19"/>
    </row>
    <row r="388" customFormat="false" ht="15.75" hidden="false" customHeight="true" outlineLevel="0" collapsed="false">
      <c r="A388" s="18"/>
      <c r="B388" s="18"/>
      <c r="C388" s="19"/>
      <c r="D388" s="19" t="str">
        <f aca="false">IF(C388="","",DATE(YEAR(C388)+1,MONTH(C388),DAY(C388)))</f>
        <v/>
      </c>
      <c r="E388" s="20"/>
      <c r="F388" s="20"/>
      <c r="G388" s="20"/>
      <c r="H388" s="20"/>
      <c r="I388" s="20"/>
      <c r="J388" s="20"/>
      <c r="K388" s="20"/>
      <c r="L388" s="20"/>
      <c r="M388" s="20"/>
      <c r="N388" s="18" t="str">
        <f aca="false">IF(COUNTBLANK(E388:M388)=9,"",IF(COUNTIF(E388:M388,"Fail")&gt;0,"Fail",IF(COUNTBLANK(E388:M388)&gt;0,"Incomplete","Pass")))</f>
        <v/>
      </c>
      <c r="O388" s="18" t="str">
        <f aca="true">IF(N388="","Not Yet Inspected",IF(N388="Fail","Fail",IF(D388="","",IF(D388&lt;TODAY(),"Overdue",IF(D388&lt;=TODAY()+30,"Due (within 30 days)","Pass")))))</f>
        <v>Not Yet Inspected</v>
      </c>
      <c r="P388" s="18"/>
      <c r="Q388" s="18"/>
      <c r="R388" s="19"/>
    </row>
    <row r="389" customFormat="false" ht="15.75" hidden="false" customHeight="true" outlineLevel="0" collapsed="false">
      <c r="A389" s="18"/>
      <c r="B389" s="18"/>
      <c r="C389" s="19"/>
      <c r="D389" s="19" t="str">
        <f aca="false">IF(C389="","",DATE(YEAR(C389)+1,MONTH(C389),DAY(C389)))</f>
        <v/>
      </c>
      <c r="E389" s="20"/>
      <c r="F389" s="20"/>
      <c r="G389" s="20"/>
      <c r="H389" s="20"/>
      <c r="I389" s="20"/>
      <c r="J389" s="20"/>
      <c r="K389" s="20"/>
      <c r="L389" s="20"/>
      <c r="M389" s="20"/>
      <c r="N389" s="18" t="str">
        <f aca="false">IF(COUNTBLANK(E389:M389)=9,"",IF(COUNTIF(E389:M389,"Fail")&gt;0,"Fail",IF(COUNTBLANK(E389:M389)&gt;0,"Incomplete","Pass")))</f>
        <v/>
      </c>
      <c r="O389" s="18" t="str">
        <f aca="true">IF(N389="","Not Yet Inspected",IF(N389="Fail","Fail",IF(D389="","",IF(D389&lt;TODAY(),"Overdue",IF(D389&lt;=TODAY()+30,"Due (within 30 days)","Pass")))))</f>
        <v>Not Yet Inspected</v>
      </c>
      <c r="P389" s="18"/>
      <c r="Q389" s="18"/>
      <c r="R389" s="19"/>
    </row>
    <row r="390" customFormat="false" ht="15.75" hidden="false" customHeight="true" outlineLevel="0" collapsed="false">
      <c r="A390" s="18"/>
      <c r="B390" s="18"/>
      <c r="C390" s="19"/>
      <c r="D390" s="19" t="str">
        <f aca="false">IF(C390="","",DATE(YEAR(C390)+1,MONTH(C390),DAY(C390)))</f>
        <v/>
      </c>
      <c r="E390" s="20"/>
      <c r="F390" s="20"/>
      <c r="G390" s="20"/>
      <c r="H390" s="20"/>
      <c r="I390" s="20"/>
      <c r="J390" s="20"/>
      <c r="K390" s="20"/>
      <c r="L390" s="20"/>
      <c r="M390" s="20"/>
      <c r="N390" s="18" t="str">
        <f aca="false">IF(COUNTBLANK(E390:M390)=9,"",IF(COUNTIF(E390:M390,"Fail")&gt;0,"Fail",IF(COUNTBLANK(E390:M390)&gt;0,"Incomplete","Pass")))</f>
        <v/>
      </c>
      <c r="O390" s="18" t="str">
        <f aca="true">IF(N390="","Not Yet Inspected",IF(N390="Fail","Fail",IF(D390="","",IF(D390&lt;TODAY(),"Overdue",IF(D390&lt;=TODAY()+30,"Due (within 30 days)","Pass")))))</f>
        <v>Not Yet Inspected</v>
      </c>
      <c r="P390" s="18"/>
      <c r="Q390" s="18"/>
      <c r="R390" s="19"/>
    </row>
    <row r="391" customFormat="false" ht="15.75" hidden="false" customHeight="true" outlineLevel="0" collapsed="false">
      <c r="A391" s="18"/>
      <c r="B391" s="18"/>
      <c r="C391" s="19"/>
      <c r="D391" s="19" t="str">
        <f aca="false">IF(C391="","",DATE(YEAR(C391)+1,MONTH(C391),DAY(C391)))</f>
        <v/>
      </c>
      <c r="E391" s="20"/>
      <c r="F391" s="20"/>
      <c r="G391" s="20"/>
      <c r="H391" s="20"/>
      <c r="I391" s="20"/>
      <c r="J391" s="20"/>
      <c r="K391" s="20"/>
      <c r="L391" s="20"/>
      <c r="M391" s="20"/>
      <c r="N391" s="18" t="str">
        <f aca="false">IF(COUNTBLANK(E391:M391)=9,"",IF(COUNTIF(E391:M391,"Fail")&gt;0,"Fail",IF(COUNTBLANK(E391:M391)&gt;0,"Incomplete","Pass")))</f>
        <v/>
      </c>
      <c r="O391" s="18" t="str">
        <f aca="true">IF(N391="","Not Yet Inspected",IF(N391="Fail","Fail",IF(D391="","",IF(D391&lt;TODAY(),"Overdue",IF(D391&lt;=TODAY()+30,"Due (within 30 days)","Pass")))))</f>
        <v>Not Yet Inspected</v>
      </c>
      <c r="P391" s="18"/>
      <c r="Q391" s="18"/>
      <c r="R391" s="19"/>
    </row>
    <row r="392" customFormat="false" ht="15.75" hidden="false" customHeight="true" outlineLevel="0" collapsed="false">
      <c r="A392" s="18"/>
      <c r="B392" s="18"/>
      <c r="C392" s="19"/>
      <c r="D392" s="19" t="str">
        <f aca="false">IF(C392="","",DATE(YEAR(C392)+1,MONTH(C392),DAY(C392)))</f>
        <v/>
      </c>
      <c r="E392" s="20"/>
      <c r="F392" s="20"/>
      <c r="G392" s="20"/>
      <c r="H392" s="20"/>
      <c r="I392" s="20"/>
      <c r="J392" s="20"/>
      <c r="K392" s="20"/>
      <c r="L392" s="20"/>
      <c r="M392" s="20"/>
      <c r="N392" s="18" t="str">
        <f aca="false">IF(COUNTBLANK(E392:M392)=9,"",IF(COUNTIF(E392:M392,"Fail")&gt;0,"Fail",IF(COUNTBLANK(E392:M392)&gt;0,"Incomplete","Pass")))</f>
        <v/>
      </c>
      <c r="O392" s="18" t="str">
        <f aca="true">IF(N392="","Not Yet Inspected",IF(N392="Fail","Fail",IF(D392="","",IF(D392&lt;TODAY(),"Overdue",IF(D392&lt;=TODAY()+30,"Due (within 30 days)","Pass")))))</f>
        <v>Not Yet Inspected</v>
      </c>
      <c r="P392" s="18"/>
      <c r="Q392" s="18"/>
      <c r="R392" s="19"/>
    </row>
    <row r="393" customFormat="false" ht="15.75" hidden="false" customHeight="true" outlineLevel="0" collapsed="false">
      <c r="A393" s="18"/>
      <c r="B393" s="18"/>
      <c r="C393" s="19"/>
      <c r="D393" s="19" t="str">
        <f aca="false">IF(C393="","",DATE(YEAR(C393)+1,MONTH(C393),DAY(C393)))</f>
        <v/>
      </c>
      <c r="E393" s="20"/>
      <c r="F393" s="20"/>
      <c r="G393" s="20"/>
      <c r="H393" s="20"/>
      <c r="I393" s="20"/>
      <c r="J393" s="20"/>
      <c r="K393" s="20"/>
      <c r="L393" s="20"/>
      <c r="M393" s="20"/>
      <c r="N393" s="18" t="str">
        <f aca="false">IF(COUNTBLANK(E393:M393)=9,"",IF(COUNTIF(E393:M393,"Fail")&gt;0,"Fail",IF(COUNTBLANK(E393:M393)&gt;0,"Incomplete","Pass")))</f>
        <v/>
      </c>
      <c r="O393" s="18" t="str">
        <f aca="true">IF(N393="","Not Yet Inspected",IF(N393="Fail","Fail",IF(D393="","",IF(D393&lt;TODAY(),"Overdue",IF(D393&lt;=TODAY()+30,"Due (within 30 days)","Pass")))))</f>
        <v>Not Yet Inspected</v>
      </c>
      <c r="P393" s="18"/>
      <c r="Q393" s="18"/>
      <c r="R393" s="19"/>
    </row>
    <row r="394" customFormat="false" ht="15.75" hidden="false" customHeight="true" outlineLevel="0" collapsed="false">
      <c r="A394" s="18"/>
      <c r="B394" s="18"/>
      <c r="C394" s="19"/>
      <c r="D394" s="19" t="str">
        <f aca="false">IF(C394="","",DATE(YEAR(C394)+1,MONTH(C394),DAY(C394)))</f>
        <v/>
      </c>
      <c r="E394" s="20"/>
      <c r="F394" s="20"/>
      <c r="G394" s="20"/>
      <c r="H394" s="20"/>
      <c r="I394" s="20"/>
      <c r="J394" s="20"/>
      <c r="K394" s="20"/>
      <c r="L394" s="20"/>
      <c r="M394" s="20"/>
      <c r="N394" s="18" t="str">
        <f aca="false">IF(COUNTBLANK(E394:M394)=9,"",IF(COUNTIF(E394:M394,"Fail")&gt;0,"Fail",IF(COUNTBLANK(E394:M394)&gt;0,"Incomplete","Pass")))</f>
        <v/>
      </c>
      <c r="O394" s="18" t="str">
        <f aca="true">IF(N394="","Not Yet Inspected",IF(N394="Fail","Fail",IF(D394="","",IF(D394&lt;TODAY(),"Overdue",IF(D394&lt;=TODAY()+30,"Due (within 30 days)","Pass")))))</f>
        <v>Not Yet Inspected</v>
      </c>
      <c r="P394" s="18"/>
      <c r="Q394" s="18"/>
      <c r="R394" s="19"/>
    </row>
    <row r="395" customFormat="false" ht="15.75" hidden="false" customHeight="true" outlineLevel="0" collapsed="false">
      <c r="A395" s="18"/>
      <c r="B395" s="18"/>
      <c r="C395" s="19"/>
      <c r="D395" s="19" t="str">
        <f aca="false">IF(C395="","",DATE(YEAR(C395)+1,MONTH(C395),DAY(C395)))</f>
        <v/>
      </c>
      <c r="E395" s="20"/>
      <c r="F395" s="20"/>
      <c r="G395" s="20"/>
      <c r="H395" s="20"/>
      <c r="I395" s="20"/>
      <c r="J395" s="20"/>
      <c r="K395" s="20"/>
      <c r="L395" s="20"/>
      <c r="M395" s="20"/>
      <c r="N395" s="18" t="str">
        <f aca="false">IF(COUNTBLANK(E395:M395)=9,"",IF(COUNTIF(E395:M395,"Fail")&gt;0,"Fail",IF(COUNTBLANK(E395:M395)&gt;0,"Incomplete","Pass")))</f>
        <v/>
      </c>
      <c r="O395" s="18" t="str">
        <f aca="true">IF(N395="","Not Yet Inspected",IF(N395="Fail","Fail",IF(D395="","",IF(D395&lt;TODAY(),"Overdue",IF(D395&lt;=TODAY()+30,"Due (within 30 days)","Pass")))))</f>
        <v>Not Yet Inspected</v>
      </c>
      <c r="P395" s="18"/>
      <c r="Q395" s="18"/>
      <c r="R395" s="19"/>
    </row>
    <row r="396" customFormat="false" ht="15.75" hidden="false" customHeight="true" outlineLevel="0" collapsed="false">
      <c r="A396" s="18"/>
      <c r="B396" s="18"/>
      <c r="C396" s="19"/>
      <c r="D396" s="19" t="str">
        <f aca="false">IF(C396="","",DATE(YEAR(C396)+1,MONTH(C396),DAY(C396)))</f>
        <v/>
      </c>
      <c r="E396" s="20"/>
      <c r="F396" s="20"/>
      <c r="G396" s="20"/>
      <c r="H396" s="20"/>
      <c r="I396" s="20"/>
      <c r="J396" s="20"/>
      <c r="K396" s="20"/>
      <c r="L396" s="20"/>
      <c r="M396" s="20"/>
      <c r="N396" s="18" t="str">
        <f aca="false">IF(COUNTBLANK(E396:M396)=9,"",IF(COUNTIF(E396:M396,"Fail")&gt;0,"Fail",IF(COUNTBLANK(E396:M396)&gt;0,"Incomplete","Pass")))</f>
        <v/>
      </c>
      <c r="O396" s="18" t="str">
        <f aca="true">IF(N396="","Not Yet Inspected",IF(N396="Fail","Fail",IF(D396="","",IF(D396&lt;TODAY(),"Overdue",IF(D396&lt;=TODAY()+30,"Due (within 30 days)","Pass")))))</f>
        <v>Not Yet Inspected</v>
      </c>
      <c r="P396" s="18"/>
      <c r="Q396" s="18"/>
      <c r="R396" s="19"/>
    </row>
    <row r="397" customFormat="false" ht="15.75" hidden="false" customHeight="true" outlineLevel="0" collapsed="false">
      <c r="A397" s="18"/>
      <c r="B397" s="18"/>
      <c r="C397" s="19"/>
      <c r="D397" s="19" t="str">
        <f aca="false">IF(C397="","",DATE(YEAR(C397)+1,MONTH(C397),DAY(C397)))</f>
        <v/>
      </c>
      <c r="E397" s="20"/>
      <c r="F397" s="20"/>
      <c r="G397" s="20"/>
      <c r="H397" s="20"/>
      <c r="I397" s="20"/>
      <c r="J397" s="20"/>
      <c r="K397" s="20"/>
      <c r="L397" s="20"/>
      <c r="M397" s="20"/>
      <c r="N397" s="18" t="str">
        <f aca="false">IF(COUNTBLANK(E397:M397)=9,"",IF(COUNTIF(E397:M397,"Fail")&gt;0,"Fail",IF(COUNTBLANK(E397:M397)&gt;0,"Incomplete","Pass")))</f>
        <v/>
      </c>
      <c r="O397" s="18" t="str">
        <f aca="true">IF(N397="","Not Yet Inspected",IF(N397="Fail","Fail",IF(D397="","",IF(D397&lt;TODAY(),"Overdue",IF(D397&lt;=TODAY()+30,"Due (within 30 days)","Pass")))))</f>
        <v>Not Yet Inspected</v>
      </c>
      <c r="P397" s="18"/>
      <c r="Q397" s="18"/>
      <c r="R397" s="19"/>
    </row>
    <row r="398" customFormat="false" ht="15.75" hidden="false" customHeight="true" outlineLevel="0" collapsed="false">
      <c r="A398" s="18"/>
      <c r="B398" s="18"/>
      <c r="C398" s="19"/>
      <c r="D398" s="19" t="str">
        <f aca="false">IF(C398="","",DATE(YEAR(C398)+1,MONTH(C398),DAY(C398)))</f>
        <v/>
      </c>
      <c r="E398" s="20"/>
      <c r="F398" s="20"/>
      <c r="G398" s="20"/>
      <c r="H398" s="20"/>
      <c r="I398" s="20"/>
      <c r="J398" s="20"/>
      <c r="K398" s="20"/>
      <c r="L398" s="20"/>
      <c r="M398" s="20"/>
      <c r="N398" s="18" t="str">
        <f aca="false">IF(COUNTBLANK(E398:M398)=9,"",IF(COUNTIF(E398:M398,"Fail")&gt;0,"Fail",IF(COUNTBLANK(E398:M398)&gt;0,"Incomplete","Pass")))</f>
        <v/>
      </c>
      <c r="O398" s="18" t="str">
        <f aca="true">IF(N398="","Not Yet Inspected",IF(N398="Fail","Fail",IF(D398="","",IF(D398&lt;TODAY(),"Overdue",IF(D398&lt;=TODAY()+30,"Due (within 30 days)","Pass")))))</f>
        <v>Not Yet Inspected</v>
      </c>
      <c r="P398" s="18"/>
      <c r="Q398" s="18"/>
      <c r="R398" s="19"/>
    </row>
    <row r="399" customFormat="false" ht="15.75" hidden="false" customHeight="true" outlineLevel="0" collapsed="false">
      <c r="A399" s="18"/>
      <c r="B399" s="18"/>
      <c r="C399" s="19"/>
      <c r="D399" s="19" t="str">
        <f aca="false">IF(C399="","",DATE(YEAR(C399)+1,MONTH(C399),DAY(C399)))</f>
        <v/>
      </c>
      <c r="E399" s="20"/>
      <c r="F399" s="20"/>
      <c r="G399" s="20"/>
      <c r="H399" s="20"/>
      <c r="I399" s="20"/>
      <c r="J399" s="20"/>
      <c r="K399" s="20"/>
      <c r="L399" s="20"/>
      <c r="M399" s="20"/>
      <c r="N399" s="18" t="str">
        <f aca="false">IF(COUNTBLANK(E399:M399)=9,"",IF(COUNTIF(E399:M399,"Fail")&gt;0,"Fail",IF(COUNTBLANK(E399:M399)&gt;0,"Incomplete","Pass")))</f>
        <v/>
      </c>
      <c r="O399" s="18" t="str">
        <f aca="true">IF(N399="","Not Yet Inspected",IF(N399="Fail","Fail",IF(D399="","",IF(D399&lt;TODAY(),"Overdue",IF(D399&lt;=TODAY()+30,"Due (within 30 days)","Pass")))))</f>
        <v>Not Yet Inspected</v>
      </c>
      <c r="P399" s="18"/>
      <c r="Q399" s="18"/>
      <c r="R399" s="19"/>
    </row>
    <row r="400" customFormat="false" ht="15.75" hidden="false" customHeight="true" outlineLevel="0" collapsed="false">
      <c r="A400" s="18"/>
      <c r="B400" s="18"/>
      <c r="C400" s="19"/>
      <c r="D400" s="19" t="str">
        <f aca="false">IF(C400="","",DATE(YEAR(C400)+1,MONTH(C400),DAY(C400)))</f>
        <v/>
      </c>
      <c r="E400" s="20"/>
      <c r="F400" s="20"/>
      <c r="G400" s="20"/>
      <c r="H400" s="20"/>
      <c r="I400" s="20"/>
      <c r="J400" s="20"/>
      <c r="K400" s="20"/>
      <c r="L400" s="20"/>
      <c r="M400" s="20"/>
      <c r="N400" s="18" t="str">
        <f aca="false">IF(COUNTBLANK(E400:M400)=9,"",IF(COUNTIF(E400:M400,"Fail")&gt;0,"Fail",IF(COUNTBLANK(E400:M400)&gt;0,"Incomplete","Pass")))</f>
        <v/>
      </c>
      <c r="O400" s="18" t="str">
        <f aca="true">IF(N400="","Not Yet Inspected",IF(N400="Fail","Fail",IF(D400="","",IF(D400&lt;TODAY(),"Overdue",IF(D400&lt;=TODAY()+30,"Due (within 30 days)","Pass")))))</f>
        <v>Not Yet Inspected</v>
      </c>
      <c r="P400" s="18"/>
      <c r="Q400" s="18"/>
      <c r="R400" s="19"/>
    </row>
    <row r="401" customFormat="false" ht="15.75" hidden="false" customHeight="true" outlineLevel="0" collapsed="false">
      <c r="A401" s="18"/>
      <c r="B401" s="18"/>
      <c r="C401" s="19"/>
      <c r="D401" s="19" t="str">
        <f aca="false">IF(C401="","",DATE(YEAR(C401)+1,MONTH(C401),DAY(C401)))</f>
        <v/>
      </c>
      <c r="E401" s="20"/>
      <c r="F401" s="20"/>
      <c r="G401" s="20"/>
      <c r="H401" s="20"/>
      <c r="I401" s="20"/>
      <c r="J401" s="20"/>
      <c r="K401" s="20"/>
      <c r="L401" s="20"/>
      <c r="M401" s="20"/>
      <c r="N401" s="18" t="str">
        <f aca="false">IF(COUNTBLANK(E401:M401)=9,"",IF(COUNTIF(E401:M401,"Fail")&gt;0,"Fail",IF(COUNTBLANK(E401:M401)&gt;0,"Incomplete","Pass")))</f>
        <v/>
      </c>
      <c r="O401" s="18" t="str">
        <f aca="true">IF(N401="","Not Yet Inspected",IF(N401="Fail","Fail",IF(D401="","",IF(D401&lt;TODAY(),"Overdue",IF(D401&lt;=TODAY()+30,"Due (within 30 days)","Pass")))))</f>
        <v>Not Yet Inspected</v>
      </c>
      <c r="P401" s="18"/>
      <c r="Q401" s="18"/>
      <c r="R401" s="19"/>
    </row>
    <row r="402" customFormat="false" ht="15.75" hidden="false" customHeight="true" outlineLevel="0" collapsed="false">
      <c r="A402" s="18"/>
      <c r="B402" s="18"/>
      <c r="C402" s="19"/>
      <c r="D402" s="19" t="str">
        <f aca="false">IF(C402="","",DATE(YEAR(C402)+1,MONTH(C402),DAY(C402)))</f>
        <v/>
      </c>
      <c r="E402" s="20"/>
      <c r="F402" s="20"/>
      <c r="G402" s="20"/>
      <c r="H402" s="20"/>
      <c r="I402" s="20"/>
      <c r="J402" s="20"/>
      <c r="K402" s="20"/>
      <c r="L402" s="20"/>
      <c r="M402" s="20"/>
      <c r="N402" s="18" t="str">
        <f aca="false">IF(COUNTBLANK(E402:M402)=9,"",IF(COUNTIF(E402:M402,"Fail")&gt;0,"Fail",IF(COUNTBLANK(E402:M402)&gt;0,"Incomplete","Pass")))</f>
        <v/>
      </c>
      <c r="O402" s="18" t="str">
        <f aca="true">IF(N402="","Not Yet Inspected",IF(N402="Fail","Fail",IF(D402="","",IF(D402&lt;TODAY(),"Overdue",IF(D402&lt;=TODAY()+30,"Due (within 30 days)","Pass")))))</f>
        <v>Not Yet Inspected</v>
      </c>
      <c r="P402" s="18"/>
      <c r="Q402" s="18"/>
      <c r="R402" s="19"/>
    </row>
    <row r="403" customFormat="false" ht="15.75" hidden="false" customHeight="true" outlineLevel="0" collapsed="false">
      <c r="A403" s="18"/>
      <c r="B403" s="18"/>
      <c r="C403" s="19"/>
      <c r="D403" s="19" t="str">
        <f aca="false">IF(C403="","",DATE(YEAR(C403)+1,MONTH(C403),DAY(C403)))</f>
        <v/>
      </c>
      <c r="E403" s="20"/>
      <c r="F403" s="20"/>
      <c r="G403" s="20"/>
      <c r="H403" s="20"/>
      <c r="I403" s="20"/>
      <c r="J403" s="20"/>
      <c r="K403" s="20"/>
      <c r="L403" s="20"/>
      <c r="M403" s="20"/>
      <c r="N403" s="18" t="str">
        <f aca="false">IF(COUNTBLANK(E403:M403)=9,"",IF(COUNTIF(E403:M403,"Fail")&gt;0,"Fail",IF(COUNTBLANK(E403:M403)&gt;0,"Incomplete","Pass")))</f>
        <v/>
      </c>
      <c r="O403" s="18" t="str">
        <f aca="true">IF(N403="","Not Yet Inspected",IF(N403="Fail","Fail",IF(D403="","",IF(D403&lt;TODAY(),"Overdue",IF(D403&lt;=TODAY()+30,"Due (within 30 days)","Pass")))))</f>
        <v>Not Yet Inspected</v>
      </c>
      <c r="P403" s="18"/>
      <c r="Q403" s="18"/>
      <c r="R403" s="19"/>
    </row>
    <row r="404" customFormat="false" ht="15.75" hidden="false" customHeight="true" outlineLevel="0" collapsed="false">
      <c r="A404" s="18"/>
      <c r="B404" s="18"/>
      <c r="C404" s="19"/>
      <c r="D404" s="19" t="str">
        <f aca="false">IF(C404="","",DATE(YEAR(C404)+1,MONTH(C404),DAY(C404)))</f>
        <v/>
      </c>
      <c r="E404" s="20"/>
      <c r="F404" s="20"/>
      <c r="G404" s="20"/>
      <c r="H404" s="20"/>
      <c r="I404" s="20"/>
      <c r="J404" s="20"/>
      <c r="K404" s="20"/>
      <c r="L404" s="20"/>
      <c r="M404" s="20"/>
      <c r="N404" s="18" t="str">
        <f aca="false">IF(COUNTBLANK(E404:M404)=9,"",IF(COUNTIF(E404:M404,"Fail")&gt;0,"Fail",IF(COUNTBLANK(E404:M404)&gt;0,"Incomplete","Pass")))</f>
        <v/>
      </c>
      <c r="O404" s="18" t="str">
        <f aca="true">IF(N404="","Not Yet Inspected",IF(N404="Fail","Fail",IF(D404="","",IF(D404&lt;TODAY(),"Overdue",IF(D404&lt;=TODAY()+30,"Due (within 30 days)","Pass")))))</f>
        <v>Not Yet Inspected</v>
      </c>
      <c r="P404" s="18"/>
      <c r="Q404" s="18"/>
      <c r="R404" s="19"/>
    </row>
    <row r="405" customFormat="false" ht="15.75" hidden="false" customHeight="true" outlineLevel="0" collapsed="false">
      <c r="A405" s="18"/>
      <c r="B405" s="18"/>
      <c r="C405" s="19"/>
      <c r="D405" s="19" t="str">
        <f aca="false">IF(C405="","",DATE(YEAR(C405)+1,MONTH(C405),DAY(C405)))</f>
        <v/>
      </c>
      <c r="E405" s="20"/>
      <c r="F405" s="20"/>
      <c r="G405" s="20"/>
      <c r="H405" s="20"/>
      <c r="I405" s="20"/>
      <c r="J405" s="20"/>
      <c r="K405" s="20"/>
      <c r="L405" s="20"/>
      <c r="M405" s="20"/>
      <c r="N405" s="18" t="str">
        <f aca="false">IF(COUNTBLANK(E405:M405)=9,"",IF(COUNTIF(E405:M405,"Fail")&gt;0,"Fail",IF(COUNTBLANK(E405:M405)&gt;0,"Incomplete","Pass")))</f>
        <v/>
      </c>
      <c r="O405" s="18" t="str">
        <f aca="true">IF(N405="","Not Yet Inspected",IF(N405="Fail","Fail",IF(D405="","",IF(D405&lt;TODAY(),"Overdue",IF(D405&lt;=TODAY()+30,"Due (within 30 days)","Pass")))))</f>
        <v>Not Yet Inspected</v>
      </c>
      <c r="P405" s="18"/>
      <c r="Q405" s="18"/>
      <c r="R405" s="19"/>
    </row>
    <row r="406" customFormat="false" ht="15.75" hidden="false" customHeight="true" outlineLevel="0" collapsed="false">
      <c r="A406" s="18"/>
      <c r="B406" s="18"/>
      <c r="C406" s="19"/>
      <c r="D406" s="19" t="str">
        <f aca="false">IF(C406="","",DATE(YEAR(C406)+1,MONTH(C406),DAY(C406)))</f>
        <v/>
      </c>
      <c r="E406" s="20"/>
      <c r="F406" s="20"/>
      <c r="G406" s="20"/>
      <c r="H406" s="20"/>
      <c r="I406" s="20"/>
      <c r="J406" s="20"/>
      <c r="K406" s="20"/>
      <c r="L406" s="20"/>
      <c r="M406" s="20"/>
      <c r="N406" s="18" t="str">
        <f aca="false">IF(COUNTBLANK(E406:M406)=9,"",IF(COUNTIF(E406:M406,"Fail")&gt;0,"Fail",IF(COUNTBLANK(E406:M406)&gt;0,"Incomplete","Pass")))</f>
        <v/>
      </c>
      <c r="O406" s="18" t="str">
        <f aca="true">IF(N406="","Not Yet Inspected",IF(N406="Fail","Fail",IF(D406="","",IF(D406&lt;TODAY(),"Overdue",IF(D406&lt;=TODAY()+30,"Due (within 30 days)","Pass")))))</f>
        <v>Not Yet Inspected</v>
      </c>
      <c r="P406" s="18"/>
      <c r="Q406" s="18"/>
      <c r="R406" s="19"/>
    </row>
    <row r="407" customFormat="false" ht="15.75" hidden="false" customHeight="true" outlineLevel="0" collapsed="false">
      <c r="A407" s="18"/>
      <c r="B407" s="18"/>
      <c r="C407" s="19"/>
      <c r="D407" s="19" t="str">
        <f aca="false">IF(C407="","",DATE(YEAR(C407)+1,MONTH(C407),DAY(C407)))</f>
        <v/>
      </c>
      <c r="E407" s="20"/>
      <c r="F407" s="20"/>
      <c r="G407" s="20"/>
      <c r="H407" s="20"/>
      <c r="I407" s="20"/>
      <c r="J407" s="20"/>
      <c r="K407" s="20"/>
      <c r="L407" s="20"/>
      <c r="M407" s="20"/>
      <c r="N407" s="18" t="str">
        <f aca="false">IF(COUNTBLANK(E407:M407)=9,"",IF(COUNTIF(E407:M407,"Fail")&gt;0,"Fail",IF(COUNTBLANK(E407:M407)&gt;0,"Incomplete","Pass")))</f>
        <v/>
      </c>
      <c r="O407" s="18" t="str">
        <f aca="true">IF(N407="","Not Yet Inspected",IF(N407="Fail","Fail",IF(D407="","",IF(D407&lt;TODAY(),"Overdue",IF(D407&lt;=TODAY()+30,"Due (within 30 days)","Pass")))))</f>
        <v>Not Yet Inspected</v>
      </c>
      <c r="P407" s="18"/>
      <c r="Q407" s="18"/>
      <c r="R407" s="19"/>
    </row>
    <row r="408" customFormat="false" ht="15.75" hidden="false" customHeight="true" outlineLevel="0" collapsed="false">
      <c r="A408" s="18"/>
      <c r="B408" s="18"/>
      <c r="C408" s="19"/>
      <c r="D408" s="19" t="str">
        <f aca="false">IF(C408="","",DATE(YEAR(C408)+1,MONTH(C408),DAY(C408)))</f>
        <v/>
      </c>
      <c r="E408" s="20"/>
      <c r="F408" s="20"/>
      <c r="G408" s="20"/>
      <c r="H408" s="20"/>
      <c r="I408" s="20"/>
      <c r="J408" s="20"/>
      <c r="K408" s="20"/>
      <c r="L408" s="20"/>
      <c r="M408" s="20"/>
      <c r="N408" s="18" t="str">
        <f aca="false">IF(COUNTBLANK(E408:M408)=9,"",IF(COUNTIF(E408:M408,"Fail")&gt;0,"Fail",IF(COUNTBLANK(E408:M408)&gt;0,"Incomplete","Pass")))</f>
        <v/>
      </c>
      <c r="O408" s="18" t="str">
        <f aca="true">IF(N408="","Not Yet Inspected",IF(N408="Fail","Fail",IF(D408="","",IF(D408&lt;TODAY(),"Overdue",IF(D408&lt;=TODAY()+30,"Due (within 30 days)","Pass")))))</f>
        <v>Not Yet Inspected</v>
      </c>
      <c r="P408" s="18"/>
      <c r="Q408" s="18"/>
      <c r="R408" s="19"/>
    </row>
    <row r="409" customFormat="false" ht="15.75" hidden="false" customHeight="true" outlineLevel="0" collapsed="false">
      <c r="A409" s="18"/>
      <c r="B409" s="18"/>
      <c r="C409" s="19"/>
      <c r="D409" s="19" t="str">
        <f aca="false">IF(C409="","",DATE(YEAR(C409)+1,MONTH(C409),DAY(C409)))</f>
        <v/>
      </c>
      <c r="E409" s="20"/>
      <c r="F409" s="20"/>
      <c r="G409" s="20"/>
      <c r="H409" s="20"/>
      <c r="I409" s="20"/>
      <c r="J409" s="20"/>
      <c r="K409" s="20"/>
      <c r="L409" s="20"/>
      <c r="M409" s="20"/>
      <c r="N409" s="18" t="str">
        <f aca="false">IF(COUNTBLANK(E409:M409)=9,"",IF(COUNTIF(E409:M409,"Fail")&gt;0,"Fail",IF(COUNTBLANK(E409:M409)&gt;0,"Incomplete","Pass")))</f>
        <v/>
      </c>
      <c r="O409" s="18" t="str">
        <f aca="true">IF(N409="","Not Yet Inspected",IF(N409="Fail","Fail",IF(D409="","",IF(D409&lt;TODAY(),"Overdue",IF(D409&lt;=TODAY()+30,"Due (within 30 days)","Pass")))))</f>
        <v>Not Yet Inspected</v>
      </c>
      <c r="P409" s="18"/>
      <c r="Q409" s="18"/>
      <c r="R409" s="19"/>
    </row>
    <row r="410" customFormat="false" ht="15.75" hidden="false" customHeight="true" outlineLevel="0" collapsed="false">
      <c r="A410" s="18"/>
      <c r="B410" s="18"/>
      <c r="C410" s="19"/>
      <c r="D410" s="19" t="str">
        <f aca="false">IF(C410="","",DATE(YEAR(C410)+1,MONTH(C410),DAY(C410)))</f>
        <v/>
      </c>
      <c r="E410" s="20"/>
      <c r="F410" s="20"/>
      <c r="G410" s="20"/>
      <c r="H410" s="20"/>
      <c r="I410" s="20"/>
      <c r="J410" s="20"/>
      <c r="K410" s="20"/>
      <c r="L410" s="20"/>
      <c r="M410" s="20"/>
      <c r="N410" s="18" t="str">
        <f aca="false">IF(COUNTBLANK(E410:M410)=9,"",IF(COUNTIF(E410:M410,"Fail")&gt;0,"Fail",IF(COUNTBLANK(E410:M410)&gt;0,"Incomplete","Pass")))</f>
        <v/>
      </c>
      <c r="O410" s="18" t="str">
        <f aca="true">IF(N410="","Not Yet Inspected",IF(N410="Fail","Fail",IF(D410="","",IF(D410&lt;TODAY(),"Overdue",IF(D410&lt;=TODAY()+30,"Due (within 30 days)","Pass")))))</f>
        <v>Not Yet Inspected</v>
      </c>
      <c r="P410" s="18"/>
      <c r="Q410" s="18"/>
      <c r="R410" s="19"/>
    </row>
    <row r="411" customFormat="false" ht="15.75" hidden="false" customHeight="true" outlineLevel="0" collapsed="false">
      <c r="A411" s="18"/>
      <c r="B411" s="18"/>
      <c r="C411" s="19"/>
      <c r="D411" s="19" t="str">
        <f aca="false">IF(C411="","",DATE(YEAR(C411)+1,MONTH(C411),DAY(C411)))</f>
        <v/>
      </c>
      <c r="E411" s="20"/>
      <c r="F411" s="20"/>
      <c r="G411" s="20"/>
      <c r="H411" s="20"/>
      <c r="I411" s="20"/>
      <c r="J411" s="20"/>
      <c r="K411" s="20"/>
      <c r="L411" s="20"/>
      <c r="M411" s="20"/>
      <c r="N411" s="18" t="str">
        <f aca="false">IF(COUNTBLANK(E411:M411)=9,"",IF(COUNTIF(E411:M411,"Fail")&gt;0,"Fail",IF(COUNTBLANK(E411:M411)&gt;0,"Incomplete","Pass")))</f>
        <v/>
      </c>
      <c r="O411" s="18" t="str">
        <f aca="true">IF(N411="","Not Yet Inspected",IF(N411="Fail","Fail",IF(D411="","",IF(D411&lt;TODAY(),"Overdue",IF(D411&lt;=TODAY()+30,"Due (within 30 days)","Pass")))))</f>
        <v>Not Yet Inspected</v>
      </c>
      <c r="P411" s="18"/>
      <c r="Q411" s="18"/>
      <c r="R411" s="19"/>
    </row>
    <row r="412" customFormat="false" ht="15.75" hidden="false" customHeight="true" outlineLevel="0" collapsed="false">
      <c r="A412" s="18"/>
      <c r="B412" s="18"/>
      <c r="C412" s="19"/>
      <c r="D412" s="19" t="str">
        <f aca="false">IF(C412="","",DATE(YEAR(C412)+1,MONTH(C412),DAY(C412)))</f>
        <v/>
      </c>
      <c r="E412" s="20"/>
      <c r="F412" s="20"/>
      <c r="G412" s="20"/>
      <c r="H412" s="20"/>
      <c r="I412" s="20"/>
      <c r="J412" s="20"/>
      <c r="K412" s="20"/>
      <c r="L412" s="20"/>
      <c r="M412" s="20"/>
      <c r="N412" s="18" t="str">
        <f aca="false">IF(COUNTBLANK(E412:M412)=9,"",IF(COUNTIF(E412:M412,"Fail")&gt;0,"Fail",IF(COUNTBLANK(E412:M412)&gt;0,"Incomplete","Pass")))</f>
        <v/>
      </c>
      <c r="O412" s="18" t="str">
        <f aca="true">IF(N412="","Not Yet Inspected",IF(N412="Fail","Fail",IF(D412="","",IF(D412&lt;TODAY(),"Overdue",IF(D412&lt;=TODAY()+30,"Due (within 30 days)","Pass")))))</f>
        <v>Not Yet Inspected</v>
      </c>
      <c r="P412" s="18"/>
      <c r="Q412" s="18"/>
      <c r="R412" s="19"/>
    </row>
    <row r="413" customFormat="false" ht="15.75" hidden="false" customHeight="true" outlineLevel="0" collapsed="false">
      <c r="A413" s="18"/>
      <c r="B413" s="18"/>
      <c r="C413" s="19"/>
      <c r="D413" s="19" t="str">
        <f aca="false">IF(C413="","",DATE(YEAR(C413)+1,MONTH(C413),DAY(C413)))</f>
        <v/>
      </c>
      <c r="E413" s="20"/>
      <c r="F413" s="20"/>
      <c r="G413" s="20"/>
      <c r="H413" s="20"/>
      <c r="I413" s="20"/>
      <c r="J413" s="20"/>
      <c r="K413" s="20"/>
      <c r="L413" s="20"/>
      <c r="M413" s="20"/>
      <c r="N413" s="18" t="str">
        <f aca="false">IF(COUNTBLANK(E413:M413)=9,"",IF(COUNTIF(E413:M413,"Fail")&gt;0,"Fail",IF(COUNTBLANK(E413:M413)&gt;0,"Incomplete","Pass")))</f>
        <v/>
      </c>
      <c r="O413" s="18" t="str">
        <f aca="true">IF(N413="","Not Yet Inspected",IF(N413="Fail","Fail",IF(D413="","",IF(D413&lt;TODAY(),"Overdue",IF(D413&lt;=TODAY()+30,"Due (within 30 days)","Pass")))))</f>
        <v>Not Yet Inspected</v>
      </c>
      <c r="P413" s="18"/>
      <c r="Q413" s="18"/>
      <c r="R413" s="19"/>
    </row>
    <row r="414" customFormat="false" ht="15.75" hidden="false" customHeight="true" outlineLevel="0" collapsed="false">
      <c r="A414" s="18"/>
      <c r="B414" s="18"/>
      <c r="C414" s="19"/>
      <c r="D414" s="19" t="str">
        <f aca="false">IF(C414="","",DATE(YEAR(C414)+1,MONTH(C414),DAY(C414)))</f>
        <v/>
      </c>
      <c r="E414" s="20"/>
      <c r="F414" s="20"/>
      <c r="G414" s="20"/>
      <c r="H414" s="20"/>
      <c r="I414" s="20"/>
      <c r="J414" s="20"/>
      <c r="K414" s="20"/>
      <c r="L414" s="20"/>
      <c r="M414" s="20"/>
      <c r="N414" s="18" t="str">
        <f aca="false">IF(COUNTBLANK(E414:M414)=9,"",IF(COUNTIF(E414:M414,"Fail")&gt;0,"Fail",IF(COUNTBLANK(E414:M414)&gt;0,"Incomplete","Pass")))</f>
        <v/>
      </c>
      <c r="O414" s="18" t="str">
        <f aca="true">IF(N414="","Not Yet Inspected",IF(N414="Fail","Fail",IF(D414="","",IF(D414&lt;TODAY(),"Overdue",IF(D414&lt;=TODAY()+30,"Due (within 30 days)","Pass")))))</f>
        <v>Not Yet Inspected</v>
      </c>
      <c r="P414" s="18"/>
      <c r="Q414" s="18"/>
      <c r="R414" s="19"/>
    </row>
    <row r="415" customFormat="false" ht="15.75" hidden="false" customHeight="true" outlineLevel="0" collapsed="false">
      <c r="A415" s="18"/>
      <c r="B415" s="18"/>
      <c r="C415" s="19"/>
      <c r="D415" s="19" t="str">
        <f aca="false">IF(C415="","",DATE(YEAR(C415)+1,MONTH(C415),DAY(C415)))</f>
        <v/>
      </c>
      <c r="E415" s="20"/>
      <c r="F415" s="20"/>
      <c r="G415" s="20"/>
      <c r="H415" s="20"/>
      <c r="I415" s="20"/>
      <c r="J415" s="20"/>
      <c r="K415" s="20"/>
      <c r="L415" s="20"/>
      <c r="M415" s="20"/>
      <c r="N415" s="18" t="str">
        <f aca="false">IF(COUNTBLANK(E415:M415)=9,"",IF(COUNTIF(E415:M415,"Fail")&gt;0,"Fail",IF(COUNTBLANK(E415:M415)&gt;0,"Incomplete","Pass")))</f>
        <v/>
      </c>
      <c r="O415" s="18" t="str">
        <f aca="true">IF(N415="","Not Yet Inspected",IF(N415="Fail","Fail",IF(D415="","",IF(D415&lt;TODAY(),"Overdue",IF(D415&lt;=TODAY()+30,"Due (within 30 days)","Pass")))))</f>
        <v>Not Yet Inspected</v>
      </c>
      <c r="P415" s="18"/>
      <c r="Q415" s="18"/>
      <c r="R415" s="19"/>
    </row>
    <row r="416" customFormat="false" ht="15.75" hidden="false" customHeight="true" outlineLevel="0" collapsed="false">
      <c r="A416" s="18"/>
      <c r="B416" s="18"/>
      <c r="C416" s="19"/>
      <c r="D416" s="19" t="str">
        <f aca="false">IF(C416="","",DATE(YEAR(C416)+1,MONTH(C416),DAY(C416)))</f>
        <v/>
      </c>
      <c r="E416" s="20"/>
      <c r="F416" s="20"/>
      <c r="G416" s="20"/>
      <c r="H416" s="20"/>
      <c r="I416" s="20"/>
      <c r="J416" s="20"/>
      <c r="K416" s="20"/>
      <c r="L416" s="20"/>
      <c r="M416" s="20"/>
      <c r="N416" s="18" t="str">
        <f aca="false">IF(COUNTBLANK(E416:M416)=9,"",IF(COUNTIF(E416:M416,"Fail")&gt;0,"Fail",IF(COUNTBLANK(E416:M416)&gt;0,"Incomplete","Pass")))</f>
        <v/>
      </c>
      <c r="O416" s="18" t="str">
        <f aca="true">IF(N416="","Not Yet Inspected",IF(N416="Fail","Fail",IF(D416="","",IF(D416&lt;TODAY(),"Overdue",IF(D416&lt;=TODAY()+30,"Due (within 30 days)","Pass")))))</f>
        <v>Not Yet Inspected</v>
      </c>
      <c r="P416" s="18"/>
      <c r="Q416" s="18"/>
      <c r="R416" s="19"/>
    </row>
    <row r="417" customFormat="false" ht="15.75" hidden="false" customHeight="true" outlineLevel="0" collapsed="false">
      <c r="A417" s="18"/>
      <c r="B417" s="18"/>
      <c r="C417" s="19"/>
      <c r="D417" s="19" t="str">
        <f aca="false">IF(C417="","",DATE(YEAR(C417)+1,MONTH(C417),DAY(C417)))</f>
        <v/>
      </c>
      <c r="E417" s="20"/>
      <c r="F417" s="20"/>
      <c r="G417" s="20"/>
      <c r="H417" s="20"/>
      <c r="I417" s="20"/>
      <c r="J417" s="20"/>
      <c r="K417" s="20"/>
      <c r="L417" s="20"/>
      <c r="M417" s="20"/>
      <c r="N417" s="18" t="str">
        <f aca="false">IF(COUNTBLANK(E417:M417)=9,"",IF(COUNTIF(E417:M417,"Fail")&gt;0,"Fail",IF(COUNTBLANK(E417:M417)&gt;0,"Incomplete","Pass")))</f>
        <v/>
      </c>
      <c r="O417" s="18" t="str">
        <f aca="true">IF(N417="","Not Yet Inspected",IF(N417="Fail","Fail",IF(D417="","",IF(D417&lt;TODAY(),"Overdue",IF(D417&lt;=TODAY()+30,"Due (within 30 days)","Pass")))))</f>
        <v>Not Yet Inspected</v>
      </c>
      <c r="P417" s="18"/>
      <c r="Q417" s="18"/>
      <c r="R417" s="19"/>
    </row>
    <row r="418" customFormat="false" ht="15.75" hidden="false" customHeight="true" outlineLevel="0" collapsed="false">
      <c r="A418" s="18"/>
      <c r="B418" s="18"/>
      <c r="C418" s="19"/>
      <c r="D418" s="19" t="str">
        <f aca="false">IF(C418="","",DATE(YEAR(C418)+1,MONTH(C418),DAY(C418)))</f>
        <v/>
      </c>
      <c r="E418" s="20"/>
      <c r="F418" s="20"/>
      <c r="G418" s="20"/>
      <c r="H418" s="20"/>
      <c r="I418" s="20"/>
      <c r="J418" s="20"/>
      <c r="K418" s="20"/>
      <c r="L418" s="20"/>
      <c r="M418" s="20"/>
      <c r="N418" s="18" t="str">
        <f aca="false">IF(COUNTBLANK(E418:M418)=9,"",IF(COUNTIF(E418:M418,"Fail")&gt;0,"Fail",IF(COUNTBLANK(E418:M418)&gt;0,"Incomplete","Pass")))</f>
        <v/>
      </c>
      <c r="O418" s="18" t="str">
        <f aca="true">IF(N418="","Not Yet Inspected",IF(N418="Fail","Fail",IF(D418="","",IF(D418&lt;TODAY(),"Overdue",IF(D418&lt;=TODAY()+30,"Due (within 30 days)","Pass")))))</f>
        <v>Not Yet Inspected</v>
      </c>
      <c r="P418" s="18"/>
      <c r="Q418" s="18"/>
      <c r="R418" s="19"/>
    </row>
    <row r="419" customFormat="false" ht="15.75" hidden="false" customHeight="true" outlineLevel="0" collapsed="false">
      <c r="A419" s="18"/>
      <c r="B419" s="18"/>
      <c r="C419" s="19"/>
      <c r="D419" s="19" t="str">
        <f aca="false">IF(C419="","",DATE(YEAR(C419)+1,MONTH(C419),DAY(C419)))</f>
        <v/>
      </c>
      <c r="E419" s="20"/>
      <c r="F419" s="20"/>
      <c r="G419" s="20"/>
      <c r="H419" s="20"/>
      <c r="I419" s="20"/>
      <c r="J419" s="20"/>
      <c r="K419" s="20"/>
      <c r="L419" s="20"/>
      <c r="M419" s="20"/>
      <c r="N419" s="18" t="str">
        <f aca="false">IF(COUNTBLANK(E419:M419)=9,"",IF(COUNTIF(E419:M419,"Fail")&gt;0,"Fail",IF(COUNTBLANK(E419:M419)&gt;0,"Incomplete","Pass")))</f>
        <v/>
      </c>
      <c r="O419" s="18" t="str">
        <f aca="true">IF(N419="","Not Yet Inspected",IF(N419="Fail","Fail",IF(D419="","",IF(D419&lt;TODAY(),"Overdue",IF(D419&lt;=TODAY()+30,"Due (within 30 days)","Pass")))))</f>
        <v>Not Yet Inspected</v>
      </c>
      <c r="P419" s="18"/>
      <c r="Q419" s="18"/>
      <c r="R419" s="19"/>
    </row>
    <row r="420" customFormat="false" ht="15.75" hidden="false" customHeight="true" outlineLevel="0" collapsed="false">
      <c r="A420" s="18"/>
      <c r="B420" s="18"/>
      <c r="C420" s="19"/>
      <c r="D420" s="19" t="str">
        <f aca="false">IF(C420="","",DATE(YEAR(C420)+1,MONTH(C420),DAY(C420)))</f>
        <v/>
      </c>
      <c r="E420" s="20"/>
      <c r="F420" s="20"/>
      <c r="G420" s="20"/>
      <c r="H420" s="20"/>
      <c r="I420" s="20"/>
      <c r="J420" s="20"/>
      <c r="K420" s="20"/>
      <c r="L420" s="20"/>
      <c r="M420" s="20"/>
      <c r="N420" s="18" t="str">
        <f aca="false">IF(COUNTBLANK(E420:M420)=9,"",IF(COUNTIF(E420:M420,"Fail")&gt;0,"Fail",IF(COUNTBLANK(E420:M420)&gt;0,"Incomplete","Pass")))</f>
        <v/>
      </c>
      <c r="O420" s="18" t="str">
        <f aca="true">IF(N420="","Not Yet Inspected",IF(N420="Fail","Fail",IF(D420="","",IF(D420&lt;TODAY(),"Overdue",IF(D420&lt;=TODAY()+30,"Due (within 30 days)","Pass")))))</f>
        <v>Not Yet Inspected</v>
      </c>
      <c r="P420" s="18"/>
      <c r="Q420" s="18"/>
      <c r="R420" s="19"/>
    </row>
    <row r="421" customFormat="false" ht="15.75" hidden="false" customHeight="true" outlineLevel="0" collapsed="false">
      <c r="A421" s="18"/>
      <c r="B421" s="18"/>
      <c r="C421" s="19"/>
      <c r="D421" s="19" t="str">
        <f aca="false">IF(C421="","",DATE(YEAR(C421)+1,MONTH(C421),DAY(C421)))</f>
        <v/>
      </c>
      <c r="E421" s="20"/>
      <c r="F421" s="20"/>
      <c r="G421" s="20"/>
      <c r="H421" s="20"/>
      <c r="I421" s="20"/>
      <c r="J421" s="20"/>
      <c r="K421" s="20"/>
      <c r="L421" s="20"/>
      <c r="M421" s="20"/>
      <c r="N421" s="18" t="str">
        <f aca="false">IF(COUNTBLANK(E421:M421)=9,"",IF(COUNTIF(E421:M421,"Fail")&gt;0,"Fail",IF(COUNTBLANK(E421:M421)&gt;0,"Incomplete","Pass")))</f>
        <v/>
      </c>
      <c r="O421" s="18" t="str">
        <f aca="true">IF(N421="","Not Yet Inspected",IF(N421="Fail","Fail",IF(D421="","",IF(D421&lt;TODAY(),"Overdue",IF(D421&lt;=TODAY()+30,"Due (within 30 days)","Pass")))))</f>
        <v>Not Yet Inspected</v>
      </c>
      <c r="P421" s="18"/>
      <c r="Q421" s="18"/>
      <c r="R421" s="19"/>
    </row>
    <row r="422" customFormat="false" ht="15.75" hidden="false" customHeight="true" outlineLevel="0" collapsed="false">
      <c r="A422" s="18"/>
      <c r="B422" s="18"/>
      <c r="C422" s="19"/>
      <c r="D422" s="19" t="str">
        <f aca="false">IF(C422="","",DATE(YEAR(C422)+1,MONTH(C422),DAY(C422)))</f>
        <v/>
      </c>
      <c r="E422" s="20"/>
      <c r="F422" s="20"/>
      <c r="G422" s="20"/>
      <c r="H422" s="20"/>
      <c r="I422" s="20"/>
      <c r="J422" s="20"/>
      <c r="K422" s="20"/>
      <c r="L422" s="20"/>
      <c r="M422" s="20"/>
      <c r="N422" s="18" t="str">
        <f aca="false">IF(COUNTBLANK(E422:M422)=9,"",IF(COUNTIF(E422:M422,"Fail")&gt;0,"Fail",IF(COUNTBLANK(E422:M422)&gt;0,"Incomplete","Pass")))</f>
        <v/>
      </c>
      <c r="O422" s="18" t="str">
        <f aca="true">IF(N422="","Not Yet Inspected",IF(N422="Fail","Fail",IF(D422="","",IF(D422&lt;TODAY(),"Overdue",IF(D422&lt;=TODAY()+30,"Due (within 30 days)","Pass")))))</f>
        <v>Not Yet Inspected</v>
      </c>
      <c r="P422" s="18"/>
      <c r="Q422" s="18"/>
      <c r="R422" s="19"/>
    </row>
    <row r="423" customFormat="false" ht="15.75" hidden="false" customHeight="true" outlineLevel="0" collapsed="false">
      <c r="A423" s="18"/>
      <c r="B423" s="18"/>
      <c r="C423" s="19"/>
      <c r="D423" s="19" t="str">
        <f aca="false">IF(C423="","",DATE(YEAR(C423)+1,MONTH(C423),DAY(C423)))</f>
        <v/>
      </c>
      <c r="E423" s="20"/>
      <c r="F423" s="20"/>
      <c r="G423" s="20"/>
      <c r="H423" s="20"/>
      <c r="I423" s="20"/>
      <c r="J423" s="20"/>
      <c r="K423" s="20"/>
      <c r="L423" s="20"/>
      <c r="M423" s="20"/>
      <c r="N423" s="18" t="str">
        <f aca="false">IF(COUNTBLANK(E423:M423)=9,"",IF(COUNTIF(E423:M423,"Fail")&gt;0,"Fail",IF(COUNTBLANK(E423:M423)&gt;0,"Incomplete","Pass")))</f>
        <v/>
      </c>
      <c r="O423" s="18" t="str">
        <f aca="true">IF(N423="","Not Yet Inspected",IF(N423="Fail","Fail",IF(D423="","",IF(D423&lt;TODAY(),"Overdue",IF(D423&lt;=TODAY()+30,"Due (within 30 days)","Pass")))))</f>
        <v>Not Yet Inspected</v>
      </c>
      <c r="P423" s="18"/>
      <c r="Q423" s="18"/>
      <c r="R423" s="19"/>
    </row>
    <row r="424" customFormat="false" ht="15.75" hidden="false" customHeight="true" outlineLevel="0" collapsed="false">
      <c r="A424" s="18"/>
      <c r="B424" s="18"/>
      <c r="C424" s="19"/>
      <c r="D424" s="19" t="str">
        <f aca="false">IF(C424="","",DATE(YEAR(C424)+1,MONTH(C424),DAY(C424)))</f>
        <v/>
      </c>
      <c r="E424" s="20"/>
      <c r="F424" s="20"/>
      <c r="G424" s="20"/>
      <c r="H424" s="20"/>
      <c r="I424" s="20"/>
      <c r="J424" s="20"/>
      <c r="K424" s="20"/>
      <c r="L424" s="20"/>
      <c r="M424" s="20"/>
      <c r="N424" s="18" t="str">
        <f aca="false">IF(COUNTBLANK(E424:M424)=9,"",IF(COUNTIF(E424:M424,"Fail")&gt;0,"Fail",IF(COUNTBLANK(E424:M424)&gt;0,"Incomplete","Pass")))</f>
        <v/>
      </c>
      <c r="O424" s="18" t="str">
        <f aca="true">IF(N424="","Not Yet Inspected",IF(N424="Fail","Fail",IF(D424="","",IF(D424&lt;TODAY(),"Overdue",IF(D424&lt;=TODAY()+30,"Due (within 30 days)","Pass")))))</f>
        <v>Not Yet Inspected</v>
      </c>
      <c r="P424" s="18"/>
      <c r="Q424" s="18"/>
      <c r="R424" s="19"/>
    </row>
    <row r="425" customFormat="false" ht="15.75" hidden="false" customHeight="true" outlineLevel="0" collapsed="false">
      <c r="A425" s="18"/>
      <c r="B425" s="18"/>
      <c r="C425" s="19"/>
      <c r="D425" s="19" t="str">
        <f aca="false">IF(C425="","",DATE(YEAR(C425)+1,MONTH(C425),DAY(C425)))</f>
        <v/>
      </c>
      <c r="E425" s="20"/>
      <c r="F425" s="20"/>
      <c r="G425" s="20"/>
      <c r="H425" s="20"/>
      <c r="I425" s="20"/>
      <c r="J425" s="20"/>
      <c r="K425" s="20"/>
      <c r="L425" s="20"/>
      <c r="M425" s="20"/>
      <c r="N425" s="18" t="str">
        <f aca="false">IF(COUNTBLANK(E425:M425)=9,"",IF(COUNTIF(E425:M425,"Fail")&gt;0,"Fail",IF(COUNTBLANK(E425:M425)&gt;0,"Incomplete","Pass")))</f>
        <v/>
      </c>
      <c r="O425" s="18" t="str">
        <f aca="true">IF(N425="","Not Yet Inspected",IF(N425="Fail","Fail",IF(D425="","",IF(D425&lt;TODAY(),"Overdue",IF(D425&lt;=TODAY()+30,"Due (within 30 days)","Pass")))))</f>
        <v>Not Yet Inspected</v>
      </c>
      <c r="P425" s="18"/>
      <c r="Q425" s="18"/>
      <c r="R425" s="19"/>
    </row>
    <row r="426" customFormat="false" ht="15.75" hidden="false" customHeight="true" outlineLevel="0" collapsed="false">
      <c r="A426" s="18"/>
      <c r="B426" s="18"/>
      <c r="C426" s="19"/>
      <c r="D426" s="19" t="str">
        <f aca="false">IF(C426="","",DATE(YEAR(C426)+1,MONTH(C426),DAY(C426)))</f>
        <v/>
      </c>
      <c r="E426" s="20"/>
      <c r="F426" s="20"/>
      <c r="G426" s="20"/>
      <c r="H426" s="20"/>
      <c r="I426" s="20"/>
      <c r="J426" s="20"/>
      <c r="K426" s="20"/>
      <c r="L426" s="20"/>
      <c r="M426" s="20"/>
      <c r="N426" s="18" t="str">
        <f aca="false">IF(COUNTBLANK(E426:M426)=9,"",IF(COUNTIF(E426:M426,"Fail")&gt;0,"Fail",IF(COUNTBLANK(E426:M426)&gt;0,"Incomplete","Pass")))</f>
        <v/>
      </c>
      <c r="O426" s="18" t="str">
        <f aca="true">IF(N426="","Not Yet Inspected",IF(N426="Fail","Fail",IF(D426="","",IF(D426&lt;TODAY(),"Overdue",IF(D426&lt;=TODAY()+30,"Due (within 30 days)","Pass")))))</f>
        <v>Not Yet Inspected</v>
      </c>
      <c r="P426" s="18"/>
      <c r="Q426" s="18"/>
      <c r="R426" s="19"/>
    </row>
    <row r="427" customFormat="false" ht="15.75" hidden="false" customHeight="true" outlineLevel="0" collapsed="false">
      <c r="A427" s="18"/>
      <c r="B427" s="18"/>
      <c r="C427" s="19"/>
      <c r="D427" s="19" t="str">
        <f aca="false">IF(C427="","",DATE(YEAR(C427)+1,MONTH(C427),DAY(C427)))</f>
        <v/>
      </c>
      <c r="E427" s="20"/>
      <c r="F427" s="20"/>
      <c r="G427" s="20"/>
      <c r="H427" s="20"/>
      <c r="I427" s="20"/>
      <c r="J427" s="20"/>
      <c r="K427" s="20"/>
      <c r="L427" s="20"/>
      <c r="M427" s="20"/>
      <c r="N427" s="18" t="str">
        <f aca="false">IF(COUNTBLANK(E427:M427)=9,"",IF(COUNTIF(E427:M427,"Fail")&gt;0,"Fail",IF(COUNTBLANK(E427:M427)&gt;0,"Incomplete","Pass")))</f>
        <v/>
      </c>
      <c r="O427" s="18" t="str">
        <f aca="true">IF(N427="","Not Yet Inspected",IF(N427="Fail","Fail",IF(D427="","",IF(D427&lt;TODAY(),"Overdue",IF(D427&lt;=TODAY()+30,"Due (within 30 days)","Pass")))))</f>
        <v>Not Yet Inspected</v>
      </c>
      <c r="P427" s="18"/>
      <c r="Q427" s="18"/>
      <c r="R427" s="19"/>
    </row>
    <row r="428" customFormat="false" ht="15.75" hidden="false" customHeight="true" outlineLevel="0" collapsed="false">
      <c r="A428" s="18"/>
      <c r="B428" s="18"/>
      <c r="C428" s="19"/>
      <c r="D428" s="19" t="str">
        <f aca="false">IF(C428="","",DATE(YEAR(C428)+1,MONTH(C428),DAY(C428)))</f>
        <v/>
      </c>
      <c r="E428" s="20"/>
      <c r="F428" s="20"/>
      <c r="G428" s="20"/>
      <c r="H428" s="20"/>
      <c r="I428" s="20"/>
      <c r="J428" s="20"/>
      <c r="K428" s="20"/>
      <c r="L428" s="20"/>
      <c r="M428" s="20"/>
      <c r="N428" s="18" t="str">
        <f aca="false">IF(COUNTBLANK(E428:M428)=9,"",IF(COUNTIF(E428:M428,"Fail")&gt;0,"Fail",IF(COUNTBLANK(E428:M428)&gt;0,"Incomplete","Pass")))</f>
        <v/>
      </c>
      <c r="O428" s="18" t="str">
        <f aca="true">IF(N428="","Not Yet Inspected",IF(N428="Fail","Fail",IF(D428="","",IF(D428&lt;TODAY(),"Overdue",IF(D428&lt;=TODAY()+30,"Due (within 30 days)","Pass")))))</f>
        <v>Not Yet Inspected</v>
      </c>
      <c r="P428" s="18"/>
      <c r="Q428" s="18"/>
      <c r="R428" s="19"/>
    </row>
    <row r="429" customFormat="false" ht="15.75" hidden="false" customHeight="true" outlineLevel="0" collapsed="false">
      <c r="A429" s="18"/>
      <c r="B429" s="18"/>
      <c r="C429" s="19"/>
      <c r="D429" s="19" t="str">
        <f aca="false">IF(C429="","",DATE(YEAR(C429)+1,MONTH(C429),DAY(C429)))</f>
        <v/>
      </c>
      <c r="E429" s="20"/>
      <c r="F429" s="20"/>
      <c r="G429" s="20"/>
      <c r="H429" s="20"/>
      <c r="I429" s="20"/>
      <c r="J429" s="20"/>
      <c r="K429" s="20"/>
      <c r="L429" s="20"/>
      <c r="M429" s="20"/>
      <c r="N429" s="18" t="str">
        <f aca="false">IF(COUNTBLANK(E429:M429)=9,"",IF(COUNTIF(E429:M429,"Fail")&gt;0,"Fail",IF(COUNTBLANK(E429:M429)&gt;0,"Incomplete","Pass")))</f>
        <v/>
      </c>
      <c r="O429" s="18" t="str">
        <f aca="true">IF(N429="","Not Yet Inspected",IF(N429="Fail","Fail",IF(D429="","",IF(D429&lt;TODAY(),"Overdue",IF(D429&lt;=TODAY()+30,"Due (within 30 days)","Pass")))))</f>
        <v>Not Yet Inspected</v>
      </c>
      <c r="P429" s="18"/>
      <c r="Q429" s="18"/>
      <c r="R429" s="19"/>
    </row>
    <row r="430" customFormat="false" ht="15.75" hidden="false" customHeight="true" outlineLevel="0" collapsed="false">
      <c r="A430" s="18"/>
      <c r="B430" s="18"/>
      <c r="C430" s="19"/>
      <c r="D430" s="19" t="str">
        <f aca="false">IF(C430="","",DATE(YEAR(C430)+1,MONTH(C430),DAY(C430)))</f>
        <v/>
      </c>
      <c r="E430" s="20"/>
      <c r="F430" s="20"/>
      <c r="G430" s="20"/>
      <c r="H430" s="20"/>
      <c r="I430" s="20"/>
      <c r="J430" s="20"/>
      <c r="K430" s="20"/>
      <c r="L430" s="20"/>
      <c r="M430" s="20"/>
      <c r="N430" s="18" t="str">
        <f aca="false">IF(COUNTBLANK(E430:M430)=9,"",IF(COUNTIF(E430:M430,"Fail")&gt;0,"Fail",IF(COUNTBLANK(E430:M430)&gt;0,"Incomplete","Pass")))</f>
        <v/>
      </c>
      <c r="O430" s="18" t="str">
        <f aca="true">IF(N430="","Not Yet Inspected",IF(N430="Fail","Fail",IF(D430="","",IF(D430&lt;TODAY(),"Overdue",IF(D430&lt;=TODAY()+30,"Due (within 30 days)","Pass")))))</f>
        <v>Not Yet Inspected</v>
      </c>
      <c r="P430" s="18"/>
      <c r="Q430" s="18"/>
      <c r="R430" s="19"/>
    </row>
    <row r="431" customFormat="false" ht="15.75" hidden="false" customHeight="true" outlineLevel="0" collapsed="false">
      <c r="A431" s="18"/>
      <c r="B431" s="18"/>
      <c r="C431" s="19"/>
      <c r="D431" s="19" t="str">
        <f aca="false">IF(C431="","",DATE(YEAR(C431)+1,MONTH(C431),DAY(C431)))</f>
        <v/>
      </c>
      <c r="E431" s="20"/>
      <c r="F431" s="20"/>
      <c r="G431" s="20"/>
      <c r="H431" s="20"/>
      <c r="I431" s="20"/>
      <c r="J431" s="20"/>
      <c r="K431" s="20"/>
      <c r="L431" s="20"/>
      <c r="M431" s="20"/>
      <c r="N431" s="18" t="str">
        <f aca="false">IF(COUNTBLANK(E431:M431)=9,"",IF(COUNTIF(E431:M431,"Fail")&gt;0,"Fail",IF(COUNTBLANK(E431:M431)&gt;0,"Incomplete","Pass")))</f>
        <v/>
      </c>
      <c r="O431" s="18" t="str">
        <f aca="true">IF(N431="","Not Yet Inspected",IF(N431="Fail","Fail",IF(D431="","",IF(D431&lt;TODAY(),"Overdue",IF(D431&lt;=TODAY()+30,"Due (within 30 days)","Pass")))))</f>
        <v>Not Yet Inspected</v>
      </c>
      <c r="P431" s="18"/>
      <c r="Q431" s="18"/>
      <c r="R431" s="19"/>
    </row>
    <row r="432" customFormat="false" ht="15.75" hidden="false" customHeight="true" outlineLevel="0" collapsed="false">
      <c r="A432" s="18"/>
      <c r="B432" s="18"/>
      <c r="C432" s="19"/>
      <c r="D432" s="19" t="str">
        <f aca="false">IF(C432="","",DATE(YEAR(C432)+1,MONTH(C432),DAY(C432)))</f>
        <v/>
      </c>
      <c r="E432" s="20"/>
      <c r="F432" s="20"/>
      <c r="G432" s="20"/>
      <c r="H432" s="20"/>
      <c r="I432" s="20"/>
      <c r="J432" s="20"/>
      <c r="K432" s="20"/>
      <c r="L432" s="20"/>
      <c r="M432" s="20"/>
      <c r="N432" s="18" t="str">
        <f aca="false">IF(COUNTBLANK(E432:M432)=9,"",IF(COUNTIF(E432:M432,"Fail")&gt;0,"Fail",IF(COUNTBLANK(E432:M432)&gt;0,"Incomplete","Pass")))</f>
        <v/>
      </c>
      <c r="O432" s="18" t="str">
        <f aca="true">IF(N432="","Not Yet Inspected",IF(N432="Fail","Fail",IF(D432="","",IF(D432&lt;TODAY(),"Overdue",IF(D432&lt;=TODAY()+30,"Due (within 30 days)","Pass")))))</f>
        <v>Not Yet Inspected</v>
      </c>
      <c r="P432" s="18"/>
      <c r="Q432" s="18"/>
      <c r="R432" s="19"/>
    </row>
    <row r="433" customFormat="false" ht="15.75" hidden="false" customHeight="true" outlineLevel="0" collapsed="false">
      <c r="A433" s="18"/>
      <c r="B433" s="18"/>
      <c r="C433" s="19"/>
      <c r="D433" s="19" t="str">
        <f aca="false">IF(C433="","",DATE(YEAR(C433)+1,MONTH(C433),DAY(C433)))</f>
        <v/>
      </c>
      <c r="E433" s="20"/>
      <c r="F433" s="20"/>
      <c r="G433" s="20"/>
      <c r="H433" s="20"/>
      <c r="I433" s="20"/>
      <c r="J433" s="20"/>
      <c r="K433" s="20"/>
      <c r="L433" s="20"/>
      <c r="M433" s="20"/>
      <c r="N433" s="18" t="str">
        <f aca="false">IF(COUNTBLANK(E433:M433)=9,"",IF(COUNTIF(E433:M433,"Fail")&gt;0,"Fail",IF(COUNTBLANK(E433:M433)&gt;0,"Incomplete","Pass")))</f>
        <v/>
      </c>
      <c r="O433" s="18" t="str">
        <f aca="true">IF(N433="","Not Yet Inspected",IF(N433="Fail","Fail",IF(D433="","",IF(D433&lt;TODAY(),"Overdue",IF(D433&lt;=TODAY()+30,"Due (within 30 days)","Pass")))))</f>
        <v>Not Yet Inspected</v>
      </c>
      <c r="P433" s="18"/>
      <c r="Q433" s="18"/>
      <c r="R433" s="19"/>
    </row>
    <row r="434" customFormat="false" ht="15.75" hidden="false" customHeight="true" outlineLevel="0" collapsed="false">
      <c r="A434" s="18"/>
      <c r="B434" s="18"/>
      <c r="C434" s="19"/>
      <c r="D434" s="19" t="str">
        <f aca="false">IF(C434="","",DATE(YEAR(C434)+1,MONTH(C434),DAY(C434)))</f>
        <v/>
      </c>
      <c r="E434" s="20"/>
      <c r="F434" s="20"/>
      <c r="G434" s="20"/>
      <c r="H434" s="20"/>
      <c r="I434" s="20"/>
      <c r="J434" s="20"/>
      <c r="K434" s="20"/>
      <c r="L434" s="20"/>
      <c r="M434" s="20"/>
      <c r="N434" s="18" t="str">
        <f aca="false">IF(COUNTBLANK(E434:M434)=9,"",IF(COUNTIF(E434:M434,"Fail")&gt;0,"Fail",IF(COUNTBLANK(E434:M434)&gt;0,"Incomplete","Pass")))</f>
        <v/>
      </c>
      <c r="O434" s="18" t="str">
        <f aca="true">IF(N434="","Not Yet Inspected",IF(N434="Fail","Fail",IF(D434="","",IF(D434&lt;TODAY(),"Overdue",IF(D434&lt;=TODAY()+30,"Due (within 30 days)","Pass")))))</f>
        <v>Not Yet Inspected</v>
      </c>
      <c r="P434" s="18"/>
      <c r="Q434" s="18"/>
      <c r="R434" s="19"/>
    </row>
    <row r="435" customFormat="false" ht="15.75" hidden="false" customHeight="true" outlineLevel="0" collapsed="false">
      <c r="A435" s="18"/>
      <c r="B435" s="18"/>
      <c r="C435" s="19"/>
      <c r="D435" s="19" t="str">
        <f aca="false">IF(C435="","",DATE(YEAR(C435)+1,MONTH(C435),DAY(C435)))</f>
        <v/>
      </c>
      <c r="E435" s="20"/>
      <c r="F435" s="20"/>
      <c r="G435" s="20"/>
      <c r="H435" s="20"/>
      <c r="I435" s="20"/>
      <c r="J435" s="20"/>
      <c r="K435" s="20"/>
      <c r="L435" s="20"/>
      <c r="M435" s="20"/>
      <c r="N435" s="18" t="str">
        <f aca="false">IF(COUNTBLANK(E435:M435)=9,"",IF(COUNTIF(E435:M435,"Fail")&gt;0,"Fail",IF(COUNTBLANK(E435:M435)&gt;0,"Incomplete","Pass")))</f>
        <v/>
      </c>
      <c r="O435" s="18" t="str">
        <f aca="true">IF(N435="","Not Yet Inspected",IF(N435="Fail","Fail",IF(D435="","",IF(D435&lt;TODAY(),"Overdue",IF(D435&lt;=TODAY()+30,"Due (within 30 days)","Pass")))))</f>
        <v>Not Yet Inspected</v>
      </c>
      <c r="P435" s="18"/>
      <c r="Q435" s="18"/>
      <c r="R435" s="19"/>
    </row>
    <row r="436" customFormat="false" ht="15.75" hidden="false" customHeight="true" outlineLevel="0" collapsed="false">
      <c r="A436" s="18"/>
      <c r="B436" s="18"/>
      <c r="C436" s="19"/>
      <c r="D436" s="19" t="str">
        <f aca="false">IF(C436="","",DATE(YEAR(C436)+1,MONTH(C436),DAY(C436)))</f>
        <v/>
      </c>
      <c r="E436" s="20"/>
      <c r="F436" s="20"/>
      <c r="G436" s="20"/>
      <c r="H436" s="20"/>
      <c r="I436" s="20"/>
      <c r="J436" s="20"/>
      <c r="K436" s="20"/>
      <c r="L436" s="20"/>
      <c r="M436" s="20"/>
      <c r="N436" s="18" t="str">
        <f aca="false">IF(COUNTBLANK(E436:M436)=9,"",IF(COUNTIF(E436:M436,"Fail")&gt;0,"Fail",IF(COUNTBLANK(E436:M436)&gt;0,"Incomplete","Pass")))</f>
        <v/>
      </c>
      <c r="O436" s="18" t="str">
        <f aca="true">IF(N436="","Not Yet Inspected",IF(N436="Fail","Fail",IF(D436="","",IF(D436&lt;TODAY(),"Overdue",IF(D436&lt;=TODAY()+30,"Due (within 30 days)","Pass")))))</f>
        <v>Not Yet Inspected</v>
      </c>
      <c r="P436" s="18"/>
      <c r="Q436" s="18"/>
      <c r="R436" s="19"/>
    </row>
    <row r="437" customFormat="false" ht="15.75" hidden="false" customHeight="true" outlineLevel="0" collapsed="false">
      <c r="A437" s="18"/>
      <c r="B437" s="18"/>
      <c r="C437" s="19"/>
      <c r="D437" s="19" t="str">
        <f aca="false">IF(C437="","",DATE(YEAR(C437)+1,MONTH(C437),DAY(C437)))</f>
        <v/>
      </c>
      <c r="E437" s="20"/>
      <c r="F437" s="20"/>
      <c r="G437" s="20"/>
      <c r="H437" s="20"/>
      <c r="I437" s="20"/>
      <c r="J437" s="20"/>
      <c r="K437" s="20"/>
      <c r="L437" s="20"/>
      <c r="M437" s="20"/>
      <c r="N437" s="18" t="str">
        <f aca="false">IF(COUNTBLANK(E437:M437)=9,"",IF(COUNTIF(E437:M437,"Fail")&gt;0,"Fail",IF(COUNTBLANK(E437:M437)&gt;0,"Incomplete","Pass")))</f>
        <v/>
      </c>
      <c r="O437" s="18" t="str">
        <f aca="true">IF(N437="","Not Yet Inspected",IF(N437="Fail","Fail",IF(D437="","",IF(D437&lt;TODAY(),"Overdue",IF(D437&lt;=TODAY()+30,"Due (within 30 days)","Pass")))))</f>
        <v>Not Yet Inspected</v>
      </c>
      <c r="P437" s="18"/>
      <c r="Q437" s="18"/>
      <c r="R437" s="19"/>
    </row>
    <row r="438" customFormat="false" ht="15.75" hidden="false" customHeight="true" outlineLevel="0" collapsed="false">
      <c r="A438" s="18"/>
      <c r="B438" s="18"/>
      <c r="C438" s="19"/>
      <c r="D438" s="19" t="str">
        <f aca="false">IF(C438="","",DATE(YEAR(C438)+1,MONTH(C438),DAY(C438)))</f>
        <v/>
      </c>
      <c r="E438" s="20"/>
      <c r="F438" s="20"/>
      <c r="G438" s="20"/>
      <c r="H438" s="20"/>
      <c r="I438" s="20"/>
      <c r="J438" s="20"/>
      <c r="K438" s="20"/>
      <c r="L438" s="20"/>
      <c r="M438" s="20"/>
      <c r="N438" s="18" t="str">
        <f aca="false">IF(COUNTBLANK(E438:M438)=9,"",IF(COUNTIF(E438:M438,"Fail")&gt;0,"Fail",IF(COUNTBLANK(E438:M438)&gt;0,"Incomplete","Pass")))</f>
        <v/>
      </c>
      <c r="O438" s="18" t="str">
        <f aca="true">IF(N438="","Not Yet Inspected",IF(N438="Fail","Fail",IF(D438="","",IF(D438&lt;TODAY(),"Overdue",IF(D438&lt;=TODAY()+30,"Due (within 30 days)","Pass")))))</f>
        <v>Not Yet Inspected</v>
      </c>
      <c r="P438" s="18"/>
      <c r="Q438" s="18"/>
      <c r="R438" s="19"/>
    </row>
    <row r="439" customFormat="false" ht="15.75" hidden="false" customHeight="true" outlineLevel="0" collapsed="false">
      <c r="A439" s="18"/>
      <c r="B439" s="18"/>
      <c r="C439" s="19"/>
      <c r="D439" s="19" t="str">
        <f aca="false">IF(C439="","",DATE(YEAR(C439)+1,MONTH(C439),DAY(C439)))</f>
        <v/>
      </c>
      <c r="E439" s="20"/>
      <c r="F439" s="20"/>
      <c r="G439" s="20"/>
      <c r="H439" s="20"/>
      <c r="I439" s="20"/>
      <c r="J439" s="20"/>
      <c r="K439" s="20"/>
      <c r="L439" s="20"/>
      <c r="M439" s="20"/>
      <c r="N439" s="18" t="str">
        <f aca="false">IF(COUNTBLANK(E439:M439)=9,"",IF(COUNTIF(E439:M439,"Fail")&gt;0,"Fail",IF(COUNTBLANK(E439:M439)&gt;0,"Incomplete","Pass")))</f>
        <v/>
      </c>
      <c r="O439" s="18" t="str">
        <f aca="true">IF(N439="","Not Yet Inspected",IF(N439="Fail","Fail",IF(D439="","",IF(D439&lt;TODAY(),"Overdue",IF(D439&lt;=TODAY()+30,"Due (within 30 days)","Pass")))))</f>
        <v>Not Yet Inspected</v>
      </c>
      <c r="P439" s="18"/>
      <c r="Q439" s="18"/>
      <c r="R439" s="19"/>
    </row>
    <row r="440" customFormat="false" ht="15.75" hidden="false" customHeight="true" outlineLevel="0" collapsed="false">
      <c r="A440" s="18"/>
      <c r="B440" s="18"/>
      <c r="C440" s="19"/>
      <c r="D440" s="19" t="str">
        <f aca="false">IF(C440="","",DATE(YEAR(C440)+1,MONTH(C440),DAY(C440)))</f>
        <v/>
      </c>
      <c r="E440" s="20"/>
      <c r="F440" s="20"/>
      <c r="G440" s="20"/>
      <c r="H440" s="20"/>
      <c r="I440" s="20"/>
      <c r="J440" s="20"/>
      <c r="K440" s="20"/>
      <c r="L440" s="20"/>
      <c r="M440" s="20"/>
      <c r="N440" s="18" t="str">
        <f aca="false">IF(COUNTBLANK(E440:M440)=9,"",IF(COUNTIF(E440:M440,"Fail")&gt;0,"Fail",IF(COUNTBLANK(E440:M440)&gt;0,"Incomplete","Pass")))</f>
        <v/>
      </c>
      <c r="O440" s="18" t="str">
        <f aca="true">IF(N440="","Not Yet Inspected",IF(N440="Fail","Fail",IF(D440="","",IF(D440&lt;TODAY(),"Overdue",IF(D440&lt;=TODAY()+30,"Due (within 30 days)","Pass")))))</f>
        <v>Not Yet Inspected</v>
      </c>
      <c r="P440" s="18"/>
      <c r="Q440" s="18"/>
      <c r="R440" s="19"/>
    </row>
    <row r="441" customFormat="false" ht="15.75" hidden="false" customHeight="true" outlineLevel="0" collapsed="false">
      <c r="A441" s="18"/>
      <c r="B441" s="18"/>
      <c r="C441" s="19"/>
      <c r="D441" s="19" t="str">
        <f aca="false">IF(C441="","",DATE(YEAR(C441)+1,MONTH(C441),DAY(C441)))</f>
        <v/>
      </c>
      <c r="E441" s="20"/>
      <c r="F441" s="20"/>
      <c r="G441" s="20"/>
      <c r="H441" s="20"/>
      <c r="I441" s="20"/>
      <c r="J441" s="20"/>
      <c r="K441" s="20"/>
      <c r="L441" s="20"/>
      <c r="M441" s="20"/>
      <c r="N441" s="18" t="str">
        <f aca="false">IF(COUNTBLANK(E441:M441)=9,"",IF(COUNTIF(E441:M441,"Fail")&gt;0,"Fail",IF(COUNTBLANK(E441:M441)&gt;0,"Incomplete","Pass")))</f>
        <v/>
      </c>
      <c r="O441" s="18" t="str">
        <f aca="true">IF(N441="","Not Yet Inspected",IF(N441="Fail","Fail",IF(D441="","",IF(D441&lt;TODAY(),"Overdue",IF(D441&lt;=TODAY()+30,"Due (within 30 days)","Pass")))))</f>
        <v>Not Yet Inspected</v>
      </c>
      <c r="P441" s="18"/>
      <c r="Q441" s="18"/>
      <c r="R441" s="19"/>
    </row>
    <row r="442" customFormat="false" ht="15.75" hidden="false" customHeight="true" outlineLevel="0" collapsed="false">
      <c r="A442" s="18"/>
      <c r="B442" s="18"/>
      <c r="C442" s="19"/>
      <c r="D442" s="19" t="str">
        <f aca="false">IF(C442="","",DATE(YEAR(C442)+1,MONTH(C442),DAY(C442)))</f>
        <v/>
      </c>
      <c r="E442" s="20"/>
      <c r="F442" s="20"/>
      <c r="G442" s="20"/>
      <c r="H442" s="20"/>
      <c r="I442" s="20"/>
      <c r="J442" s="20"/>
      <c r="K442" s="20"/>
      <c r="L442" s="20"/>
      <c r="M442" s="20"/>
      <c r="N442" s="18" t="str">
        <f aca="false">IF(COUNTBLANK(E442:M442)=9,"",IF(COUNTIF(E442:M442,"Fail")&gt;0,"Fail",IF(COUNTBLANK(E442:M442)&gt;0,"Incomplete","Pass")))</f>
        <v/>
      </c>
      <c r="O442" s="18" t="str">
        <f aca="true">IF(N442="","Not Yet Inspected",IF(N442="Fail","Fail",IF(D442="","",IF(D442&lt;TODAY(),"Overdue",IF(D442&lt;=TODAY()+30,"Due (within 30 days)","Pass")))))</f>
        <v>Not Yet Inspected</v>
      </c>
      <c r="P442" s="18"/>
      <c r="Q442" s="18"/>
      <c r="R442" s="19"/>
    </row>
    <row r="443" customFormat="false" ht="15.75" hidden="false" customHeight="true" outlineLevel="0" collapsed="false">
      <c r="A443" s="18"/>
      <c r="B443" s="18"/>
      <c r="C443" s="19"/>
      <c r="D443" s="19" t="str">
        <f aca="false">IF(C443="","",DATE(YEAR(C443)+1,MONTH(C443),DAY(C443)))</f>
        <v/>
      </c>
      <c r="E443" s="20"/>
      <c r="F443" s="20"/>
      <c r="G443" s="20"/>
      <c r="H443" s="20"/>
      <c r="I443" s="20"/>
      <c r="J443" s="20"/>
      <c r="K443" s="20"/>
      <c r="L443" s="20"/>
      <c r="M443" s="20"/>
      <c r="N443" s="18" t="str">
        <f aca="false">IF(COUNTBLANK(E443:M443)=9,"",IF(COUNTIF(E443:M443,"Fail")&gt;0,"Fail",IF(COUNTBLANK(E443:M443)&gt;0,"Incomplete","Pass")))</f>
        <v/>
      </c>
      <c r="O443" s="18" t="str">
        <f aca="true">IF(N443="","Not Yet Inspected",IF(N443="Fail","Fail",IF(D443="","",IF(D443&lt;TODAY(),"Overdue",IF(D443&lt;=TODAY()+30,"Due (within 30 days)","Pass")))))</f>
        <v>Not Yet Inspected</v>
      </c>
      <c r="P443" s="18"/>
      <c r="Q443" s="18"/>
      <c r="R443" s="19"/>
    </row>
    <row r="444" customFormat="false" ht="15.75" hidden="false" customHeight="true" outlineLevel="0" collapsed="false">
      <c r="A444" s="18"/>
      <c r="B444" s="18"/>
      <c r="C444" s="19"/>
      <c r="D444" s="19" t="str">
        <f aca="false">IF(C444="","",DATE(YEAR(C444)+1,MONTH(C444),DAY(C444)))</f>
        <v/>
      </c>
      <c r="E444" s="20"/>
      <c r="F444" s="20"/>
      <c r="G444" s="20"/>
      <c r="H444" s="20"/>
      <c r="I444" s="20"/>
      <c r="J444" s="20"/>
      <c r="K444" s="20"/>
      <c r="L444" s="20"/>
      <c r="M444" s="20"/>
      <c r="N444" s="18" t="str">
        <f aca="false">IF(COUNTBLANK(E444:M444)=9,"",IF(COUNTIF(E444:M444,"Fail")&gt;0,"Fail",IF(COUNTBLANK(E444:M444)&gt;0,"Incomplete","Pass")))</f>
        <v/>
      </c>
      <c r="O444" s="18" t="str">
        <f aca="true">IF(N444="","Not Yet Inspected",IF(N444="Fail","Fail",IF(D444="","",IF(D444&lt;TODAY(),"Overdue",IF(D444&lt;=TODAY()+30,"Due (within 30 days)","Pass")))))</f>
        <v>Not Yet Inspected</v>
      </c>
      <c r="P444" s="18"/>
      <c r="Q444" s="18"/>
      <c r="R444" s="19"/>
    </row>
    <row r="445" customFormat="false" ht="15.75" hidden="false" customHeight="true" outlineLevel="0" collapsed="false">
      <c r="A445" s="18"/>
      <c r="B445" s="18"/>
      <c r="C445" s="19"/>
      <c r="D445" s="19" t="str">
        <f aca="false">IF(C445="","",DATE(YEAR(C445)+1,MONTH(C445),DAY(C445)))</f>
        <v/>
      </c>
      <c r="E445" s="20"/>
      <c r="F445" s="20"/>
      <c r="G445" s="20"/>
      <c r="H445" s="20"/>
      <c r="I445" s="20"/>
      <c r="J445" s="20"/>
      <c r="K445" s="20"/>
      <c r="L445" s="20"/>
      <c r="M445" s="20"/>
      <c r="N445" s="18" t="str">
        <f aca="false">IF(COUNTBLANK(E445:M445)=9,"",IF(COUNTIF(E445:M445,"Fail")&gt;0,"Fail",IF(COUNTBLANK(E445:M445)&gt;0,"Incomplete","Pass")))</f>
        <v/>
      </c>
      <c r="O445" s="18" t="str">
        <f aca="true">IF(N445="","Not Yet Inspected",IF(N445="Fail","Fail",IF(D445="","",IF(D445&lt;TODAY(),"Overdue",IF(D445&lt;=TODAY()+30,"Due (within 30 days)","Pass")))))</f>
        <v>Not Yet Inspected</v>
      </c>
      <c r="P445" s="18"/>
      <c r="Q445" s="18"/>
      <c r="R445" s="19"/>
    </row>
    <row r="446" customFormat="false" ht="15.75" hidden="false" customHeight="true" outlineLevel="0" collapsed="false">
      <c r="A446" s="18"/>
      <c r="B446" s="18"/>
      <c r="C446" s="19"/>
      <c r="D446" s="19" t="str">
        <f aca="false">IF(C446="","",DATE(YEAR(C446)+1,MONTH(C446),DAY(C446)))</f>
        <v/>
      </c>
      <c r="E446" s="20"/>
      <c r="F446" s="20"/>
      <c r="G446" s="20"/>
      <c r="H446" s="20"/>
      <c r="I446" s="20"/>
      <c r="J446" s="20"/>
      <c r="K446" s="20"/>
      <c r="L446" s="20"/>
      <c r="M446" s="20"/>
      <c r="N446" s="18" t="str">
        <f aca="false">IF(COUNTBLANK(E446:M446)=9,"",IF(COUNTIF(E446:M446,"Fail")&gt;0,"Fail",IF(COUNTBLANK(E446:M446)&gt;0,"Incomplete","Pass")))</f>
        <v/>
      </c>
      <c r="O446" s="18" t="str">
        <f aca="true">IF(N446="","Not Yet Inspected",IF(N446="Fail","Fail",IF(D446="","",IF(D446&lt;TODAY(),"Overdue",IF(D446&lt;=TODAY()+30,"Due (within 30 days)","Pass")))))</f>
        <v>Not Yet Inspected</v>
      </c>
      <c r="P446" s="18"/>
      <c r="Q446" s="18"/>
      <c r="R446" s="19"/>
    </row>
    <row r="447" customFormat="false" ht="15.75" hidden="false" customHeight="true" outlineLevel="0" collapsed="false">
      <c r="A447" s="18"/>
      <c r="B447" s="18"/>
      <c r="C447" s="19"/>
      <c r="D447" s="19" t="str">
        <f aca="false">IF(C447="","",DATE(YEAR(C447)+1,MONTH(C447),DAY(C447)))</f>
        <v/>
      </c>
      <c r="E447" s="20"/>
      <c r="F447" s="20"/>
      <c r="G447" s="20"/>
      <c r="H447" s="20"/>
      <c r="I447" s="20"/>
      <c r="J447" s="20"/>
      <c r="K447" s="20"/>
      <c r="L447" s="20"/>
      <c r="M447" s="20"/>
      <c r="N447" s="18" t="str">
        <f aca="false">IF(COUNTBLANK(E447:M447)=9,"",IF(COUNTIF(E447:M447,"Fail")&gt;0,"Fail",IF(COUNTBLANK(E447:M447)&gt;0,"Incomplete","Pass")))</f>
        <v/>
      </c>
      <c r="O447" s="18" t="str">
        <f aca="true">IF(N447="","Not Yet Inspected",IF(N447="Fail","Fail",IF(D447="","",IF(D447&lt;TODAY(),"Overdue",IF(D447&lt;=TODAY()+30,"Due (within 30 days)","Pass")))))</f>
        <v>Not Yet Inspected</v>
      </c>
      <c r="P447" s="18"/>
      <c r="Q447" s="18"/>
      <c r="R447" s="19"/>
    </row>
    <row r="448" customFormat="false" ht="15.75" hidden="false" customHeight="true" outlineLevel="0" collapsed="false">
      <c r="A448" s="18"/>
      <c r="B448" s="18"/>
      <c r="C448" s="19"/>
      <c r="D448" s="19" t="str">
        <f aca="false">IF(C448="","",DATE(YEAR(C448)+1,MONTH(C448),DAY(C448)))</f>
        <v/>
      </c>
      <c r="E448" s="20"/>
      <c r="F448" s="20"/>
      <c r="G448" s="20"/>
      <c r="H448" s="20"/>
      <c r="I448" s="20"/>
      <c r="J448" s="20"/>
      <c r="K448" s="20"/>
      <c r="L448" s="20"/>
      <c r="M448" s="20"/>
      <c r="N448" s="18" t="str">
        <f aca="false">IF(COUNTBLANK(E448:M448)=9,"",IF(COUNTIF(E448:M448,"Fail")&gt;0,"Fail",IF(COUNTBLANK(E448:M448)&gt;0,"Incomplete","Pass")))</f>
        <v/>
      </c>
      <c r="O448" s="18" t="str">
        <f aca="true">IF(N448="","Not Yet Inspected",IF(N448="Fail","Fail",IF(D448="","",IF(D448&lt;TODAY(),"Overdue",IF(D448&lt;=TODAY()+30,"Due (within 30 days)","Pass")))))</f>
        <v>Not Yet Inspected</v>
      </c>
      <c r="P448" s="18"/>
      <c r="Q448" s="18"/>
      <c r="R448" s="19"/>
    </row>
    <row r="449" customFormat="false" ht="15.75" hidden="false" customHeight="true" outlineLevel="0" collapsed="false">
      <c r="A449" s="18"/>
      <c r="B449" s="18"/>
      <c r="C449" s="19"/>
      <c r="D449" s="19" t="str">
        <f aca="false">IF(C449="","",DATE(YEAR(C449)+1,MONTH(C449),DAY(C449)))</f>
        <v/>
      </c>
      <c r="E449" s="20"/>
      <c r="F449" s="20"/>
      <c r="G449" s="20"/>
      <c r="H449" s="20"/>
      <c r="I449" s="20"/>
      <c r="J449" s="20"/>
      <c r="K449" s="20"/>
      <c r="L449" s="20"/>
      <c r="M449" s="20"/>
      <c r="N449" s="18" t="str">
        <f aca="false">IF(COUNTBLANK(E449:M449)=9,"",IF(COUNTIF(E449:M449,"Fail")&gt;0,"Fail",IF(COUNTBLANK(E449:M449)&gt;0,"Incomplete","Pass")))</f>
        <v/>
      </c>
      <c r="O449" s="18" t="str">
        <f aca="true">IF(N449="","Not Yet Inspected",IF(N449="Fail","Fail",IF(D449="","",IF(D449&lt;TODAY(),"Overdue",IF(D449&lt;=TODAY()+30,"Due (within 30 days)","Pass")))))</f>
        <v>Not Yet Inspected</v>
      </c>
      <c r="P449" s="18"/>
      <c r="Q449" s="18"/>
      <c r="R449" s="19"/>
    </row>
    <row r="450" customFormat="false" ht="15.75" hidden="false" customHeight="true" outlineLevel="0" collapsed="false">
      <c r="A450" s="18"/>
      <c r="B450" s="18"/>
      <c r="C450" s="19"/>
      <c r="D450" s="19" t="str">
        <f aca="false">IF(C450="","",DATE(YEAR(C450)+1,MONTH(C450),DAY(C450)))</f>
        <v/>
      </c>
      <c r="E450" s="20"/>
      <c r="F450" s="20"/>
      <c r="G450" s="20"/>
      <c r="H450" s="20"/>
      <c r="I450" s="20"/>
      <c r="J450" s="20"/>
      <c r="K450" s="20"/>
      <c r="L450" s="20"/>
      <c r="M450" s="20"/>
      <c r="N450" s="18" t="str">
        <f aca="false">IF(COUNTBLANK(E450:M450)=9,"",IF(COUNTIF(E450:M450,"Fail")&gt;0,"Fail",IF(COUNTBLANK(E450:M450)&gt;0,"Incomplete","Pass")))</f>
        <v/>
      </c>
      <c r="O450" s="18" t="str">
        <f aca="true">IF(N450="","Not Yet Inspected",IF(N450="Fail","Fail",IF(D450="","",IF(D450&lt;TODAY(),"Overdue",IF(D450&lt;=TODAY()+30,"Due (within 30 days)","Pass")))))</f>
        <v>Not Yet Inspected</v>
      </c>
      <c r="P450" s="18"/>
      <c r="Q450" s="18"/>
      <c r="R450" s="19"/>
    </row>
    <row r="451" customFormat="false" ht="15.75" hidden="false" customHeight="true" outlineLevel="0" collapsed="false">
      <c r="A451" s="18"/>
      <c r="B451" s="18"/>
      <c r="C451" s="19"/>
      <c r="D451" s="19" t="str">
        <f aca="false">IF(C451="","",DATE(YEAR(C451)+1,MONTH(C451),DAY(C451)))</f>
        <v/>
      </c>
      <c r="E451" s="20"/>
      <c r="F451" s="20"/>
      <c r="G451" s="20"/>
      <c r="H451" s="20"/>
      <c r="I451" s="20"/>
      <c r="J451" s="20"/>
      <c r="K451" s="20"/>
      <c r="L451" s="20"/>
      <c r="M451" s="20"/>
      <c r="N451" s="18" t="str">
        <f aca="false">IF(COUNTBLANK(E451:M451)=9,"",IF(COUNTIF(E451:M451,"Fail")&gt;0,"Fail",IF(COUNTBLANK(E451:M451)&gt;0,"Incomplete","Pass")))</f>
        <v/>
      </c>
      <c r="O451" s="18" t="str">
        <f aca="true">IF(N451="","Not Yet Inspected",IF(N451="Fail","Fail",IF(D451="","",IF(D451&lt;TODAY(),"Overdue",IF(D451&lt;=TODAY()+30,"Due (within 30 days)","Pass")))))</f>
        <v>Not Yet Inspected</v>
      </c>
      <c r="P451" s="18"/>
      <c r="Q451" s="18"/>
      <c r="R451" s="19"/>
    </row>
    <row r="452" customFormat="false" ht="15.75" hidden="false" customHeight="true" outlineLevel="0" collapsed="false">
      <c r="A452" s="18"/>
      <c r="B452" s="18"/>
      <c r="C452" s="19"/>
      <c r="D452" s="19" t="str">
        <f aca="false">IF(C452="","",DATE(YEAR(C452)+1,MONTH(C452),DAY(C452)))</f>
        <v/>
      </c>
      <c r="E452" s="20"/>
      <c r="F452" s="20"/>
      <c r="G452" s="20"/>
      <c r="H452" s="20"/>
      <c r="I452" s="20"/>
      <c r="J452" s="20"/>
      <c r="K452" s="20"/>
      <c r="L452" s="20"/>
      <c r="M452" s="20"/>
      <c r="N452" s="18" t="str">
        <f aca="false">IF(COUNTBLANK(E452:M452)=9,"",IF(COUNTIF(E452:M452,"Fail")&gt;0,"Fail",IF(COUNTBLANK(E452:M452)&gt;0,"Incomplete","Pass")))</f>
        <v/>
      </c>
      <c r="O452" s="18" t="str">
        <f aca="true">IF(N452="","Not Yet Inspected",IF(N452="Fail","Fail",IF(D452="","",IF(D452&lt;TODAY(),"Overdue",IF(D452&lt;=TODAY()+30,"Due (within 30 days)","Pass")))))</f>
        <v>Not Yet Inspected</v>
      </c>
      <c r="P452" s="18"/>
      <c r="Q452" s="18"/>
      <c r="R452" s="19"/>
    </row>
    <row r="453" customFormat="false" ht="15.75" hidden="false" customHeight="true" outlineLevel="0" collapsed="false">
      <c r="A453" s="18"/>
      <c r="B453" s="18"/>
      <c r="C453" s="19"/>
      <c r="D453" s="19" t="str">
        <f aca="false">IF(C453="","",DATE(YEAR(C453)+1,MONTH(C453),DAY(C453)))</f>
        <v/>
      </c>
      <c r="E453" s="20"/>
      <c r="F453" s="20"/>
      <c r="G453" s="20"/>
      <c r="H453" s="20"/>
      <c r="I453" s="20"/>
      <c r="J453" s="20"/>
      <c r="K453" s="20"/>
      <c r="L453" s="20"/>
      <c r="M453" s="20"/>
      <c r="N453" s="18" t="str">
        <f aca="false">IF(COUNTBLANK(E453:M453)=9,"",IF(COUNTIF(E453:M453,"Fail")&gt;0,"Fail",IF(COUNTBLANK(E453:M453)&gt;0,"Incomplete","Pass")))</f>
        <v/>
      </c>
      <c r="O453" s="18" t="str">
        <f aca="true">IF(N453="","Not Yet Inspected",IF(N453="Fail","Fail",IF(D453="","",IF(D453&lt;TODAY(),"Overdue",IF(D453&lt;=TODAY()+30,"Due (within 30 days)","Pass")))))</f>
        <v>Not Yet Inspected</v>
      </c>
      <c r="P453" s="18"/>
      <c r="Q453" s="18"/>
      <c r="R453" s="19"/>
    </row>
    <row r="454" customFormat="false" ht="15.75" hidden="false" customHeight="true" outlineLevel="0" collapsed="false">
      <c r="A454" s="18"/>
      <c r="B454" s="18"/>
      <c r="C454" s="19"/>
      <c r="D454" s="19" t="str">
        <f aca="false">IF(C454="","",DATE(YEAR(C454)+1,MONTH(C454),DAY(C454)))</f>
        <v/>
      </c>
      <c r="E454" s="20"/>
      <c r="F454" s="20"/>
      <c r="G454" s="20"/>
      <c r="H454" s="20"/>
      <c r="I454" s="20"/>
      <c r="J454" s="20"/>
      <c r="K454" s="20"/>
      <c r="L454" s="20"/>
      <c r="M454" s="20"/>
      <c r="N454" s="18" t="str">
        <f aca="false">IF(COUNTBLANK(E454:M454)=9,"",IF(COUNTIF(E454:M454,"Fail")&gt;0,"Fail",IF(COUNTBLANK(E454:M454)&gt;0,"Incomplete","Pass")))</f>
        <v/>
      </c>
      <c r="O454" s="18" t="str">
        <f aca="true">IF(N454="","Not Yet Inspected",IF(N454="Fail","Fail",IF(D454="","",IF(D454&lt;TODAY(),"Overdue",IF(D454&lt;=TODAY()+30,"Due (within 30 days)","Pass")))))</f>
        <v>Not Yet Inspected</v>
      </c>
      <c r="P454" s="18"/>
      <c r="Q454" s="18"/>
      <c r="R454" s="19"/>
    </row>
    <row r="455" customFormat="false" ht="15.75" hidden="false" customHeight="true" outlineLevel="0" collapsed="false">
      <c r="A455" s="18"/>
      <c r="B455" s="18"/>
      <c r="C455" s="19"/>
      <c r="D455" s="19" t="str">
        <f aca="false">IF(C455="","",DATE(YEAR(C455)+1,MONTH(C455),DAY(C455)))</f>
        <v/>
      </c>
      <c r="E455" s="20"/>
      <c r="F455" s="20"/>
      <c r="G455" s="20"/>
      <c r="H455" s="20"/>
      <c r="I455" s="20"/>
      <c r="J455" s="20"/>
      <c r="K455" s="20"/>
      <c r="L455" s="20"/>
      <c r="M455" s="20"/>
      <c r="N455" s="18" t="str">
        <f aca="false">IF(COUNTBLANK(E455:M455)=9,"",IF(COUNTIF(E455:M455,"Fail")&gt;0,"Fail",IF(COUNTBLANK(E455:M455)&gt;0,"Incomplete","Pass")))</f>
        <v/>
      </c>
      <c r="O455" s="18" t="str">
        <f aca="true">IF(N455="","Not Yet Inspected",IF(N455="Fail","Fail",IF(D455="","",IF(D455&lt;TODAY(),"Overdue",IF(D455&lt;=TODAY()+30,"Due (within 30 days)","Pass")))))</f>
        <v>Not Yet Inspected</v>
      </c>
      <c r="P455" s="18"/>
      <c r="Q455" s="18"/>
      <c r="R455" s="19"/>
    </row>
    <row r="456" customFormat="false" ht="15.75" hidden="false" customHeight="true" outlineLevel="0" collapsed="false">
      <c r="A456" s="18"/>
      <c r="B456" s="18"/>
      <c r="C456" s="19"/>
      <c r="D456" s="19" t="str">
        <f aca="false">IF(C456="","",DATE(YEAR(C456)+1,MONTH(C456),DAY(C456)))</f>
        <v/>
      </c>
      <c r="E456" s="20"/>
      <c r="F456" s="20"/>
      <c r="G456" s="20"/>
      <c r="H456" s="20"/>
      <c r="I456" s="20"/>
      <c r="J456" s="20"/>
      <c r="K456" s="20"/>
      <c r="L456" s="20"/>
      <c r="M456" s="20"/>
      <c r="N456" s="18" t="str">
        <f aca="false">IF(COUNTBLANK(E456:M456)=9,"",IF(COUNTIF(E456:M456,"Fail")&gt;0,"Fail",IF(COUNTBLANK(E456:M456)&gt;0,"Incomplete","Pass")))</f>
        <v/>
      </c>
      <c r="O456" s="18" t="str">
        <f aca="true">IF(N456="","Not Yet Inspected",IF(N456="Fail","Fail",IF(D456="","",IF(D456&lt;TODAY(),"Overdue",IF(D456&lt;=TODAY()+30,"Due (within 30 days)","Pass")))))</f>
        <v>Not Yet Inspected</v>
      </c>
      <c r="P456" s="18"/>
      <c r="Q456" s="18"/>
      <c r="R456" s="19"/>
    </row>
    <row r="457" customFormat="false" ht="15.75" hidden="false" customHeight="true" outlineLevel="0" collapsed="false">
      <c r="A457" s="18"/>
      <c r="B457" s="18"/>
      <c r="C457" s="19"/>
      <c r="D457" s="19" t="str">
        <f aca="false">IF(C457="","",DATE(YEAR(C457)+1,MONTH(C457),DAY(C457)))</f>
        <v/>
      </c>
      <c r="E457" s="20"/>
      <c r="F457" s="20"/>
      <c r="G457" s="20"/>
      <c r="H457" s="20"/>
      <c r="I457" s="20"/>
      <c r="J457" s="20"/>
      <c r="K457" s="20"/>
      <c r="L457" s="20"/>
      <c r="M457" s="20"/>
      <c r="N457" s="18" t="str">
        <f aca="false">IF(COUNTBLANK(E457:M457)=9,"",IF(COUNTIF(E457:M457,"Fail")&gt;0,"Fail",IF(COUNTBLANK(E457:M457)&gt;0,"Incomplete","Pass")))</f>
        <v/>
      </c>
      <c r="O457" s="18" t="str">
        <f aca="true">IF(N457="","Not Yet Inspected",IF(N457="Fail","Fail",IF(D457="","",IF(D457&lt;TODAY(),"Overdue",IF(D457&lt;=TODAY()+30,"Due (within 30 days)","Pass")))))</f>
        <v>Not Yet Inspected</v>
      </c>
      <c r="P457" s="18"/>
      <c r="Q457" s="18"/>
      <c r="R457" s="19"/>
    </row>
    <row r="458" customFormat="false" ht="15.75" hidden="false" customHeight="true" outlineLevel="0" collapsed="false">
      <c r="A458" s="18"/>
      <c r="B458" s="18"/>
      <c r="C458" s="19"/>
      <c r="D458" s="19" t="str">
        <f aca="false">IF(C458="","",DATE(YEAR(C458)+1,MONTH(C458),DAY(C458)))</f>
        <v/>
      </c>
      <c r="E458" s="20"/>
      <c r="F458" s="20"/>
      <c r="G458" s="20"/>
      <c r="H458" s="20"/>
      <c r="I458" s="20"/>
      <c r="J458" s="20"/>
      <c r="K458" s="20"/>
      <c r="L458" s="20"/>
      <c r="M458" s="20"/>
      <c r="N458" s="18" t="str">
        <f aca="false">IF(COUNTBLANK(E458:M458)=9,"",IF(COUNTIF(E458:M458,"Fail")&gt;0,"Fail",IF(COUNTBLANK(E458:M458)&gt;0,"Incomplete","Pass")))</f>
        <v/>
      </c>
      <c r="O458" s="18" t="str">
        <f aca="true">IF(N458="","Not Yet Inspected",IF(N458="Fail","Fail",IF(D458="","",IF(D458&lt;TODAY(),"Overdue",IF(D458&lt;=TODAY()+30,"Due (within 30 days)","Pass")))))</f>
        <v>Not Yet Inspected</v>
      </c>
      <c r="P458" s="18"/>
      <c r="Q458" s="18"/>
      <c r="R458" s="19"/>
    </row>
    <row r="459" customFormat="false" ht="15.75" hidden="false" customHeight="true" outlineLevel="0" collapsed="false">
      <c r="A459" s="18"/>
      <c r="B459" s="18"/>
      <c r="C459" s="19"/>
      <c r="D459" s="19" t="str">
        <f aca="false">IF(C459="","",DATE(YEAR(C459)+1,MONTH(C459),DAY(C459)))</f>
        <v/>
      </c>
      <c r="E459" s="20"/>
      <c r="F459" s="20"/>
      <c r="G459" s="20"/>
      <c r="H459" s="20"/>
      <c r="I459" s="20"/>
      <c r="J459" s="20"/>
      <c r="K459" s="20"/>
      <c r="L459" s="20"/>
      <c r="M459" s="20"/>
      <c r="N459" s="18" t="str">
        <f aca="false">IF(COUNTBLANK(E459:M459)=9,"",IF(COUNTIF(E459:M459,"Fail")&gt;0,"Fail",IF(COUNTBLANK(E459:M459)&gt;0,"Incomplete","Pass")))</f>
        <v/>
      </c>
      <c r="O459" s="18" t="str">
        <f aca="true">IF(N459="","Not Yet Inspected",IF(N459="Fail","Fail",IF(D459="","",IF(D459&lt;TODAY(),"Overdue",IF(D459&lt;=TODAY()+30,"Due (within 30 days)","Pass")))))</f>
        <v>Not Yet Inspected</v>
      </c>
      <c r="P459" s="18"/>
      <c r="Q459" s="18"/>
      <c r="R459" s="19"/>
    </row>
    <row r="460" customFormat="false" ht="15.75" hidden="false" customHeight="true" outlineLevel="0" collapsed="false">
      <c r="A460" s="18"/>
      <c r="B460" s="18"/>
      <c r="C460" s="19"/>
      <c r="D460" s="19" t="str">
        <f aca="false">IF(C460="","",DATE(YEAR(C460)+1,MONTH(C460),DAY(C460)))</f>
        <v/>
      </c>
      <c r="E460" s="20"/>
      <c r="F460" s="20"/>
      <c r="G460" s="20"/>
      <c r="H460" s="20"/>
      <c r="I460" s="20"/>
      <c r="J460" s="20"/>
      <c r="K460" s="20"/>
      <c r="L460" s="20"/>
      <c r="M460" s="20"/>
      <c r="N460" s="18" t="str">
        <f aca="false">IF(COUNTBLANK(E460:M460)=9,"",IF(COUNTIF(E460:M460,"Fail")&gt;0,"Fail",IF(COUNTBLANK(E460:M460)&gt;0,"Incomplete","Pass")))</f>
        <v/>
      </c>
      <c r="O460" s="18" t="str">
        <f aca="true">IF(N460="","Not Yet Inspected",IF(N460="Fail","Fail",IF(D460="","",IF(D460&lt;TODAY(),"Overdue",IF(D460&lt;=TODAY()+30,"Due (within 30 days)","Pass")))))</f>
        <v>Not Yet Inspected</v>
      </c>
      <c r="P460" s="18"/>
      <c r="Q460" s="18"/>
      <c r="R460" s="19"/>
    </row>
    <row r="461" customFormat="false" ht="15.75" hidden="false" customHeight="true" outlineLevel="0" collapsed="false">
      <c r="A461" s="18"/>
      <c r="B461" s="18"/>
      <c r="C461" s="19"/>
      <c r="D461" s="19" t="str">
        <f aca="false">IF(C461="","",DATE(YEAR(C461)+1,MONTH(C461),DAY(C461)))</f>
        <v/>
      </c>
      <c r="E461" s="20"/>
      <c r="F461" s="20"/>
      <c r="G461" s="20"/>
      <c r="H461" s="20"/>
      <c r="I461" s="20"/>
      <c r="J461" s="20"/>
      <c r="K461" s="20"/>
      <c r="L461" s="20"/>
      <c r="M461" s="20"/>
      <c r="N461" s="18" t="str">
        <f aca="false">IF(COUNTBLANK(E461:M461)=9,"",IF(COUNTIF(E461:M461,"Fail")&gt;0,"Fail",IF(COUNTBLANK(E461:M461)&gt;0,"Incomplete","Pass")))</f>
        <v/>
      </c>
      <c r="O461" s="18" t="str">
        <f aca="true">IF(N461="","Not Yet Inspected",IF(N461="Fail","Fail",IF(D461="","",IF(D461&lt;TODAY(),"Overdue",IF(D461&lt;=TODAY()+30,"Due (within 30 days)","Pass")))))</f>
        <v>Not Yet Inspected</v>
      </c>
      <c r="P461" s="18"/>
      <c r="Q461" s="18"/>
      <c r="R461" s="19"/>
    </row>
    <row r="462" customFormat="false" ht="15.75" hidden="false" customHeight="true" outlineLevel="0" collapsed="false">
      <c r="A462" s="18"/>
      <c r="B462" s="18"/>
      <c r="C462" s="19"/>
      <c r="D462" s="19" t="str">
        <f aca="false">IF(C462="","",DATE(YEAR(C462)+1,MONTH(C462),DAY(C462)))</f>
        <v/>
      </c>
      <c r="E462" s="20"/>
      <c r="F462" s="20"/>
      <c r="G462" s="20"/>
      <c r="H462" s="20"/>
      <c r="I462" s="20"/>
      <c r="J462" s="20"/>
      <c r="K462" s="20"/>
      <c r="L462" s="20"/>
      <c r="M462" s="20"/>
      <c r="N462" s="18" t="str">
        <f aca="false">IF(COUNTBLANK(E462:M462)=9,"",IF(COUNTIF(E462:M462,"Fail")&gt;0,"Fail",IF(COUNTBLANK(E462:M462)&gt;0,"Incomplete","Pass")))</f>
        <v/>
      </c>
      <c r="O462" s="18" t="str">
        <f aca="true">IF(N462="","Not Yet Inspected",IF(N462="Fail","Fail",IF(D462="","",IF(D462&lt;TODAY(),"Overdue",IF(D462&lt;=TODAY()+30,"Due (within 30 days)","Pass")))))</f>
        <v>Not Yet Inspected</v>
      </c>
      <c r="P462" s="18"/>
      <c r="Q462" s="18"/>
      <c r="R462" s="19"/>
    </row>
    <row r="463" customFormat="false" ht="15.75" hidden="false" customHeight="true" outlineLevel="0" collapsed="false">
      <c r="A463" s="18"/>
      <c r="B463" s="18"/>
      <c r="C463" s="19"/>
      <c r="D463" s="19" t="str">
        <f aca="false">IF(C463="","",DATE(YEAR(C463)+1,MONTH(C463),DAY(C463)))</f>
        <v/>
      </c>
      <c r="E463" s="20"/>
      <c r="F463" s="20"/>
      <c r="G463" s="20"/>
      <c r="H463" s="20"/>
      <c r="I463" s="20"/>
      <c r="J463" s="20"/>
      <c r="K463" s="20"/>
      <c r="L463" s="20"/>
      <c r="M463" s="20"/>
      <c r="N463" s="18" t="str">
        <f aca="false">IF(COUNTBLANK(E463:M463)=9,"",IF(COUNTIF(E463:M463,"Fail")&gt;0,"Fail",IF(COUNTBLANK(E463:M463)&gt;0,"Incomplete","Pass")))</f>
        <v/>
      </c>
      <c r="O463" s="18" t="str">
        <f aca="true">IF(N463="","Not Yet Inspected",IF(N463="Fail","Fail",IF(D463="","",IF(D463&lt;TODAY(),"Overdue",IF(D463&lt;=TODAY()+30,"Due (within 30 days)","Pass")))))</f>
        <v>Not Yet Inspected</v>
      </c>
      <c r="P463" s="18"/>
      <c r="Q463" s="18"/>
      <c r="R463" s="19"/>
    </row>
    <row r="464" customFormat="false" ht="15.75" hidden="false" customHeight="true" outlineLevel="0" collapsed="false">
      <c r="A464" s="18"/>
      <c r="B464" s="18"/>
      <c r="C464" s="19"/>
      <c r="D464" s="19" t="str">
        <f aca="false">IF(C464="","",DATE(YEAR(C464)+1,MONTH(C464),DAY(C464)))</f>
        <v/>
      </c>
      <c r="E464" s="20"/>
      <c r="F464" s="20"/>
      <c r="G464" s="20"/>
      <c r="H464" s="20"/>
      <c r="I464" s="20"/>
      <c r="J464" s="20"/>
      <c r="K464" s="20"/>
      <c r="L464" s="20"/>
      <c r="M464" s="20"/>
      <c r="N464" s="18" t="str">
        <f aca="false">IF(COUNTBLANK(E464:M464)=9,"",IF(COUNTIF(E464:M464,"Fail")&gt;0,"Fail",IF(COUNTBLANK(E464:M464)&gt;0,"Incomplete","Pass")))</f>
        <v/>
      </c>
      <c r="O464" s="18" t="str">
        <f aca="true">IF(N464="","Not Yet Inspected",IF(N464="Fail","Fail",IF(D464="","",IF(D464&lt;TODAY(),"Overdue",IF(D464&lt;=TODAY()+30,"Due (within 30 days)","Pass")))))</f>
        <v>Not Yet Inspected</v>
      </c>
      <c r="P464" s="18"/>
      <c r="Q464" s="18"/>
      <c r="R464" s="19"/>
    </row>
    <row r="465" customFormat="false" ht="15.75" hidden="false" customHeight="true" outlineLevel="0" collapsed="false">
      <c r="A465" s="18"/>
      <c r="B465" s="18"/>
      <c r="C465" s="19"/>
      <c r="D465" s="19" t="str">
        <f aca="false">IF(C465="","",DATE(YEAR(C465)+1,MONTH(C465),DAY(C465)))</f>
        <v/>
      </c>
      <c r="E465" s="20"/>
      <c r="F465" s="20"/>
      <c r="G465" s="20"/>
      <c r="H465" s="20"/>
      <c r="I465" s="20"/>
      <c r="J465" s="20"/>
      <c r="K465" s="20"/>
      <c r="L465" s="20"/>
      <c r="M465" s="20"/>
      <c r="N465" s="18" t="str">
        <f aca="false">IF(COUNTBLANK(E465:M465)=9,"",IF(COUNTIF(E465:M465,"Fail")&gt;0,"Fail",IF(COUNTBLANK(E465:M465)&gt;0,"Incomplete","Pass")))</f>
        <v/>
      </c>
      <c r="O465" s="18" t="str">
        <f aca="true">IF(N465="","Not Yet Inspected",IF(N465="Fail","Fail",IF(D465="","",IF(D465&lt;TODAY(),"Overdue",IF(D465&lt;=TODAY()+30,"Due (within 30 days)","Pass")))))</f>
        <v>Not Yet Inspected</v>
      </c>
      <c r="P465" s="18"/>
      <c r="Q465" s="18"/>
      <c r="R465" s="19"/>
    </row>
    <row r="466" customFormat="false" ht="15.75" hidden="false" customHeight="true" outlineLevel="0" collapsed="false">
      <c r="A466" s="18"/>
      <c r="B466" s="18"/>
      <c r="C466" s="19"/>
      <c r="D466" s="19" t="str">
        <f aca="false">IF(C466="","",DATE(YEAR(C466)+1,MONTH(C466),DAY(C466)))</f>
        <v/>
      </c>
      <c r="E466" s="20"/>
      <c r="F466" s="20"/>
      <c r="G466" s="20"/>
      <c r="H466" s="20"/>
      <c r="I466" s="20"/>
      <c r="J466" s="20"/>
      <c r="K466" s="20"/>
      <c r="L466" s="20"/>
      <c r="M466" s="20"/>
      <c r="N466" s="18" t="str">
        <f aca="false">IF(COUNTBLANK(E466:M466)=9,"",IF(COUNTIF(E466:M466,"Fail")&gt;0,"Fail",IF(COUNTBLANK(E466:M466)&gt;0,"Incomplete","Pass")))</f>
        <v/>
      </c>
      <c r="O466" s="18" t="str">
        <f aca="true">IF(N466="","Not Yet Inspected",IF(N466="Fail","Fail",IF(D466="","",IF(D466&lt;TODAY(),"Overdue",IF(D466&lt;=TODAY()+30,"Due (within 30 days)","Pass")))))</f>
        <v>Not Yet Inspected</v>
      </c>
      <c r="P466" s="18"/>
      <c r="Q466" s="18"/>
      <c r="R466" s="19"/>
    </row>
    <row r="467" customFormat="false" ht="15.75" hidden="false" customHeight="true" outlineLevel="0" collapsed="false">
      <c r="A467" s="18"/>
      <c r="B467" s="18"/>
      <c r="C467" s="19"/>
      <c r="D467" s="19" t="str">
        <f aca="false">IF(C467="","",DATE(YEAR(C467)+1,MONTH(C467),DAY(C467)))</f>
        <v/>
      </c>
      <c r="E467" s="20"/>
      <c r="F467" s="20"/>
      <c r="G467" s="20"/>
      <c r="H467" s="20"/>
      <c r="I467" s="20"/>
      <c r="J467" s="20"/>
      <c r="K467" s="20"/>
      <c r="L467" s="20"/>
      <c r="M467" s="20"/>
      <c r="N467" s="18" t="str">
        <f aca="false">IF(COUNTBLANK(E467:M467)=9,"",IF(COUNTIF(E467:M467,"Fail")&gt;0,"Fail",IF(COUNTBLANK(E467:M467)&gt;0,"Incomplete","Pass")))</f>
        <v/>
      </c>
      <c r="O467" s="18" t="str">
        <f aca="true">IF(N467="","Not Yet Inspected",IF(N467="Fail","Fail",IF(D467="","",IF(D467&lt;TODAY(),"Overdue",IF(D467&lt;=TODAY()+30,"Due (within 30 days)","Pass")))))</f>
        <v>Not Yet Inspected</v>
      </c>
      <c r="P467" s="18"/>
      <c r="Q467" s="18"/>
      <c r="R467" s="19"/>
    </row>
    <row r="468" customFormat="false" ht="15.75" hidden="false" customHeight="true" outlineLevel="0" collapsed="false">
      <c r="A468" s="18"/>
      <c r="B468" s="18"/>
      <c r="C468" s="19"/>
      <c r="D468" s="19" t="str">
        <f aca="false">IF(C468="","",DATE(YEAR(C468)+1,MONTH(C468),DAY(C468)))</f>
        <v/>
      </c>
      <c r="E468" s="20"/>
      <c r="F468" s="20"/>
      <c r="G468" s="20"/>
      <c r="H468" s="20"/>
      <c r="I468" s="20"/>
      <c r="J468" s="20"/>
      <c r="K468" s="20"/>
      <c r="L468" s="20"/>
      <c r="M468" s="20"/>
      <c r="N468" s="18" t="str">
        <f aca="false">IF(COUNTBLANK(E468:M468)=9,"",IF(COUNTIF(E468:M468,"Fail")&gt;0,"Fail",IF(COUNTBLANK(E468:M468)&gt;0,"Incomplete","Pass")))</f>
        <v/>
      </c>
      <c r="O468" s="18" t="str">
        <f aca="true">IF(N468="","Not Yet Inspected",IF(N468="Fail","Fail",IF(D468="","",IF(D468&lt;TODAY(),"Overdue",IF(D468&lt;=TODAY()+30,"Due (within 30 days)","Pass")))))</f>
        <v>Not Yet Inspected</v>
      </c>
      <c r="P468" s="18"/>
      <c r="Q468" s="18"/>
      <c r="R468" s="19"/>
    </row>
    <row r="469" customFormat="false" ht="15.75" hidden="false" customHeight="true" outlineLevel="0" collapsed="false">
      <c r="A469" s="18"/>
      <c r="B469" s="18"/>
      <c r="C469" s="19"/>
      <c r="D469" s="19" t="str">
        <f aca="false">IF(C469="","",DATE(YEAR(C469)+1,MONTH(C469),DAY(C469)))</f>
        <v/>
      </c>
      <c r="E469" s="20"/>
      <c r="F469" s="20"/>
      <c r="G469" s="20"/>
      <c r="H469" s="20"/>
      <c r="I469" s="20"/>
      <c r="J469" s="20"/>
      <c r="K469" s="20"/>
      <c r="L469" s="20"/>
      <c r="M469" s="20"/>
      <c r="N469" s="18" t="str">
        <f aca="false">IF(COUNTBLANK(E469:M469)=9,"",IF(COUNTIF(E469:M469,"Fail")&gt;0,"Fail",IF(COUNTBLANK(E469:M469)&gt;0,"Incomplete","Pass")))</f>
        <v/>
      </c>
      <c r="O469" s="18" t="str">
        <f aca="true">IF(N469="","Not Yet Inspected",IF(N469="Fail","Fail",IF(D469="","",IF(D469&lt;TODAY(),"Overdue",IF(D469&lt;=TODAY()+30,"Due (within 30 days)","Pass")))))</f>
        <v>Not Yet Inspected</v>
      </c>
      <c r="P469" s="18"/>
      <c r="Q469" s="18"/>
      <c r="R469" s="19"/>
    </row>
    <row r="470" customFormat="false" ht="15.75" hidden="false" customHeight="true" outlineLevel="0" collapsed="false">
      <c r="A470" s="18"/>
      <c r="B470" s="18"/>
      <c r="C470" s="19"/>
      <c r="D470" s="19" t="str">
        <f aca="false">IF(C470="","",DATE(YEAR(C470)+1,MONTH(C470),DAY(C470)))</f>
        <v/>
      </c>
      <c r="E470" s="20"/>
      <c r="F470" s="20"/>
      <c r="G470" s="20"/>
      <c r="H470" s="20"/>
      <c r="I470" s="20"/>
      <c r="J470" s="20"/>
      <c r="K470" s="20"/>
      <c r="L470" s="20"/>
      <c r="M470" s="20"/>
      <c r="N470" s="18" t="str">
        <f aca="false">IF(COUNTBLANK(E470:M470)=9,"",IF(COUNTIF(E470:M470,"Fail")&gt;0,"Fail",IF(COUNTBLANK(E470:M470)&gt;0,"Incomplete","Pass")))</f>
        <v/>
      </c>
      <c r="O470" s="18" t="str">
        <f aca="true">IF(N470="","Not Yet Inspected",IF(N470="Fail","Fail",IF(D470="","",IF(D470&lt;TODAY(),"Overdue",IF(D470&lt;=TODAY()+30,"Due (within 30 days)","Pass")))))</f>
        <v>Not Yet Inspected</v>
      </c>
      <c r="P470" s="18"/>
      <c r="Q470" s="18"/>
      <c r="R470" s="19"/>
    </row>
    <row r="471" customFormat="false" ht="15.75" hidden="false" customHeight="true" outlineLevel="0" collapsed="false">
      <c r="A471" s="18"/>
      <c r="B471" s="18"/>
      <c r="C471" s="19"/>
      <c r="D471" s="19" t="str">
        <f aca="false">IF(C471="","",DATE(YEAR(C471)+1,MONTH(C471),DAY(C471)))</f>
        <v/>
      </c>
      <c r="E471" s="20"/>
      <c r="F471" s="20"/>
      <c r="G471" s="20"/>
      <c r="H471" s="20"/>
      <c r="I471" s="20"/>
      <c r="J471" s="20"/>
      <c r="K471" s="20"/>
      <c r="L471" s="20"/>
      <c r="M471" s="20"/>
      <c r="N471" s="18" t="str">
        <f aca="false">IF(COUNTBLANK(E471:M471)=9,"",IF(COUNTIF(E471:M471,"Fail")&gt;0,"Fail",IF(COUNTBLANK(E471:M471)&gt;0,"Incomplete","Pass")))</f>
        <v/>
      </c>
      <c r="O471" s="18" t="str">
        <f aca="true">IF(N471="","Not Yet Inspected",IF(N471="Fail","Fail",IF(D471="","",IF(D471&lt;TODAY(),"Overdue",IF(D471&lt;=TODAY()+30,"Due (within 30 days)","Pass")))))</f>
        <v>Not Yet Inspected</v>
      </c>
      <c r="P471" s="18"/>
      <c r="Q471" s="18"/>
      <c r="R471" s="19"/>
    </row>
    <row r="472" customFormat="false" ht="15.75" hidden="false" customHeight="true" outlineLevel="0" collapsed="false">
      <c r="A472" s="18"/>
      <c r="B472" s="18"/>
      <c r="C472" s="19"/>
      <c r="D472" s="19" t="str">
        <f aca="false">IF(C472="","",DATE(YEAR(C472)+1,MONTH(C472),DAY(C472)))</f>
        <v/>
      </c>
      <c r="E472" s="20"/>
      <c r="F472" s="20"/>
      <c r="G472" s="20"/>
      <c r="H472" s="20"/>
      <c r="I472" s="20"/>
      <c r="J472" s="20"/>
      <c r="K472" s="20"/>
      <c r="L472" s="20"/>
      <c r="M472" s="20"/>
      <c r="N472" s="18" t="str">
        <f aca="false">IF(COUNTBLANK(E472:M472)=9,"",IF(COUNTIF(E472:M472,"Fail")&gt;0,"Fail",IF(COUNTBLANK(E472:M472)&gt;0,"Incomplete","Pass")))</f>
        <v/>
      </c>
      <c r="O472" s="18" t="str">
        <f aca="true">IF(N472="","Not Yet Inspected",IF(N472="Fail","Fail",IF(D472="","",IF(D472&lt;TODAY(),"Overdue",IF(D472&lt;=TODAY()+30,"Due (within 30 days)","Pass")))))</f>
        <v>Not Yet Inspected</v>
      </c>
      <c r="P472" s="18"/>
      <c r="Q472" s="18"/>
      <c r="R472" s="19"/>
    </row>
    <row r="473" customFormat="false" ht="15.75" hidden="false" customHeight="true" outlineLevel="0" collapsed="false">
      <c r="A473" s="18"/>
      <c r="B473" s="18"/>
      <c r="C473" s="19"/>
      <c r="D473" s="19" t="str">
        <f aca="false">IF(C473="","",DATE(YEAR(C473)+1,MONTH(C473),DAY(C473)))</f>
        <v/>
      </c>
      <c r="E473" s="20"/>
      <c r="F473" s="20"/>
      <c r="G473" s="20"/>
      <c r="H473" s="20"/>
      <c r="I473" s="20"/>
      <c r="J473" s="20"/>
      <c r="K473" s="20"/>
      <c r="L473" s="20"/>
      <c r="M473" s="20"/>
      <c r="N473" s="18" t="str">
        <f aca="false">IF(COUNTBLANK(E473:M473)=9,"",IF(COUNTIF(E473:M473,"Fail")&gt;0,"Fail",IF(COUNTBLANK(E473:M473)&gt;0,"Incomplete","Pass")))</f>
        <v/>
      </c>
      <c r="O473" s="18" t="str">
        <f aca="true">IF(N473="","Not Yet Inspected",IF(N473="Fail","Fail",IF(D473="","",IF(D473&lt;TODAY(),"Overdue",IF(D473&lt;=TODAY()+30,"Due (within 30 days)","Pass")))))</f>
        <v>Not Yet Inspected</v>
      </c>
      <c r="P473" s="18"/>
      <c r="Q473" s="18"/>
      <c r="R473" s="19"/>
    </row>
    <row r="474" customFormat="false" ht="15.75" hidden="false" customHeight="true" outlineLevel="0" collapsed="false">
      <c r="A474" s="18"/>
      <c r="B474" s="18"/>
      <c r="C474" s="19"/>
      <c r="D474" s="19" t="str">
        <f aca="false">IF(C474="","",DATE(YEAR(C474)+1,MONTH(C474),DAY(C474)))</f>
        <v/>
      </c>
      <c r="E474" s="20"/>
      <c r="F474" s="20"/>
      <c r="G474" s="20"/>
      <c r="H474" s="20"/>
      <c r="I474" s="20"/>
      <c r="J474" s="20"/>
      <c r="K474" s="20"/>
      <c r="L474" s="20"/>
      <c r="M474" s="20"/>
      <c r="N474" s="18" t="str">
        <f aca="false">IF(COUNTBLANK(E474:M474)=9,"",IF(COUNTIF(E474:M474,"Fail")&gt;0,"Fail",IF(COUNTBLANK(E474:M474)&gt;0,"Incomplete","Pass")))</f>
        <v/>
      </c>
      <c r="O474" s="18" t="str">
        <f aca="true">IF(N474="","Not Yet Inspected",IF(N474="Fail","Fail",IF(D474="","",IF(D474&lt;TODAY(),"Overdue",IF(D474&lt;=TODAY()+30,"Due (within 30 days)","Pass")))))</f>
        <v>Not Yet Inspected</v>
      </c>
      <c r="P474" s="18"/>
      <c r="Q474" s="18"/>
      <c r="R474" s="19"/>
    </row>
    <row r="475" customFormat="false" ht="15.75" hidden="false" customHeight="true" outlineLevel="0" collapsed="false">
      <c r="A475" s="18"/>
      <c r="B475" s="18"/>
      <c r="C475" s="19"/>
      <c r="D475" s="19" t="str">
        <f aca="false">IF(C475="","",DATE(YEAR(C475)+1,MONTH(C475),DAY(C475)))</f>
        <v/>
      </c>
      <c r="E475" s="20"/>
      <c r="F475" s="20"/>
      <c r="G475" s="20"/>
      <c r="H475" s="20"/>
      <c r="I475" s="20"/>
      <c r="J475" s="20"/>
      <c r="K475" s="20"/>
      <c r="L475" s="20"/>
      <c r="M475" s="20"/>
      <c r="N475" s="18" t="str">
        <f aca="false">IF(COUNTBLANK(E475:M475)=9,"",IF(COUNTIF(E475:M475,"Fail")&gt;0,"Fail",IF(COUNTBLANK(E475:M475)&gt;0,"Incomplete","Pass")))</f>
        <v/>
      </c>
      <c r="O475" s="18" t="str">
        <f aca="true">IF(N475="","Not Yet Inspected",IF(N475="Fail","Fail",IF(D475="","",IF(D475&lt;TODAY(),"Overdue",IF(D475&lt;=TODAY()+30,"Due (within 30 days)","Pass")))))</f>
        <v>Not Yet Inspected</v>
      </c>
      <c r="P475" s="18"/>
      <c r="Q475" s="18"/>
      <c r="R475" s="19"/>
    </row>
    <row r="476" customFormat="false" ht="15.75" hidden="false" customHeight="true" outlineLevel="0" collapsed="false">
      <c r="A476" s="18"/>
      <c r="B476" s="18"/>
      <c r="C476" s="19"/>
      <c r="D476" s="19" t="str">
        <f aca="false">IF(C476="","",DATE(YEAR(C476)+1,MONTH(C476),DAY(C476)))</f>
        <v/>
      </c>
      <c r="E476" s="20"/>
      <c r="F476" s="20"/>
      <c r="G476" s="20"/>
      <c r="H476" s="20"/>
      <c r="I476" s="20"/>
      <c r="J476" s="20"/>
      <c r="K476" s="20"/>
      <c r="L476" s="20"/>
      <c r="M476" s="20"/>
      <c r="N476" s="18" t="str">
        <f aca="false">IF(COUNTBLANK(E476:M476)=9,"",IF(COUNTIF(E476:M476,"Fail")&gt;0,"Fail",IF(COUNTBLANK(E476:M476)&gt;0,"Incomplete","Pass")))</f>
        <v/>
      </c>
      <c r="O476" s="18" t="str">
        <f aca="true">IF(N476="","Not Yet Inspected",IF(N476="Fail","Fail",IF(D476="","",IF(D476&lt;TODAY(),"Overdue",IF(D476&lt;=TODAY()+30,"Due (within 30 days)","Pass")))))</f>
        <v>Not Yet Inspected</v>
      </c>
      <c r="P476" s="18"/>
      <c r="Q476" s="18"/>
      <c r="R476" s="19"/>
    </row>
    <row r="477" customFormat="false" ht="15.75" hidden="false" customHeight="true" outlineLevel="0" collapsed="false">
      <c r="A477" s="18"/>
      <c r="B477" s="18"/>
      <c r="C477" s="19"/>
      <c r="D477" s="19" t="str">
        <f aca="false">IF(C477="","",DATE(YEAR(C477)+1,MONTH(C477),DAY(C477)))</f>
        <v/>
      </c>
      <c r="E477" s="20"/>
      <c r="F477" s="20"/>
      <c r="G477" s="20"/>
      <c r="H477" s="20"/>
      <c r="I477" s="20"/>
      <c r="J477" s="20"/>
      <c r="K477" s="20"/>
      <c r="L477" s="20"/>
      <c r="M477" s="20"/>
      <c r="N477" s="18" t="str">
        <f aca="false">IF(COUNTBLANK(E477:M477)=9,"",IF(COUNTIF(E477:M477,"Fail")&gt;0,"Fail",IF(COUNTBLANK(E477:M477)&gt;0,"Incomplete","Pass")))</f>
        <v/>
      </c>
      <c r="O477" s="18" t="str">
        <f aca="true">IF(N477="","Not Yet Inspected",IF(N477="Fail","Fail",IF(D477="","",IF(D477&lt;TODAY(),"Overdue",IF(D477&lt;=TODAY()+30,"Due (within 30 days)","Pass")))))</f>
        <v>Not Yet Inspected</v>
      </c>
      <c r="P477" s="18"/>
      <c r="Q477" s="18"/>
      <c r="R477" s="19"/>
    </row>
    <row r="478" customFormat="false" ht="15.75" hidden="false" customHeight="true" outlineLevel="0" collapsed="false">
      <c r="A478" s="18"/>
      <c r="B478" s="18"/>
      <c r="C478" s="19"/>
      <c r="D478" s="19" t="str">
        <f aca="false">IF(C478="","",DATE(YEAR(C478)+1,MONTH(C478),DAY(C478)))</f>
        <v/>
      </c>
      <c r="E478" s="20"/>
      <c r="F478" s="20"/>
      <c r="G478" s="20"/>
      <c r="H478" s="20"/>
      <c r="I478" s="20"/>
      <c r="J478" s="20"/>
      <c r="K478" s="20"/>
      <c r="L478" s="20"/>
      <c r="M478" s="20"/>
      <c r="N478" s="18" t="str">
        <f aca="false">IF(COUNTBLANK(E478:M478)=9,"",IF(COUNTIF(E478:M478,"Fail")&gt;0,"Fail",IF(COUNTBLANK(E478:M478)&gt;0,"Incomplete","Pass")))</f>
        <v/>
      </c>
      <c r="O478" s="18" t="str">
        <f aca="true">IF(N478="","Not Yet Inspected",IF(N478="Fail","Fail",IF(D478="","",IF(D478&lt;TODAY(),"Overdue",IF(D478&lt;=TODAY()+30,"Due (within 30 days)","Pass")))))</f>
        <v>Not Yet Inspected</v>
      </c>
      <c r="P478" s="18"/>
      <c r="Q478" s="18"/>
      <c r="R478" s="19"/>
    </row>
    <row r="479" customFormat="false" ht="15.75" hidden="false" customHeight="true" outlineLevel="0" collapsed="false">
      <c r="A479" s="18"/>
      <c r="B479" s="18"/>
      <c r="C479" s="19"/>
      <c r="D479" s="19" t="str">
        <f aca="false">IF(C479="","",DATE(YEAR(C479)+1,MONTH(C479),DAY(C479)))</f>
        <v/>
      </c>
      <c r="E479" s="20"/>
      <c r="F479" s="20"/>
      <c r="G479" s="20"/>
      <c r="H479" s="20"/>
      <c r="I479" s="20"/>
      <c r="J479" s="20"/>
      <c r="K479" s="20"/>
      <c r="L479" s="20"/>
      <c r="M479" s="20"/>
      <c r="N479" s="18" t="str">
        <f aca="false">IF(COUNTBLANK(E479:M479)=9,"",IF(COUNTIF(E479:M479,"Fail")&gt;0,"Fail",IF(COUNTBLANK(E479:M479)&gt;0,"Incomplete","Pass")))</f>
        <v/>
      </c>
      <c r="O479" s="18" t="str">
        <f aca="true">IF(N479="","Not Yet Inspected",IF(N479="Fail","Fail",IF(D479="","",IF(D479&lt;TODAY(),"Overdue",IF(D479&lt;=TODAY()+30,"Due (within 30 days)","Pass")))))</f>
        <v>Not Yet Inspected</v>
      </c>
      <c r="P479" s="18"/>
      <c r="Q479" s="18"/>
      <c r="R479" s="19"/>
    </row>
    <row r="480" customFormat="false" ht="15.75" hidden="false" customHeight="true" outlineLevel="0" collapsed="false">
      <c r="A480" s="18"/>
      <c r="B480" s="18"/>
      <c r="C480" s="19"/>
      <c r="D480" s="19" t="str">
        <f aca="false">IF(C480="","",DATE(YEAR(C480)+1,MONTH(C480),DAY(C480)))</f>
        <v/>
      </c>
      <c r="E480" s="20"/>
      <c r="F480" s="20"/>
      <c r="G480" s="20"/>
      <c r="H480" s="20"/>
      <c r="I480" s="20"/>
      <c r="J480" s="20"/>
      <c r="K480" s="20"/>
      <c r="L480" s="20"/>
      <c r="M480" s="20"/>
      <c r="N480" s="18" t="str">
        <f aca="false">IF(COUNTBLANK(E480:M480)=9,"",IF(COUNTIF(E480:M480,"Fail")&gt;0,"Fail",IF(COUNTBLANK(E480:M480)&gt;0,"Incomplete","Pass")))</f>
        <v/>
      </c>
      <c r="O480" s="18" t="str">
        <f aca="true">IF(N480="","Not Yet Inspected",IF(N480="Fail","Fail",IF(D480="","",IF(D480&lt;TODAY(),"Overdue",IF(D480&lt;=TODAY()+30,"Due (within 30 days)","Pass")))))</f>
        <v>Not Yet Inspected</v>
      </c>
      <c r="P480" s="18"/>
      <c r="Q480" s="18"/>
      <c r="R480" s="19"/>
    </row>
    <row r="481" customFormat="false" ht="15.75" hidden="false" customHeight="true" outlineLevel="0" collapsed="false">
      <c r="A481" s="18"/>
      <c r="B481" s="18"/>
      <c r="C481" s="19"/>
      <c r="D481" s="19" t="str">
        <f aca="false">IF(C481="","",DATE(YEAR(C481)+1,MONTH(C481),DAY(C481)))</f>
        <v/>
      </c>
      <c r="E481" s="20"/>
      <c r="F481" s="20"/>
      <c r="G481" s="20"/>
      <c r="H481" s="20"/>
      <c r="I481" s="20"/>
      <c r="J481" s="20"/>
      <c r="K481" s="20"/>
      <c r="L481" s="20"/>
      <c r="M481" s="20"/>
      <c r="N481" s="18" t="str">
        <f aca="false">IF(COUNTBLANK(E481:M481)=9,"",IF(COUNTIF(E481:M481,"Fail")&gt;0,"Fail",IF(COUNTBLANK(E481:M481)&gt;0,"Incomplete","Pass")))</f>
        <v/>
      </c>
      <c r="O481" s="18" t="str">
        <f aca="true">IF(N481="","Not Yet Inspected",IF(N481="Fail","Fail",IF(D481="","",IF(D481&lt;TODAY(),"Overdue",IF(D481&lt;=TODAY()+30,"Due (within 30 days)","Pass")))))</f>
        <v>Not Yet Inspected</v>
      </c>
      <c r="P481" s="18"/>
      <c r="Q481" s="18"/>
      <c r="R481" s="19"/>
    </row>
    <row r="482" customFormat="false" ht="15.75" hidden="false" customHeight="true" outlineLevel="0" collapsed="false">
      <c r="A482" s="18"/>
      <c r="B482" s="18"/>
      <c r="C482" s="19"/>
      <c r="D482" s="19" t="str">
        <f aca="false">IF(C482="","",DATE(YEAR(C482)+1,MONTH(C482),DAY(C482)))</f>
        <v/>
      </c>
      <c r="E482" s="20"/>
      <c r="F482" s="20"/>
      <c r="G482" s="20"/>
      <c r="H482" s="20"/>
      <c r="I482" s="20"/>
      <c r="J482" s="20"/>
      <c r="K482" s="20"/>
      <c r="L482" s="20"/>
      <c r="M482" s="20"/>
      <c r="N482" s="18" t="str">
        <f aca="false">IF(COUNTBLANK(E482:M482)=9,"",IF(COUNTIF(E482:M482,"Fail")&gt;0,"Fail",IF(COUNTBLANK(E482:M482)&gt;0,"Incomplete","Pass")))</f>
        <v/>
      </c>
      <c r="O482" s="18" t="str">
        <f aca="true">IF(N482="","Not Yet Inspected",IF(N482="Fail","Fail",IF(D482="","",IF(D482&lt;TODAY(),"Overdue",IF(D482&lt;=TODAY()+30,"Due (within 30 days)","Pass")))))</f>
        <v>Not Yet Inspected</v>
      </c>
      <c r="P482" s="18"/>
      <c r="Q482" s="18"/>
      <c r="R482" s="19"/>
    </row>
    <row r="483" customFormat="false" ht="15.75" hidden="false" customHeight="true" outlineLevel="0" collapsed="false">
      <c r="A483" s="18"/>
      <c r="B483" s="18"/>
      <c r="C483" s="19"/>
      <c r="D483" s="19" t="str">
        <f aca="false">IF(C483="","",DATE(YEAR(C483)+1,MONTH(C483),DAY(C483)))</f>
        <v/>
      </c>
      <c r="E483" s="20"/>
      <c r="F483" s="20"/>
      <c r="G483" s="20"/>
      <c r="H483" s="20"/>
      <c r="I483" s="20"/>
      <c r="J483" s="20"/>
      <c r="K483" s="20"/>
      <c r="L483" s="20"/>
      <c r="M483" s="20"/>
      <c r="N483" s="18" t="str">
        <f aca="false">IF(COUNTBLANK(E483:M483)=9,"",IF(COUNTIF(E483:M483,"Fail")&gt;0,"Fail",IF(COUNTBLANK(E483:M483)&gt;0,"Incomplete","Pass")))</f>
        <v/>
      </c>
      <c r="O483" s="18" t="str">
        <f aca="true">IF(N483="","Not Yet Inspected",IF(N483="Fail","Fail",IF(D483="","",IF(D483&lt;TODAY(),"Overdue",IF(D483&lt;=TODAY()+30,"Due (within 30 days)","Pass")))))</f>
        <v>Not Yet Inspected</v>
      </c>
      <c r="P483" s="18"/>
      <c r="Q483" s="18"/>
      <c r="R483" s="19"/>
    </row>
    <row r="484" customFormat="false" ht="15.75" hidden="false" customHeight="true" outlineLevel="0" collapsed="false">
      <c r="A484" s="18"/>
      <c r="B484" s="18"/>
      <c r="C484" s="19"/>
      <c r="D484" s="19" t="str">
        <f aca="false">IF(C484="","",DATE(YEAR(C484)+1,MONTH(C484),DAY(C484)))</f>
        <v/>
      </c>
      <c r="E484" s="20"/>
      <c r="F484" s="20"/>
      <c r="G484" s="20"/>
      <c r="H484" s="20"/>
      <c r="I484" s="20"/>
      <c r="J484" s="20"/>
      <c r="K484" s="20"/>
      <c r="L484" s="20"/>
      <c r="M484" s="20"/>
      <c r="N484" s="18" t="str">
        <f aca="false">IF(COUNTBLANK(E484:M484)=9,"",IF(COUNTIF(E484:M484,"Fail")&gt;0,"Fail",IF(COUNTBLANK(E484:M484)&gt;0,"Incomplete","Pass")))</f>
        <v/>
      </c>
      <c r="O484" s="18" t="str">
        <f aca="true">IF(N484="","Not Yet Inspected",IF(N484="Fail","Fail",IF(D484="","",IF(D484&lt;TODAY(),"Overdue",IF(D484&lt;=TODAY()+30,"Due (within 30 days)","Pass")))))</f>
        <v>Not Yet Inspected</v>
      </c>
      <c r="P484" s="18"/>
      <c r="Q484" s="18"/>
      <c r="R484" s="19"/>
    </row>
    <row r="485" customFormat="false" ht="15.75" hidden="false" customHeight="true" outlineLevel="0" collapsed="false">
      <c r="A485" s="18"/>
      <c r="B485" s="18"/>
      <c r="C485" s="19"/>
      <c r="D485" s="19" t="str">
        <f aca="false">IF(C485="","",DATE(YEAR(C485)+1,MONTH(C485),DAY(C485)))</f>
        <v/>
      </c>
      <c r="E485" s="20"/>
      <c r="F485" s="20"/>
      <c r="G485" s="20"/>
      <c r="H485" s="20"/>
      <c r="I485" s="20"/>
      <c r="J485" s="20"/>
      <c r="K485" s="20"/>
      <c r="L485" s="20"/>
      <c r="M485" s="20"/>
      <c r="N485" s="18" t="str">
        <f aca="false">IF(COUNTBLANK(E485:M485)=9,"",IF(COUNTIF(E485:M485,"Fail")&gt;0,"Fail",IF(COUNTBLANK(E485:M485)&gt;0,"Incomplete","Pass")))</f>
        <v/>
      </c>
      <c r="O485" s="18" t="str">
        <f aca="true">IF(N485="","Not Yet Inspected",IF(N485="Fail","Fail",IF(D485="","",IF(D485&lt;TODAY(),"Overdue",IF(D485&lt;=TODAY()+30,"Due (within 30 days)","Pass")))))</f>
        <v>Not Yet Inspected</v>
      </c>
      <c r="P485" s="18"/>
      <c r="Q485" s="18"/>
      <c r="R485" s="19"/>
    </row>
    <row r="486" customFormat="false" ht="15.75" hidden="false" customHeight="true" outlineLevel="0" collapsed="false">
      <c r="A486" s="18"/>
      <c r="B486" s="18"/>
      <c r="C486" s="19"/>
      <c r="D486" s="19" t="str">
        <f aca="false">IF(C486="","",DATE(YEAR(C486)+1,MONTH(C486),DAY(C486)))</f>
        <v/>
      </c>
      <c r="E486" s="20"/>
      <c r="F486" s="20"/>
      <c r="G486" s="20"/>
      <c r="H486" s="20"/>
      <c r="I486" s="20"/>
      <c r="J486" s="20"/>
      <c r="K486" s="20"/>
      <c r="L486" s="20"/>
      <c r="M486" s="20"/>
      <c r="N486" s="18" t="str">
        <f aca="false">IF(COUNTBLANK(E486:M486)=9,"",IF(COUNTIF(E486:M486,"Fail")&gt;0,"Fail",IF(COUNTBLANK(E486:M486)&gt;0,"Incomplete","Pass")))</f>
        <v/>
      </c>
      <c r="O486" s="18" t="str">
        <f aca="true">IF(N486="","Not Yet Inspected",IF(N486="Fail","Fail",IF(D486="","",IF(D486&lt;TODAY(),"Overdue",IF(D486&lt;=TODAY()+30,"Due (within 30 days)","Pass")))))</f>
        <v>Not Yet Inspected</v>
      </c>
      <c r="P486" s="18"/>
      <c r="Q486" s="18"/>
      <c r="R486" s="19"/>
    </row>
    <row r="487" customFormat="false" ht="15.75" hidden="false" customHeight="true" outlineLevel="0" collapsed="false">
      <c r="A487" s="18"/>
      <c r="B487" s="18"/>
      <c r="C487" s="19"/>
      <c r="D487" s="19" t="str">
        <f aca="false">IF(C487="","",DATE(YEAR(C487)+1,MONTH(C487),DAY(C487)))</f>
        <v/>
      </c>
      <c r="E487" s="20"/>
      <c r="F487" s="20"/>
      <c r="G487" s="20"/>
      <c r="H487" s="20"/>
      <c r="I487" s="20"/>
      <c r="J487" s="20"/>
      <c r="K487" s="20"/>
      <c r="L487" s="20"/>
      <c r="M487" s="20"/>
      <c r="N487" s="18" t="str">
        <f aca="false">IF(COUNTBLANK(E487:M487)=9,"",IF(COUNTIF(E487:M487,"Fail")&gt;0,"Fail",IF(COUNTBLANK(E487:M487)&gt;0,"Incomplete","Pass")))</f>
        <v/>
      </c>
      <c r="O487" s="18" t="str">
        <f aca="true">IF(N487="","Not Yet Inspected",IF(N487="Fail","Fail",IF(D487="","",IF(D487&lt;TODAY(),"Overdue",IF(D487&lt;=TODAY()+30,"Due (within 30 days)","Pass")))))</f>
        <v>Not Yet Inspected</v>
      </c>
      <c r="P487" s="18"/>
      <c r="Q487" s="18"/>
      <c r="R487" s="19"/>
    </row>
    <row r="488" customFormat="false" ht="15.75" hidden="false" customHeight="true" outlineLevel="0" collapsed="false">
      <c r="A488" s="18"/>
      <c r="B488" s="18"/>
      <c r="C488" s="19"/>
      <c r="D488" s="19" t="str">
        <f aca="false">IF(C488="","",DATE(YEAR(C488)+1,MONTH(C488),DAY(C488)))</f>
        <v/>
      </c>
      <c r="E488" s="20"/>
      <c r="F488" s="20"/>
      <c r="G488" s="20"/>
      <c r="H488" s="20"/>
      <c r="I488" s="20"/>
      <c r="J488" s="20"/>
      <c r="K488" s="20"/>
      <c r="L488" s="20"/>
      <c r="M488" s="20"/>
      <c r="N488" s="18" t="str">
        <f aca="false">IF(COUNTBLANK(E488:M488)=9,"",IF(COUNTIF(E488:M488,"Fail")&gt;0,"Fail",IF(COUNTBLANK(E488:M488)&gt;0,"Incomplete","Pass")))</f>
        <v/>
      </c>
      <c r="O488" s="18" t="str">
        <f aca="true">IF(N488="","Not Yet Inspected",IF(N488="Fail","Fail",IF(D488="","",IF(D488&lt;TODAY(),"Overdue",IF(D488&lt;=TODAY()+30,"Due (within 30 days)","Pass")))))</f>
        <v>Not Yet Inspected</v>
      </c>
      <c r="P488" s="18"/>
      <c r="Q488" s="18"/>
      <c r="R488" s="19"/>
    </row>
    <row r="489" customFormat="false" ht="15.75" hidden="false" customHeight="true" outlineLevel="0" collapsed="false">
      <c r="A489" s="18"/>
      <c r="B489" s="18"/>
      <c r="C489" s="19"/>
      <c r="D489" s="19" t="str">
        <f aca="false">IF(C489="","",DATE(YEAR(C489)+1,MONTH(C489),DAY(C489)))</f>
        <v/>
      </c>
      <c r="E489" s="20"/>
      <c r="F489" s="20"/>
      <c r="G489" s="20"/>
      <c r="H489" s="20"/>
      <c r="I489" s="20"/>
      <c r="J489" s="20"/>
      <c r="K489" s="20"/>
      <c r="L489" s="20"/>
      <c r="M489" s="20"/>
      <c r="N489" s="18" t="str">
        <f aca="false">IF(COUNTBLANK(E489:M489)=9,"",IF(COUNTIF(E489:M489,"Fail")&gt;0,"Fail",IF(COUNTBLANK(E489:M489)&gt;0,"Incomplete","Pass")))</f>
        <v/>
      </c>
      <c r="O489" s="18" t="str">
        <f aca="true">IF(N489="","Not Yet Inspected",IF(N489="Fail","Fail",IF(D489="","",IF(D489&lt;TODAY(),"Overdue",IF(D489&lt;=TODAY()+30,"Due (within 30 days)","Pass")))))</f>
        <v>Not Yet Inspected</v>
      </c>
      <c r="P489" s="18"/>
      <c r="Q489" s="18"/>
      <c r="R489" s="19"/>
    </row>
    <row r="490" customFormat="false" ht="15.75" hidden="false" customHeight="true" outlineLevel="0" collapsed="false">
      <c r="A490" s="18"/>
      <c r="B490" s="18"/>
      <c r="C490" s="19"/>
      <c r="D490" s="19" t="str">
        <f aca="false">IF(C490="","",DATE(YEAR(C490)+1,MONTH(C490),DAY(C490)))</f>
        <v/>
      </c>
      <c r="E490" s="20"/>
      <c r="F490" s="20"/>
      <c r="G490" s="20"/>
      <c r="H490" s="20"/>
      <c r="I490" s="20"/>
      <c r="J490" s="20"/>
      <c r="K490" s="20"/>
      <c r="L490" s="20"/>
      <c r="M490" s="20"/>
      <c r="N490" s="18" t="str">
        <f aca="false">IF(COUNTBLANK(E490:M490)=9,"",IF(COUNTIF(E490:M490,"Fail")&gt;0,"Fail",IF(COUNTBLANK(E490:M490)&gt;0,"Incomplete","Pass")))</f>
        <v/>
      </c>
      <c r="O490" s="18" t="str">
        <f aca="true">IF(N490="","Not Yet Inspected",IF(N490="Fail","Fail",IF(D490="","",IF(D490&lt;TODAY(),"Overdue",IF(D490&lt;=TODAY()+30,"Due (within 30 days)","Pass")))))</f>
        <v>Not Yet Inspected</v>
      </c>
      <c r="P490" s="18"/>
      <c r="Q490" s="18"/>
      <c r="R490" s="19"/>
    </row>
    <row r="491" customFormat="false" ht="15.75" hidden="false" customHeight="true" outlineLevel="0" collapsed="false">
      <c r="A491" s="18"/>
      <c r="B491" s="18"/>
      <c r="C491" s="19"/>
      <c r="D491" s="19" t="str">
        <f aca="false">IF(C491="","",DATE(YEAR(C491)+1,MONTH(C491),DAY(C491)))</f>
        <v/>
      </c>
      <c r="E491" s="20"/>
      <c r="F491" s="20"/>
      <c r="G491" s="20"/>
      <c r="H491" s="20"/>
      <c r="I491" s="20"/>
      <c r="J491" s="20"/>
      <c r="K491" s="20"/>
      <c r="L491" s="20"/>
      <c r="M491" s="20"/>
      <c r="N491" s="18" t="str">
        <f aca="false">IF(COUNTBLANK(E491:M491)=9,"",IF(COUNTIF(E491:M491,"Fail")&gt;0,"Fail",IF(COUNTBLANK(E491:M491)&gt;0,"Incomplete","Pass")))</f>
        <v/>
      </c>
      <c r="O491" s="18" t="str">
        <f aca="true">IF(N491="","Not Yet Inspected",IF(N491="Fail","Fail",IF(D491="","",IF(D491&lt;TODAY(),"Overdue",IF(D491&lt;=TODAY()+30,"Due (within 30 days)","Pass")))))</f>
        <v>Not Yet Inspected</v>
      </c>
      <c r="P491" s="18"/>
      <c r="Q491" s="18"/>
      <c r="R491" s="19"/>
    </row>
    <row r="492" customFormat="false" ht="15.75" hidden="false" customHeight="true" outlineLevel="0" collapsed="false">
      <c r="A492" s="18"/>
      <c r="B492" s="18"/>
      <c r="C492" s="19"/>
      <c r="D492" s="19" t="str">
        <f aca="false">IF(C492="","",DATE(YEAR(C492)+1,MONTH(C492),DAY(C492)))</f>
        <v/>
      </c>
      <c r="E492" s="20"/>
      <c r="F492" s="20"/>
      <c r="G492" s="20"/>
      <c r="H492" s="20"/>
      <c r="I492" s="20"/>
      <c r="J492" s="20"/>
      <c r="K492" s="20"/>
      <c r="L492" s="20"/>
      <c r="M492" s="20"/>
      <c r="N492" s="18" t="str">
        <f aca="false">IF(COUNTBLANK(E492:M492)=9,"",IF(COUNTIF(E492:M492,"Fail")&gt;0,"Fail",IF(COUNTBLANK(E492:M492)&gt;0,"Incomplete","Pass")))</f>
        <v/>
      </c>
      <c r="O492" s="18" t="str">
        <f aca="true">IF(N492="","Not Yet Inspected",IF(N492="Fail","Fail",IF(D492="","",IF(D492&lt;TODAY(),"Overdue",IF(D492&lt;=TODAY()+30,"Due (within 30 days)","Pass")))))</f>
        <v>Not Yet Inspected</v>
      </c>
      <c r="P492" s="18"/>
      <c r="Q492" s="18"/>
      <c r="R492" s="19"/>
    </row>
    <row r="493" customFormat="false" ht="15.75" hidden="false" customHeight="true" outlineLevel="0" collapsed="false">
      <c r="A493" s="18"/>
      <c r="B493" s="18"/>
      <c r="C493" s="19"/>
      <c r="D493" s="19" t="str">
        <f aca="false">IF(C493="","",DATE(YEAR(C493)+1,MONTH(C493),DAY(C493)))</f>
        <v/>
      </c>
      <c r="E493" s="20"/>
      <c r="F493" s="20"/>
      <c r="G493" s="20"/>
      <c r="H493" s="20"/>
      <c r="I493" s="20"/>
      <c r="J493" s="20"/>
      <c r="K493" s="20"/>
      <c r="L493" s="20"/>
      <c r="M493" s="20"/>
      <c r="N493" s="18" t="str">
        <f aca="false">IF(COUNTBLANK(E493:M493)=9,"",IF(COUNTIF(E493:M493,"Fail")&gt;0,"Fail",IF(COUNTBLANK(E493:M493)&gt;0,"Incomplete","Pass")))</f>
        <v/>
      </c>
      <c r="O493" s="18" t="str">
        <f aca="true">IF(N493="","Not Yet Inspected",IF(N493="Fail","Fail",IF(D493="","",IF(D493&lt;TODAY(),"Overdue",IF(D493&lt;=TODAY()+30,"Due (within 30 days)","Pass")))))</f>
        <v>Not Yet Inspected</v>
      </c>
      <c r="P493" s="18"/>
      <c r="Q493" s="18"/>
      <c r="R493" s="19"/>
    </row>
    <row r="494" customFormat="false" ht="15.75" hidden="false" customHeight="true" outlineLevel="0" collapsed="false">
      <c r="A494" s="18"/>
      <c r="B494" s="18"/>
      <c r="C494" s="19"/>
      <c r="D494" s="19" t="str">
        <f aca="false">IF(C494="","",DATE(YEAR(C494)+1,MONTH(C494),DAY(C494)))</f>
        <v/>
      </c>
      <c r="E494" s="20"/>
      <c r="F494" s="20"/>
      <c r="G494" s="20"/>
      <c r="H494" s="20"/>
      <c r="I494" s="20"/>
      <c r="J494" s="20"/>
      <c r="K494" s="20"/>
      <c r="L494" s="20"/>
      <c r="M494" s="20"/>
      <c r="N494" s="18" t="str">
        <f aca="false">IF(COUNTBLANK(E494:M494)=9,"",IF(COUNTIF(E494:M494,"Fail")&gt;0,"Fail",IF(COUNTBLANK(E494:M494)&gt;0,"Incomplete","Pass")))</f>
        <v/>
      </c>
      <c r="O494" s="18" t="str">
        <f aca="true">IF(N494="","Not Yet Inspected",IF(N494="Fail","Fail",IF(D494="","",IF(D494&lt;TODAY(),"Overdue",IF(D494&lt;=TODAY()+30,"Due (within 30 days)","Pass")))))</f>
        <v>Not Yet Inspected</v>
      </c>
      <c r="P494" s="18"/>
      <c r="Q494" s="18"/>
      <c r="R494" s="19"/>
    </row>
    <row r="495" customFormat="false" ht="15.75" hidden="false" customHeight="true" outlineLevel="0" collapsed="false">
      <c r="A495" s="18"/>
      <c r="B495" s="18"/>
      <c r="C495" s="19"/>
      <c r="D495" s="19" t="str">
        <f aca="false">IF(C495="","",DATE(YEAR(C495)+1,MONTH(C495),DAY(C495)))</f>
        <v/>
      </c>
      <c r="E495" s="20"/>
      <c r="F495" s="20"/>
      <c r="G495" s="20"/>
      <c r="H495" s="20"/>
      <c r="I495" s="20"/>
      <c r="J495" s="20"/>
      <c r="K495" s="20"/>
      <c r="L495" s="20"/>
      <c r="M495" s="20"/>
      <c r="N495" s="18" t="str">
        <f aca="false">IF(COUNTBLANK(E495:M495)=9,"",IF(COUNTIF(E495:M495,"Fail")&gt;0,"Fail",IF(COUNTBLANK(E495:M495)&gt;0,"Incomplete","Pass")))</f>
        <v/>
      </c>
      <c r="O495" s="18" t="str">
        <f aca="true">IF(N495="","Not Yet Inspected",IF(N495="Fail","Fail",IF(D495="","",IF(D495&lt;TODAY(),"Overdue",IF(D495&lt;=TODAY()+30,"Due (within 30 days)","Pass")))))</f>
        <v>Not Yet Inspected</v>
      </c>
      <c r="P495" s="18"/>
      <c r="Q495" s="18"/>
      <c r="R495" s="19"/>
    </row>
    <row r="496" customFormat="false" ht="15.75" hidden="false" customHeight="true" outlineLevel="0" collapsed="false">
      <c r="A496" s="18"/>
      <c r="B496" s="18"/>
      <c r="C496" s="19"/>
      <c r="D496" s="19" t="str">
        <f aca="false">IF(C496="","",DATE(YEAR(C496)+1,MONTH(C496),DAY(C496)))</f>
        <v/>
      </c>
      <c r="E496" s="20"/>
      <c r="F496" s="20"/>
      <c r="G496" s="20"/>
      <c r="H496" s="20"/>
      <c r="I496" s="20"/>
      <c r="J496" s="20"/>
      <c r="K496" s="20"/>
      <c r="L496" s="20"/>
      <c r="M496" s="20"/>
      <c r="N496" s="18" t="str">
        <f aca="false">IF(COUNTBLANK(E496:M496)=9,"",IF(COUNTIF(E496:M496,"Fail")&gt;0,"Fail",IF(COUNTBLANK(E496:M496)&gt;0,"Incomplete","Pass")))</f>
        <v/>
      </c>
      <c r="O496" s="18" t="str">
        <f aca="true">IF(N496="","Not Yet Inspected",IF(N496="Fail","Fail",IF(D496="","",IF(D496&lt;TODAY(),"Overdue",IF(D496&lt;=TODAY()+30,"Due (within 30 days)","Pass")))))</f>
        <v>Not Yet Inspected</v>
      </c>
      <c r="P496" s="18"/>
      <c r="Q496" s="18"/>
      <c r="R496" s="19"/>
    </row>
    <row r="497" customFormat="false" ht="15.75" hidden="false" customHeight="true" outlineLevel="0" collapsed="false">
      <c r="A497" s="18"/>
      <c r="B497" s="18"/>
      <c r="C497" s="19"/>
      <c r="D497" s="19" t="str">
        <f aca="false">IF(C497="","",DATE(YEAR(C497)+1,MONTH(C497),DAY(C497)))</f>
        <v/>
      </c>
      <c r="E497" s="20"/>
      <c r="F497" s="20"/>
      <c r="G497" s="20"/>
      <c r="H497" s="20"/>
      <c r="I497" s="20"/>
      <c r="J497" s="20"/>
      <c r="K497" s="20"/>
      <c r="L497" s="20"/>
      <c r="M497" s="20"/>
      <c r="N497" s="18" t="str">
        <f aca="false">IF(COUNTBLANK(E497:M497)=9,"",IF(COUNTIF(E497:M497,"Fail")&gt;0,"Fail",IF(COUNTBLANK(E497:M497)&gt;0,"Incomplete","Pass")))</f>
        <v/>
      </c>
      <c r="O497" s="18" t="str">
        <f aca="true">IF(N497="","Not Yet Inspected",IF(N497="Fail","Fail",IF(D497="","",IF(D497&lt;TODAY(),"Overdue",IF(D497&lt;=TODAY()+30,"Due (within 30 days)","Pass")))))</f>
        <v>Not Yet Inspected</v>
      </c>
      <c r="P497" s="18"/>
      <c r="Q497" s="18"/>
      <c r="R497" s="19"/>
    </row>
    <row r="498" customFormat="false" ht="15.75" hidden="false" customHeight="true" outlineLevel="0" collapsed="false">
      <c r="A498" s="18"/>
      <c r="B498" s="18"/>
      <c r="C498" s="19"/>
      <c r="D498" s="19" t="str">
        <f aca="false">IF(C498="","",DATE(YEAR(C498)+1,MONTH(C498),DAY(C498)))</f>
        <v/>
      </c>
      <c r="E498" s="20"/>
      <c r="F498" s="20"/>
      <c r="G498" s="20"/>
      <c r="H498" s="20"/>
      <c r="I498" s="20"/>
      <c r="J498" s="20"/>
      <c r="K498" s="20"/>
      <c r="L498" s="20"/>
      <c r="M498" s="20"/>
      <c r="N498" s="18" t="str">
        <f aca="false">IF(COUNTBLANK(E498:M498)=9,"",IF(COUNTIF(E498:M498,"Fail")&gt;0,"Fail",IF(COUNTBLANK(E498:M498)&gt;0,"Incomplete","Pass")))</f>
        <v/>
      </c>
      <c r="O498" s="18" t="str">
        <f aca="true">IF(N498="","Not Yet Inspected",IF(N498="Fail","Fail",IF(D498="","",IF(D498&lt;TODAY(),"Overdue",IF(D498&lt;=TODAY()+30,"Due (within 30 days)","Pass")))))</f>
        <v>Not Yet Inspected</v>
      </c>
      <c r="P498" s="18"/>
      <c r="Q498" s="18"/>
      <c r="R498" s="19"/>
    </row>
    <row r="499" customFormat="false" ht="15.75" hidden="false" customHeight="true" outlineLevel="0" collapsed="false">
      <c r="A499" s="18"/>
      <c r="B499" s="18"/>
      <c r="C499" s="19"/>
      <c r="D499" s="19" t="str">
        <f aca="false">IF(C499="","",DATE(YEAR(C499)+1,MONTH(C499),DAY(C499)))</f>
        <v/>
      </c>
      <c r="E499" s="20"/>
      <c r="F499" s="20"/>
      <c r="G499" s="20"/>
      <c r="H499" s="20"/>
      <c r="I499" s="20"/>
      <c r="J499" s="20"/>
      <c r="K499" s="20"/>
      <c r="L499" s="20"/>
      <c r="M499" s="20"/>
      <c r="N499" s="18" t="str">
        <f aca="false">IF(COUNTBLANK(E499:M499)=9,"",IF(COUNTIF(E499:M499,"Fail")&gt;0,"Fail",IF(COUNTBLANK(E499:M499)&gt;0,"Incomplete","Pass")))</f>
        <v/>
      </c>
      <c r="O499" s="18" t="str">
        <f aca="true">IF(N499="","Not Yet Inspected",IF(N499="Fail","Fail",IF(D499="","",IF(D499&lt;TODAY(),"Overdue",IF(D499&lt;=TODAY()+30,"Due (within 30 days)","Pass")))))</f>
        <v>Not Yet Inspected</v>
      </c>
      <c r="P499" s="18"/>
      <c r="Q499" s="18"/>
      <c r="R499" s="19"/>
    </row>
    <row r="500" customFormat="false" ht="15.75" hidden="false" customHeight="true" outlineLevel="0" collapsed="false">
      <c r="A500" s="18"/>
      <c r="B500" s="18"/>
      <c r="C500" s="19"/>
      <c r="D500" s="19" t="str">
        <f aca="false">IF(C500="","",DATE(YEAR(C500)+1,MONTH(C500),DAY(C500)))</f>
        <v/>
      </c>
      <c r="E500" s="20"/>
      <c r="F500" s="20"/>
      <c r="G500" s="20"/>
      <c r="H500" s="20"/>
      <c r="I500" s="20"/>
      <c r="J500" s="20"/>
      <c r="K500" s="20"/>
      <c r="L500" s="20"/>
      <c r="M500" s="20"/>
      <c r="N500" s="18" t="str">
        <f aca="false">IF(COUNTBLANK(E500:M500)=9,"",IF(COUNTIF(E500:M500,"Fail")&gt;0,"Fail",IF(COUNTBLANK(E500:M500)&gt;0,"Incomplete","Pass")))</f>
        <v/>
      </c>
      <c r="O500" s="18" t="str">
        <f aca="true">IF(N500="","Not Yet Inspected",IF(N500="Fail","Fail",IF(D500="","",IF(D500&lt;TODAY(),"Overdue",IF(D500&lt;=TODAY()+30,"Due (within 30 days)","Pass")))))</f>
        <v>Not Yet Inspected</v>
      </c>
      <c r="P500" s="18"/>
      <c r="Q500" s="18"/>
      <c r="R500" s="19"/>
    </row>
    <row r="501" customFormat="false" ht="15.75" hidden="false" customHeight="true" outlineLevel="0" collapsed="false">
      <c r="A501" s="18"/>
      <c r="B501" s="18"/>
      <c r="C501" s="19"/>
      <c r="D501" s="19" t="str">
        <f aca="false">IF(C501="","",DATE(YEAR(C501)+1,MONTH(C501),DAY(C501)))</f>
        <v/>
      </c>
      <c r="E501" s="20"/>
      <c r="F501" s="20"/>
      <c r="G501" s="20"/>
      <c r="H501" s="20"/>
      <c r="I501" s="20"/>
      <c r="J501" s="20"/>
      <c r="K501" s="20"/>
      <c r="L501" s="20"/>
      <c r="M501" s="20"/>
      <c r="N501" s="18" t="str">
        <f aca="false">IF(COUNTBLANK(E501:M501)=9,"",IF(COUNTIF(E501:M501,"Fail")&gt;0,"Fail",IF(COUNTBLANK(E501:M501)&gt;0,"Incomplete","Pass")))</f>
        <v/>
      </c>
      <c r="O501" s="18" t="str">
        <f aca="true">IF(N501="","Not Yet Inspected",IF(N501="Fail","Fail",IF(D501="","",IF(D501&lt;TODAY(),"Overdue",IF(D501&lt;=TODAY()+30,"Due (within 30 days)","Pass")))))</f>
        <v>Not Yet Inspected</v>
      </c>
      <c r="P501" s="18"/>
      <c r="Q501" s="18"/>
      <c r="R501" s="19"/>
    </row>
    <row r="502" customFormat="false" ht="15.75" hidden="false" customHeight="true" outlineLevel="0" collapsed="false">
      <c r="A502" s="18"/>
      <c r="B502" s="18"/>
      <c r="C502" s="19"/>
      <c r="D502" s="19" t="str">
        <f aca="false">IF(C502="","",DATE(YEAR(C502)+1,MONTH(C502),DAY(C502)))</f>
        <v/>
      </c>
      <c r="E502" s="20"/>
      <c r="F502" s="20"/>
      <c r="G502" s="20"/>
      <c r="H502" s="20"/>
      <c r="I502" s="20"/>
      <c r="J502" s="20"/>
      <c r="K502" s="20"/>
      <c r="L502" s="20"/>
      <c r="M502" s="20"/>
      <c r="N502" s="18" t="str">
        <f aca="false">IF(COUNTBLANK(E502:M502)=9,"",IF(COUNTIF(E502:M502,"Fail")&gt;0,"Fail",IF(COUNTBLANK(E502:M502)&gt;0,"Incomplete","Pass")))</f>
        <v/>
      </c>
      <c r="O502" s="18" t="str">
        <f aca="true">IF(N502="","Not Yet Inspected",IF(N502="Fail","Fail",IF(D502="","",IF(D502&lt;TODAY(),"Overdue",IF(D502&lt;=TODAY()+30,"Due (within 30 days)","Pass")))))</f>
        <v>Not Yet Inspected</v>
      </c>
      <c r="P502" s="18"/>
      <c r="Q502" s="18"/>
      <c r="R502" s="19"/>
    </row>
    <row r="503" customFormat="false" ht="15.75" hidden="false" customHeight="true" outlineLevel="0" collapsed="false">
      <c r="A503" s="18"/>
      <c r="B503" s="18"/>
      <c r="C503" s="19"/>
      <c r="D503" s="19" t="str">
        <f aca="false">IF(C503="","",DATE(YEAR(C503)+1,MONTH(C503),DAY(C503)))</f>
        <v/>
      </c>
      <c r="E503" s="20"/>
      <c r="F503" s="20"/>
      <c r="G503" s="20"/>
      <c r="H503" s="20"/>
      <c r="I503" s="20"/>
      <c r="J503" s="20"/>
      <c r="K503" s="20"/>
      <c r="L503" s="20"/>
      <c r="M503" s="20"/>
      <c r="N503" s="18" t="str">
        <f aca="false">IF(COUNTBLANK(E503:M503)=9,"",IF(COUNTIF(E503:M503,"Fail")&gt;0,"Fail",IF(COUNTBLANK(E503:M503)&gt;0,"Incomplete","Pass")))</f>
        <v/>
      </c>
      <c r="O503" s="18" t="str">
        <f aca="true">IF(N503="","Not Yet Inspected",IF(N503="Fail","Fail",IF(D503="","",IF(D503&lt;TODAY(),"Overdue",IF(D503&lt;=TODAY()+30,"Due (within 30 days)","Pass")))))</f>
        <v>Not Yet Inspected</v>
      </c>
      <c r="P503" s="18"/>
      <c r="Q503" s="18"/>
      <c r="R503" s="19"/>
    </row>
    <row r="504" customFormat="false" ht="15.75" hidden="false" customHeight="true" outlineLevel="0" collapsed="false">
      <c r="A504" s="18"/>
      <c r="B504" s="18"/>
      <c r="C504" s="19"/>
      <c r="D504" s="19" t="str">
        <f aca="false">IF(C504="","",DATE(YEAR(C504)+1,MONTH(C504),DAY(C504)))</f>
        <v/>
      </c>
      <c r="E504" s="20"/>
      <c r="F504" s="20"/>
      <c r="G504" s="20"/>
      <c r="H504" s="20"/>
      <c r="I504" s="20"/>
      <c r="J504" s="20"/>
      <c r="K504" s="20"/>
      <c r="L504" s="20"/>
      <c r="M504" s="20"/>
      <c r="N504" s="18" t="str">
        <f aca="false">IF(COUNTBLANK(E504:M504)=9,"",IF(COUNTIF(E504:M504,"Fail")&gt;0,"Fail",IF(COUNTBLANK(E504:M504)&gt;0,"Incomplete","Pass")))</f>
        <v/>
      </c>
      <c r="O504" s="18" t="str">
        <f aca="true">IF(N504="","Not Yet Inspected",IF(N504="Fail","Fail",IF(D504="","",IF(D504&lt;TODAY(),"Overdue",IF(D504&lt;=TODAY()+30,"Due (within 30 days)","Pass")))))</f>
        <v>Not Yet Inspected</v>
      </c>
      <c r="P504" s="18"/>
      <c r="Q504" s="18"/>
      <c r="R504" s="19"/>
    </row>
    <row r="505" customFormat="false" ht="15.75" hidden="false" customHeight="true" outlineLevel="0" collapsed="false">
      <c r="A505" s="18"/>
      <c r="B505" s="18"/>
      <c r="C505" s="19"/>
      <c r="D505" s="19" t="str">
        <f aca="false">IF(C505="","",DATE(YEAR(C505)+1,MONTH(C505),DAY(C505)))</f>
        <v/>
      </c>
      <c r="E505" s="20"/>
      <c r="F505" s="20"/>
      <c r="G505" s="20"/>
      <c r="H505" s="20"/>
      <c r="I505" s="20"/>
      <c r="J505" s="20"/>
      <c r="K505" s="20"/>
      <c r="L505" s="20"/>
      <c r="M505" s="20"/>
      <c r="N505" s="18" t="str">
        <f aca="false">IF(COUNTBLANK(E505:M505)=9,"",IF(COUNTIF(E505:M505,"Fail")&gt;0,"Fail",IF(COUNTBLANK(E505:M505)&gt;0,"Incomplete","Pass")))</f>
        <v/>
      </c>
      <c r="O505" s="18" t="str">
        <f aca="true">IF(N505="","Not Yet Inspected",IF(N505="Fail","Fail",IF(D505="","",IF(D505&lt;TODAY(),"Overdue",IF(D505&lt;=TODAY()+30,"Due (within 30 days)","Pass")))))</f>
        <v>Not Yet Inspected</v>
      </c>
      <c r="P505" s="18"/>
      <c r="Q505" s="18"/>
      <c r="R505" s="19"/>
    </row>
    <row r="506" customFormat="false" ht="15.75" hidden="false" customHeight="true" outlineLevel="0" collapsed="false">
      <c r="A506" s="18"/>
      <c r="B506" s="18"/>
      <c r="C506" s="19"/>
      <c r="D506" s="19" t="str">
        <f aca="false">IF(C506="","",DATE(YEAR(C506)+1,MONTH(C506),DAY(C506)))</f>
        <v/>
      </c>
      <c r="E506" s="20"/>
      <c r="F506" s="20"/>
      <c r="G506" s="20"/>
      <c r="H506" s="20"/>
      <c r="I506" s="20"/>
      <c r="J506" s="20"/>
      <c r="K506" s="20"/>
      <c r="L506" s="20"/>
      <c r="M506" s="20"/>
      <c r="N506" s="18" t="str">
        <f aca="false">IF(COUNTBLANK(E506:M506)=9,"",IF(COUNTIF(E506:M506,"Fail")&gt;0,"Fail",IF(COUNTBLANK(E506:M506)&gt;0,"Incomplete","Pass")))</f>
        <v/>
      </c>
      <c r="O506" s="18" t="str">
        <f aca="true">IF(N506="","Not Yet Inspected",IF(N506="Fail","Fail",IF(D506="","",IF(D506&lt;TODAY(),"Overdue",IF(D506&lt;=TODAY()+30,"Due (within 30 days)","Pass")))))</f>
        <v>Not Yet Inspected</v>
      </c>
      <c r="P506" s="18"/>
      <c r="Q506" s="18"/>
      <c r="R506" s="19"/>
    </row>
  </sheetData>
  <mergeCells count="2">
    <mergeCell ref="A1:R1"/>
    <mergeCell ref="A2:R2"/>
  </mergeCells>
  <conditionalFormatting sqref="E7:E506">
    <cfRule type="cellIs" priority="2" operator="equal" aboveAverage="0" equalAverage="0" bottom="0" percent="0" rank="0" text="" dxfId="2">
      <formula>"Pass"</formula>
    </cfRule>
    <cfRule type="cellIs" priority="3" operator="equal" aboveAverage="0" equalAverage="0" bottom="0" percent="0" rank="0" text="" dxfId="0">
      <formula>"Fail"</formula>
    </cfRule>
  </conditionalFormatting>
  <conditionalFormatting sqref="F7:F506">
    <cfRule type="cellIs" priority="4" operator="equal" aboveAverage="0" equalAverage="0" bottom="0" percent="0" rank="0" text="" dxfId="2">
      <formula>"Pass"</formula>
    </cfRule>
    <cfRule type="cellIs" priority="5" operator="equal" aboveAverage="0" equalAverage="0" bottom="0" percent="0" rank="0" text="" dxfId="0">
      <formula>"Fail"</formula>
    </cfRule>
  </conditionalFormatting>
  <conditionalFormatting sqref="G7:G506">
    <cfRule type="cellIs" priority="6" operator="equal" aboveAverage="0" equalAverage="0" bottom="0" percent="0" rank="0" text="" dxfId="2">
      <formula>"Pass"</formula>
    </cfRule>
    <cfRule type="cellIs" priority="7" operator="equal" aboveAverage="0" equalAverage="0" bottom="0" percent="0" rank="0" text="" dxfId="0">
      <formula>"Fail"</formula>
    </cfRule>
  </conditionalFormatting>
  <conditionalFormatting sqref="H7:H506">
    <cfRule type="cellIs" priority="8" operator="equal" aboveAverage="0" equalAverage="0" bottom="0" percent="0" rank="0" text="" dxfId="2">
      <formula>"Pass"</formula>
    </cfRule>
    <cfRule type="cellIs" priority="9" operator="equal" aboveAverage="0" equalAverage="0" bottom="0" percent="0" rank="0" text="" dxfId="0">
      <formula>"Fail"</formula>
    </cfRule>
  </conditionalFormatting>
  <conditionalFormatting sqref="I7:I506">
    <cfRule type="cellIs" priority="10" operator="equal" aboveAverage="0" equalAverage="0" bottom="0" percent="0" rank="0" text="" dxfId="2">
      <formula>"Pass"</formula>
    </cfRule>
    <cfRule type="cellIs" priority="11" operator="equal" aboveAverage="0" equalAverage="0" bottom="0" percent="0" rank="0" text="" dxfId="0">
      <formula>"Fail"</formula>
    </cfRule>
  </conditionalFormatting>
  <conditionalFormatting sqref="J7:J506">
    <cfRule type="cellIs" priority="12" operator="equal" aboveAverage="0" equalAverage="0" bottom="0" percent="0" rank="0" text="" dxfId="2">
      <formula>"Pass"</formula>
    </cfRule>
    <cfRule type="cellIs" priority="13" operator="equal" aboveAverage="0" equalAverage="0" bottom="0" percent="0" rank="0" text="" dxfId="0">
      <formula>"Fail"</formula>
    </cfRule>
  </conditionalFormatting>
  <conditionalFormatting sqref="K7:K506">
    <cfRule type="cellIs" priority="14" operator="equal" aboveAverage="0" equalAverage="0" bottom="0" percent="0" rank="0" text="" dxfId="2">
      <formula>"Pass"</formula>
    </cfRule>
    <cfRule type="cellIs" priority="15" operator="equal" aboveAverage="0" equalAverage="0" bottom="0" percent="0" rank="0" text="" dxfId="0">
      <formula>"Fail"</formula>
    </cfRule>
  </conditionalFormatting>
  <conditionalFormatting sqref="L7:L506">
    <cfRule type="cellIs" priority="16" operator="equal" aboveAverage="0" equalAverage="0" bottom="0" percent="0" rank="0" text="" dxfId="2">
      <formula>"Pass"</formula>
    </cfRule>
    <cfRule type="cellIs" priority="17" operator="equal" aboveAverage="0" equalAverage="0" bottom="0" percent="0" rank="0" text="" dxfId="0">
      <formula>"Fail"</formula>
    </cfRule>
  </conditionalFormatting>
  <conditionalFormatting sqref="M7:M506">
    <cfRule type="cellIs" priority="18" operator="equal" aboveAverage="0" equalAverage="0" bottom="0" percent="0" rank="0" text="" dxfId="2">
      <formula>"Pass"</formula>
    </cfRule>
    <cfRule type="cellIs" priority="19" operator="equal" aboveAverage="0" equalAverage="0" bottom="0" percent="0" rank="0" text="" dxfId="0">
      <formula>"Fail"</formula>
    </cfRule>
  </conditionalFormatting>
  <conditionalFormatting sqref="N7:N506">
    <cfRule type="cellIs" priority="20" operator="equal" aboveAverage="0" equalAverage="0" bottom="0" percent="0" rank="0" text="" dxfId="2">
      <formula>"Pass"</formula>
    </cfRule>
    <cfRule type="cellIs" priority="21" operator="equal" aboveAverage="0" equalAverage="0" bottom="0" percent="0" rank="0" text="" dxfId="0">
      <formula>"Fail"</formula>
    </cfRule>
    <cfRule type="cellIs" priority="22" operator="equal" aboveAverage="0" equalAverage="0" bottom="0" percent="0" rank="0" text="" dxfId="1">
      <formula>"Incomplete"</formula>
    </cfRule>
  </conditionalFormatting>
  <conditionalFormatting sqref="O7:O506">
    <cfRule type="cellIs" priority="23" operator="equal" aboveAverage="0" equalAverage="0" bottom="0" percent="0" rank="0" text="" dxfId="2">
      <formula>"Pass"</formula>
    </cfRule>
    <cfRule type="cellIs" priority="24" operator="equal" aboveAverage="0" equalAverage="0" bottom="0" percent="0" rank="0" text="" dxfId="0">
      <formula>"Fail"</formula>
    </cfRule>
    <cfRule type="cellIs" priority="25" operator="equal" aboveAverage="0" equalAverage="0" bottom="0" percent="0" rank="0" text="" dxfId="0">
      <formula>"Overdue"</formula>
    </cfRule>
    <cfRule type="expression" priority="26" aboveAverage="0" equalAverage="0" bottom="0" percent="0" rank="0" text="" dxfId="1">
      <formula>O7="Due (within 30 days)"</formula>
    </cfRule>
    <cfRule type="expression" priority="27" aboveAverage="0" equalAverage="0" bottom="0" percent="0" rank="0" text="" dxfId="3">
      <formula>O7="Not Yet Inspected"</formula>
    </cfRule>
  </conditionalFormatting>
  <dataValidations count="2">
    <dataValidation allowBlank="true" errorStyle="stop" operator="between" showDropDown="false" showErrorMessage="false" showInputMessage="false" sqref="E7:M506" type="list">
      <formula1>"Pass,Fail"</formula1>
      <formula2>0</formula2>
    </dataValidation>
    <dataValidation allowBlank="true" errorStyle="stop" operator="between" showDropDown="false" showErrorMessage="false" showInputMessage="false" sqref="A7:A506" type="list">
      <formula1>'Station Master List'!$A$7:$A$506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5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13"/>
    <col collapsed="false" customWidth="true" hidden="false" outlineLevel="0" max="8" min="8" style="1" width="16"/>
    <col collapsed="false" customWidth="true" hidden="false" outlineLevel="0" max="9" min="9" style="1" width="18"/>
    <col collapsed="false" customWidth="true" hidden="false" outlineLevel="0" max="10" min="10" style="1" width="12"/>
    <col collapsed="false" customWidth="true" hidden="false" outlineLevel="0" max="11" min="11" style="1" width="24"/>
  </cols>
  <sheetData>
    <row r="1" customFormat="false" ht="27.75" hidden="false" customHeight="true" outlineLevel="0" collapsed="false">
      <c r="A1" s="15" t="s">
        <v>51</v>
      </c>
      <c r="B1" s="15"/>
      <c r="C1" s="15"/>
      <c r="D1" s="15"/>
      <c r="E1" s="15"/>
      <c r="F1" s="15"/>
      <c r="G1" s="15"/>
      <c r="H1" s="15"/>
      <c r="I1" s="15"/>
      <c r="J1" s="15"/>
      <c r="K1" s="15"/>
    </row>
    <row r="2" customFormat="false" ht="19.5" hidden="false" customHeight="true" outlineLevel="0" collapsed="false">
      <c r="A2" s="16" t="s">
        <v>52</v>
      </c>
      <c r="B2" s="16"/>
      <c r="C2" s="16"/>
      <c r="D2" s="16"/>
      <c r="E2" s="16"/>
      <c r="F2" s="16"/>
      <c r="G2" s="16"/>
      <c r="H2" s="16"/>
      <c r="I2" s="16"/>
      <c r="J2" s="16"/>
      <c r="K2" s="16"/>
    </row>
    <row r="3" customFormat="false" ht="6" hidden="false" customHeight="true" outlineLevel="0" collapsed="false">
      <c r="A3" s="4"/>
      <c r="B3" s="4"/>
      <c r="C3" s="4"/>
      <c r="D3" s="4"/>
      <c r="E3" s="4"/>
      <c r="F3" s="4"/>
      <c r="G3" s="4"/>
      <c r="H3" s="4"/>
      <c r="I3" s="4"/>
      <c r="J3" s="4"/>
      <c r="K3" s="4"/>
    </row>
    <row r="6" customFormat="false" ht="30" hidden="false" customHeight="true" outlineLevel="0" collapsed="false">
      <c r="A6" s="9" t="s">
        <v>26</v>
      </c>
      <c r="B6" s="9" t="s">
        <v>53</v>
      </c>
      <c r="C6" s="9" t="s">
        <v>54</v>
      </c>
      <c r="D6" s="9" t="s">
        <v>55</v>
      </c>
      <c r="E6" s="9" t="s">
        <v>56</v>
      </c>
      <c r="F6" s="9" t="s">
        <v>57</v>
      </c>
      <c r="G6" s="9" t="s">
        <v>58</v>
      </c>
      <c r="H6" s="9" t="s">
        <v>59</v>
      </c>
      <c r="I6" s="9" t="s">
        <v>60</v>
      </c>
      <c r="J6" s="9" t="s">
        <v>48</v>
      </c>
      <c r="K6" s="9" t="s">
        <v>61</v>
      </c>
    </row>
    <row r="7" customFormat="false" ht="15.75" hidden="false" customHeight="true" outlineLevel="0" collapsed="false">
      <c r="A7" s="18"/>
      <c r="B7" s="20"/>
      <c r="C7" s="18"/>
      <c r="D7" s="18"/>
      <c r="E7" s="18"/>
      <c r="F7" s="18"/>
      <c r="G7" s="19"/>
      <c r="H7" s="20"/>
      <c r="I7" s="18"/>
      <c r="J7" s="20"/>
      <c r="K7" s="18"/>
    </row>
    <row r="8" customFormat="false" ht="15.75" hidden="false" customHeight="true" outlineLevel="0" collapsed="false">
      <c r="A8" s="18"/>
      <c r="B8" s="20"/>
      <c r="C8" s="18"/>
      <c r="D8" s="18"/>
      <c r="E8" s="18"/>
      <c r="F8" s="18"/>
      <c r="G8" s="19"/>
      <c r="H8" s="20"/>
      <c r="I8" s="18"/>
      <c r="J8" s="20"/>
      <c r="K8" s="18"/>
    </row>
    <row r="9" customFormat="false" ht="15.75" hidden="false" customHeight="true" outlineLevel="0" collapsed="false">
      <c r="A9" s="18"/>
      <c r="B9" s="20"/>
      <c r="C9" s="18"/>
      <c r="D9" s="18"/>
      <c r="E9" s="18"/>
      <c r="F9" s="18"/>
      <c r="G9" s="19"/>
      <c r="H9" s="20"/>
      <c r="I9" s="18"/>
      <c r="J9" s="20"/>
      <c r="K9" s="18"/>
    </row>
    <row r="10" customFormat="false" ht="15.75" hidden="false" customHeight="true" outlineLevel="0" collapsed="false">
      <c r="A10" s="18"/>
      <c r="B10" s="20"/>
      <c r="C10" s="18"/>
      <c r="D10" s="18"/>
      <c r="E10" s="18"/>
      <c r="F10" s="18"/>
      <c r="G10" s="19"/>
      <c r="H10" s="20"/>
      <c r="I10" s="18"/>
      <c r="J10" s="20"/>
      <c r="K10" s="18"/>
    </row>
    <row r="11" customFormat="false" ht="15.75" hidden="false" customHeight="true" outlineLevel="0" collapsed="false">
      <c r="A11" s="18"/>
      <c r="B11" s="20"/>
      <c r="C11" s="18"/>
      <c r="D11" s="18"/>
      <c r="E11" s="18"/>
      <c r="F11" s="18"/>
      <c r="G11" s="19"/>
      <c r="H11" s="20"/>
      <c r="I11" s="18"/>
      <c r="J11" s="20"/>
      <c r="K11" s="18"/>
    </row>
    <row r="12" customFormat="false" ht="15.75" hidden="false" customHeight="true" outlineLevel="0" collapsed="false">
      <c r="A12" s="18"/>
      <c r="B12" s="20"/>
      <c r="C12" s="18"/>
      <c r="D12" s="18"/>
      <c r="E12" s="18"/>
      <c r="F12" s="18"/>
      <c r="G12" s="19"/>
      <c r="H12" s="20"/>
      <c r="I12" s="18"/>
      <c r="J12" s="20"/>
      <c r="K12" s="18"/>
    </row>
    <row r="13" customFormat="false" ht="15.75" hidden="false" customHeight="true" outlineLevel="0" collapsed="false">
      <c r="A13" s="18"/>
      <c r="B13" s="20"/>
      <c r="C13" s="18"/>
      <c r="D13" s="18"/>
      <c r="E13" s="18"/>
      <c r="F13" s="18"/>
      <c r="G13" s="19"/>
      <c r="H13" s="20"/>
      <c r="I13" s="18"/>
      <c r="J13" s="20"/>
      <c r="K13" s="18"/>
    </row>
    <row r="14" customFormat="false" ht="15.75" hidden="false" customHeight="true" outlineLevel="0" collapsed="false">
      <c r="A14" s="18"/>
      <c r="B14" s="20"/>
      <c r="C14" s="18"/>
      <c r="D14" s="18"/>
      <c r="E14" s="18"/>
      <c r="F14" s="18"/>
      <c r="G14" s="19"/>
      <c r="H14" s="20"/>
      <c r="I14" s="18"/>
      <c r="J14" s="20"/>
      <c r="K14" s="18"/>
    </row>
    <row r="15" customFormat="false" ht="15.75" hidden="false" customHeight="true" outlineLevel="0" collapsed="false">
      <c r="A15" s="18"/>
      <c r="B15" s="20"/>
      <c r="C15" s="18"/>
      <c r="D15" s="18"/>
      <c r="E15" s="18"/>
      <c r="F15" s="18"/>
      <c r="G15" s="19"/>
      <c r="H15" s="20"/>
      <c r="I15" s="18"/>
      <c r="J15" s="20"/>
      <c r="K15" s="18"/>
    </row>
    <row r="16" customFormat="false" ht="15.75" hidden="false" customHeight="true" outlineLevel="0" collapsed="false">
      <c r="A16" s="18"/>
      <c r="B16" s="20"/>
      <c r="C16" s="18"/>
      <c r="D16" s="18"/>
      <c r="E16" s="18"/>
      <c r="F16" s="18"/>
      <c r="G16" s="19"/>
      <c r="H16" s="20"/>
      <c r="I16" s="18"/>
      <c r="J16" s="20"/>
      <c r="K16" s="18"/>
    </row>
    <row r="17" customFormat="false" ht="15.75" hidden="false" customHeight="true" outlineLevel="0" collapsed="false">
      <c r="A17" s="18"/>
      <c r="B17" s="20"/>
      <c r="C17" s="18"/>
      <c r="D17" s="18"/>
      <c r="E17" s="18"/>
      <c r="F17" s="18"/>
      <c r="G17" s="19"/>
      <c r="H17" s="20"/>
      <c r="I17" s="18"/>
      <c r="J17" s="20"/>
      <c r="K17" s="18"/>
    </row>
    <row r="18" customFormat="false" ht="15.75" hidden="false" customHeight="true" outlineLevel="0" collapsed="false">
      <c r="A18" s="18"/>
      <c r="B18" s="20"/>
      <c r="C18" s="18"/>
      <c r="D18" s="18"/>
      <c r="E18" s="18"/>
      <c r="F18" s="18"/>
      <c r="G18" s="19"/>
      <c r="H18" s="20"/>
      <c r="I18" s="18"/>
      <c r="J18" s="20"/>
      <c r="K18" s="18"/>
    </row>
    <row r="19" customFormat="false" ht="15.75" hidden="false" customHeight="true" outlineLevel="0" collapsed="false">
      <c r="A19" s="18"/>
      <c r="B19" s="20"/>
      <c r="C19" s="18"/>
      <c r="D19" s="18"/>
      <c r="E19" s="18"/>
      <c r="F19" s="18"/>
      <c r="G19" s="19"/>
      <c r="H19" s="20"/>
      <c r="I19" s="18"/>
      <c r="J19" s="20"/>
      <c r="K19" s="18"/>
    </row>
    <row r="20" customFormat="false" ht="15.75" hidden="false" customHeight="true" outlineLevel="0" collapsed="false">
      <c r="A20" s="18"/>
      <c r="B20" s="20"/>
      <c r="C20" s="18"/>
      <c r="D20" s="18"/>
      <c r="E20" s="18"/>
      <c r="F20" s="18"/>
      <c r="G20" s="19"/>
      <c r="H20" s="20"/>
      <c r="I20" s="18"/>
      <c r="J20" s="20"/>
      <c r="K20" s="18"/>
    </row>
    <row r="21" customFormat="false" ht="15.75" hidden="false" customHeight="true" outlineLevel="0" collapsed="false">
      <c r="A21" s="18"/>
      <c r="B21" s="20"/>
      <c r="C21" s="18"/>
      <c r="D21" s="18"/>
      <c r="E21" s="18"/>
      <c r="F21" s="18"/>
      <c r="G21" s="19"/>
      <c r="H21" s="20"/>
      <c r="I21" s="18"/>
      <c r="J21" s="20"/>
      <c r="K21" s="18"/>
    </row>
    <row r="22" customFormat="false" ht="15.75" hidden="false" customHeight="true" outlineLevel="0" collapsed="false">
      <c r="A22" s="18"/>
      <c r="B22" s="20"/>
      <c r="C22" s="18"/>
      <c r="D22" s="18"/>
      <c r="E22" s="18"/>
      <c r="F22" s="18"/>
      <c r="G22" s="19"/>
      <c r="H22" s="20"/>
      <c r="I22" s="18"/>
      <c r="J22" s="20"/>
      <c r="K22" s="18"/>
    </row>
    <row r="23" customFormat="false" ht="15.75" hidden="false" customHeight="true" outlineLevel="0" collapsed="false">
      <c r="A23" s="18"/>
      <c r="B23" s="20"/>
      <c r="C23" s="18"/>
      <c r="D23" s="18"/>
      <c r="E23" s="18"/>
      <c r="F23" s="18"/>
      <c r="G23" s="19"/>
      <c r="H23" s="20"/>
      <c r="I23" s="18"/>
      <c r="J23" s="20"/>
      <c r="K23" s="18"/>
    </row>
    <row r="24" customFormat="false" ht="15.75" hidden="false" customHeight="true" outlineLevel="0" collapsed="false">
      <c r="A24" s="18"/>
      <c r="B24" s="20"/>
      <c r="C24" s="18"/>
      <c r="D24" s="18"/>
      <c r="E24" s="18"/>
      <c r="F24" s="18"/>
      <c r="G24" s="19"/>
      <c r="H24" s="20"/>
      <c r="I24" s="18"/>
      <c r="J24" s="20"/>
      <c r="K24" s="18"/>
    </row>
    <row r="25" customFormat="false" ht="15.75" hidden="false" customHeight="true" outlineLevel="0" collapsed="false">
      <c r="A25" s="18"/>
      <c r="B25" s="20"/>
      <c r="C25" s="18"/>
      <c r="D25" s="18"/>
      <c r="E25" s="18"/>
      <c r="F25" s="18"/>
      <c r="G25" s="19"/>
      <c r="H25" s="20"/>
      <c r="I25" s="18"/>
      <c r="J25" s="20"/>
      <c r="K25" s="18"/>
    </row>
    <row r="26" customFormat="false" ht="15.75" hidden="false" customHeight="true" outlineLevel="0" collapsed="false">
      <c r="A26" s="18"/>
      <c r="B26" s="20"/>
      <c r="C26" s="18"/>
      <c r="D26" s="18"/>
      <c r="E26" s="18"/>
      <c r="F26" s="18"/>
      <c r="G26" s="19"/>
      <c r="H26" s="20"/>
      <c r="I26" s="18"/>
      <c r="J26" s="20"/>
      <c r="K26" s="18"/>
    </row>
    <row r="27" customFormat="false" ht="15.75" hidden="false" customHeight="true" outlineLevel="0" collapsed="false">
      <c r="A27" s="18"/>
      <c r="B27" s="20"/>
      <c r="C27" s="18"/>
      <c r="D27" s="18"/>
      <c r="E27" s="18"/>
      <c r="F27" s="18"/>
      <c r="G27" s="19"/>
      <c r="H27" s="20"/>
      <c r="I27" s="18"/>
      <c r="J27" s="20"/>
      <c r="K27" s="18"/>
    </row>
    <row r="28" customFormat="false" ht="15.75" hidden="false" customHeight="true" outlineLevel="0" collapsed="false">
      <c r="A28" s="18"/>
      <c r="B28" s="20"/>
      <c r="C28" s="18"/>
      <c r="D28" s="18"/>
      <c r="E28" s="18"/>
      <c r="F28" s="18"/>
      <c r="G28" s="19"/>
      <c r="H28" s="20"/>
      <c r="I28" s="18"/>
      <c r="J28" s="20"/>
      <c r="K28" s="18"/>
    </row>
    <row r="29" customFormat="false" ht="15.75" hidden="false" customHeight="true" outlineLevel="0" collapsed="false">
      <c r="A29" s="18"/>
      <c r="B29" s="20"/>
      <c r="C29" s="18"/>
      <c r="D29" s="18"/>
      <c r="E29" s="18"/>
      <c r="F29" s="18"/>
      <c r="G29" s="19"/>
      <c r="H29" s="20"/>
      <c r="I29" s="18"/>
      <c r="J29" s="20"/>
      <c r="K29" s="18"/>
    </row>
    <row r="30" customFormat="false" ht="15.75" hidden="false" customHeight="true" outlineLevel="0" collapsed="false">
      <c r="A30" s="18"/>
      <c r="B30" s="20"/>
      <c r="C30" s="18"/>
      <c r="D30" s="18"/>
      <c r="E30" s="18"/>
      <c r="F30" s="18"/>
      <c r="G30" s="19"/>
      <c r="H30" s="20"/>
      <c r="I30" s="18"/>
      <c r="J30" s="20"/>
      <c r="K30" s="18"/>
    </row>
    <row r="31" customFormat="false" ht="15.75" hidden="false" customHeight="true" outlineLevel="0" collapsed="false">
      <c r="A31" s="18"/>
      <c r="B31" s="20"/>
      <c r="C31" s="18"/>
      <c r="D31" s="18"/>
      <c r="E31" s="18"/>
      <c r="F31" s="18"/>
      <c r="G31" s="19"/>
      <c r="H31" s="20"/>
      <c r="I31" s="18"/>
      <c r="J31" s="20"/>
      <c r="K31" s="18"/>
    </row>
    <row r="32" customFormat="false" ht="15.75" hidden="false" customHeight="true" outlineLevel="0" collapsed="false">
      <c r="A32" s="18"/>
      <c r="B32" s="20"/>
      <c r="C32" s="18"/>
      <c r="D32" s="18"/>
      <c r="E32" s="18"/>
      <c r="F32" s="18"/>
      <c r="G32" s="19"/>
      <c r="H32" s="20"/>
      <c r="I32" s="18"/>
      <c r="J32" s="20"/>
      <c r="K32" s="18"/>
    </row>
    <row r="33" customFormat="false" ht="15.75" hidden="false" customHeight="true" outlineLevel="0" collapsed="false">
      <c r="A33" s="18"/>
      <c r="B33" s="20"/>
      <c r="C33" s="18"/>
      <c r="D33" s="18"/>
      <c r="E33" s="18"/>
      <c r="F33" s="18"/>
      <c r="G33" s="19"/>
      <c r="H33" s="20"/>
      <c r="I33" s="18"/>
      <c r="J33" s="20"/>
      <c r="K33" s="18"/>
    </row>
    <row r="34" customFormat="false" ht="15.75" hidden="false" customHeight="true" outlineLevel="0" collapsed="false">
      <c r="A34" s="18"/>
      <c r="B34" s="20"/>
      <c r="C34" s="18"/>
      <c r="D34" s="18"/>
      <c r="E34" s="18"/>
      <c r="F34" s="18"/>
      <c r="G34" s="19"/>
      <c r="H34" s="20"/>
      <c r="I34" s="18"/>
      <c r="J34" s="20"/>
      <c r="K34" s="18"/>
    </row>
    <row r="35" customFormat="false" ht="15.75" hidden="false" customHeight="true" outlineLevel="0" collapsed="false">
      <c r="A35" s="18"/>
      <c r="B35" s="20"/>
      <c r="C35" s="18"/>
      <c r="D35" s="18"/>
      <c r="E35" s="18"/>
      <c r="F35" s="18"/>
      <c r="G35" s="19"/>
      <c r="H35" s="20"/>
      <c r="I35" s="18"/>
      <c r="J35" s="20"/>
      <c r="K35" s="18"/>
    </row>
    <row r="36" customFormat="false" ht="15.75" hidden="false" customHeight="true" outlineLevel="0" collapsed="false">
      <c r="A36" s="18"/>
      <c r="B36" s="20"/>
      <c r="C36" s="18"/>
      <c r="D36" s="18"/>
      <c r="E36" s="18"/>
      <c r="F36" s="18"/>
      <c r="G36" s="19"/>
      <c r="H36" s="20"/>
      <c r="I36" s="18"/>
      <c r="J36" s="20"/>
      <c r="K36" s="18"/>
    </row>
    <row r="37" customFormat="false" ht="15.75" hidden="false" customHeight="true" outlineLevel="0" collapsed="false">
      <c r="A37" s="18"/>
      <c r="B37" s="20"/>
      <c r="C37" s="18"/>
      <c r="D37" s="18"/>
      <c r="E37" s="18"/>
      <c r="F37" s="18"/>
      <c r="G37" s="19"/>
      <c r="H37" s="20"/>
      <c r="I37" s="18"/>
      <c r="J37" s="20"/>
      <c r="K37" s="18"/>
    </row>
    <row r="38" customFormat="false" ht="15.75" hidden="false" customHeight="true" outlineLevel="0" collapsed="false">
      <c r="A38" s="18"/>
      <c r="B38" s="20"/>
      <c r="C38" s="18"/>
      <c r="D38" s="18"/>
      <c r="E38" s="18"/>
      <c r="F38" s="18"/>
      <c r="G38" s="19"/>
      <c r="H38" s="20"/>
      <c r="I38" s="18"/>
      <c r="J38" s="20"/>
      <c r="K38" s="18"/>
    </row>
    <row r="39" customFormat="false" ht="15.75" hidden="false" customHeight="true" outlineLevel="0" collapsed="false">
      <c r="A39" s="18"/>
      <c r="B39" s="20"/>
      <c r="C39" s="18"/>
      <c r="D39" s="18"/>
      <c r="E39" s="18"/>
      <c r="F39" s="18"/>
      <c r="G39" s="19"/>
      <c r="H39" s="20"/>
      <c r="I39" s="18"/>
      <c r="J39" s="20"/>
      <c r="K39" s="18"/>
    </row>
    <row r="40" customFormat="false" ht="15.75" hidden="false" customHeight="true" outlineLevel="0" collapsed="false">
      <c r="A40" s="18"/>
      <c r="B40" s="20"/>
      <c r="C40" s="18"/>
      <c r="D40" s="18"/>
      <c r="E40" s="18"/>
      <c r="F40" s="18"/>
      <c r="G40" s="19"/>
      <c r="H40" s="20"/>
      <c r="I40" s="18"/>
      <c r="J40" s="20"/>
      <c r="K40" s="18"/>
    </row>
    <row r="41" customFormat="false" ht="15.75" hidden="false" customHeight="true" outlineLevel="0" collapsed="false">
      <c r="A41" s="18"/>
      <c r="B41" s="20"/>
      <c r="C41" s="18"/>
      <c r="D41" s="18"/>
      <c r="E41" s="18"/>
      <c r="F41" s="18"/>
      <c r="G41" s="19"/>
      <c r="H41" s="20"/>
      <c r="I41" s="18"/>
      <c r="J41" s="20"/>
      <c r="K41" s="18"/>
    </row>
    <row r="42" customFormat="false" ht="15.75" hidden="false" customHeight="true" outlineLevel="0" collapsed="false">
      <c r="A42" s="18"/>
      <c r="B42" s="20"/>
      <c r="C42" s="18"/>
      <c r="D42" s="18"/>
      <c r="E42" s="18"/>
      <c r="F42" s="18"/>
      <c r="G42" s="19"/>
      <c r="H42" s="20"/>
      <c r="I42" s="18"/>
      <c r="J42" s="20"/>
      <c r="K42" s="18"/>
    </row>
    <row r="43" customFormat="false" ht="15.75" hidden="false" customHeight="true" outlineLevel="0" collapsed="false">
      <c r="A43" s="18"/>
      <c r="B43" s="20"/>
      <c r="C43" s="18"/>
      <c r="D43" s="18"/>
      <c r="E43" s="18"/>
      <c r="F43" s="18"/>
      <c r="G43" s="19"/>
      <c r="H43" s="20"/>
      <c r="I43" s="18"/>
      <c r="J43" s="20"/>
      <c r="K43" s="18"/>
    </row>
    <row r="44" customFormat="false" ht="15.75" hidden="false" customHeight="true" outlineLevel="0" collapsed="false">
      <c r="A44" s="18"/>
      <c r="B44" s="20"/>
      <c r="C44" s="18"/>
      <c r="D44" s="18"/>
      <c r="E44" s="18"/>
      <c r="F44" s="18"/>
      <c r="G44" s="19"/>
      <c r="H44" s="20"/>
      <c r="I44" s="18"/>
      <c r="J44" s="20"/>
      <c r="K44" s="18"/>
    </row>
    <row r="45" customFormat="false" ht="15.75" hidden="false" customHeight="true" outlineLevel="0" collapsed="false">
      <c r="A45" s="18"/>
      <c r="B45" s="20"/>
      <c r="C45" s="18"/>
      <c r="D45" s="18"/>
      <c r="E45" s="18"/>
      <c r="F45" s="18"/>
      <c r="G45" s="19"/>
      <c r="H45" s="20"/>
      <c r="I45" s="18"/>
      <c r="J45" s="20"/>
      <c r="K45" s="18"/>
    </row>
    <row r="46" customFormat="false" ht="15.75" hidden="false" customHeight="true" outlineLevel="0" collapsed="false">
      <c r="A46" s="18"/>
      <c r="B46" s="20"/>
      <c r="C46" s="18"/>
      <c r="D46" s="18"/>
      <c r="E46" s="18"/>
      <c r="F46" s="18"/>
      <c r="G46" s="19"/>
      <c r="H46" s="20"/>
      <c r="I46" s="18"/>
      <c r="J46" s="20"/>
      <c r="K46" s="18"/>
    </row>
    <row r="47" customFormat="false" ht="15.75" hidden="false" customHeight="true" outlineLevel="0" collapsed="false">
      <c r="A47" s="18"/>
      <c r="B47" s="20"/>
      <c r="C47" s="18"/>
      <c r="D47" s="18"/>
      <c r="E47" s="18"/>
      <c r="F47" s="18"/>
      <c r="G47" s="19"/>
      <c r="H47" s="20"/>
      <c r="I47" s="18"/>
      <c r="J47" s="20"/>
      <c r="K47" s="18"/>
    </row>
    <row r="48" customFormat="false" ht="15.75" hidden="false" customHeight="true" outlineLevel="0" collapsed="false">
      <c r="A48" s="18"/>
      <c r="B48" s="20"/>
      <c r="C48" s="18"/>
      <c r="D48" s="18"/>
      <c r="E48" s="18"/>
      <c r="F48" s="18"/>
      <c r="G48" s="19"/>
      <c r="H48" s="20"/>
      <c r="I48" s="18"/>
      <c r="J48" s="20"/>
      <c r="K48" s="18"/>
    </row>
    <row r="49" customFormat="false" ht="15.75" hidden="false" customHeight="true" outlineLevel="0" collapsed="false">
      <c r="A49" s="18"/>
      <c r="B49" s="20"/>
      <c r="C49" s="18"/>
      <c r="D49" s="18"/>
      <c r="E49" s="18"/>
      <c r="F49" s="18"/>
      <c r="G49" s="19"/>
      <c r="H49" s="20"/>
      <c r="I49" s="18"/>
      <c r="J49" s="20"/>
      <c r="K49" s="18"/>
    </row>
    <row r="50" customFormat="false" ht="15.75" hidden="false" customHeight="true" outlineLevel="0" collapsed="false">
      <c r="A50" s="18"/>
      <c r="B50" s="20"/>
      <c r="C50" s="18"/>
      <c r="D50" s="18"/>
      <c r="E50" s="18"/>
      <c r="F50" s="18"/>
      <c r="G50" s="19"/>
      <c r="H50" s="20"/>
      <c r="I50" s="18"/>
      <c r="J50" s="20"/>
      <c r="K50" s="18"/>
    </row>
    <row r="51" customFormat="false" ht="15.75" hidden="false" customHeight="true" outlineLevel="0" collapsed="false">
      <c r="A51" s="18"/>
      <c r="B51" s="20"/>
      <c r="C51" s="18"/>
      <c r="D51" s="18"/>
      <c r="E51" s="18"/>
      <c r="F51" s="18"/>
      <c r="G51" s="19"/>
      <c r="H51" s="20"/>
      <c r="I51" s="18"/>
      <c r="J51" s="20"/>
      <c r="K51" s="18"/>
    </row>
    <row r="52" customFormat="false" ht="15.75" hidden="false" customHeight="true" outlineLevel="0" collapsed="false">
      <c r="A52" s="18"/>
      <c r="B52" s="20"/>
      <c r="C52" s="18"/>
      <c r="D52" s="18"/>
      <c r="E52" s="18"/>
      <c r="F52" s="18"/>
      <c r="G52" s="19"/>
      <c r="H52" s="20"/>
      <c r="I52" s="18"/>
      <c r="J52" s="20"/>
      <c r="K52" s="18"/>
    </row>
    <row r="53" customFormat="false" ht="15.75" hidden="false" customHeight="true" outlineLevel="0" collapsed="false">
      <c r="A53" s="18"/>
      <c r="B53" s="20"/>
      <c r="C53" s="18"/>
      <c r="D53" s="18"/>
      <c r="E53" s="18"/>
      <c r="F53" s="18"/>
      <c r="G53" s="19"/>
      <c r="H53" s="20"/>
      <c r="I53" s="18"/>
      <c r="J53" s="20"/>
      <c r="K53" s="18"/>
    </row>
    <row r="54" customFormat="false" ht="15.75" hidden="false" customHeight="true" outlineLevel="0" collapsed="false">
      <c r="A54" s="18"/>
      <c r="B54" s="20"/>
      <c r="C54" s="18"/>
      <c r="D54" s="18"/>
      <c r="E54" s="18"/>
      <c r="F54" s="18"/>
      <c r="G54" s="19"/>
      <c r="H54" s="20"/>
      <c r="I54" s="18"/>
      <c r="J54" s="20"/>
      <c r="K54" s="18"/>
    </row>
    <row r="55" customFormat="false" ht="15.75" hidden="false" customHeight="true" outlineLevel="0" collapsed="false">
      <c r="A55" s="18"/>
      <c r="B55" s="20"/>
      <c r="C55" s="18"/>
      <c r="D55" s="18"/>
      <c r="E55" s="18"/>
      <c r="F55" s="18"/>
      <c r="G55" s="19"/>
      <c r="H55" s="20"/>
      <c r="I55" s="18"/>
      <c r="J55" s="20"/>
      <c r="K55" s="18"/>
    </row>
    <row r="56" customFormat="false" ht="15.75" hidden="false" customHeight="true" outlineLevel="0" collapsed="false">
      <c r="A56" s="18"/>
      <c r="B56" s="20"/>
      <c r="C56" s="18"/>
      <c r="D56" s="18"/>
      <c r="E56" s="18"/>
      <c r="F56" s="18"/>
      <c r="G56" s="19"/>
      <c r="H56" s="20"/>
      <c r="I56" s="18"/>
      <c r="J56" s="20"/>
      <c r="K56" s="18"/>
    </row>
    <row r="57" customFormat="false" ht="15.75" hidden="false" customHeight="true" outlineLevel="0" collapsed="false">
      <c r="A57" s="18"/>
      <c r="B57" s="20"/>
      <c r="C57" s="18"/>
      <c r="D57" s="18"/>
      <c r="E57" s="18"/>
      <c r="F57" s="18"/>
      <c r="G57" s="19"/>
      <c r="H57" s="20"/>
      <c r="I57" s="18"/>
      <c r="J57" s="20"/>
      <c r="K57" s="18"/>
    </row>
    <row r="58" customFormat="false" ht="15.75" hidden="false" customHeight="true" outlineLevel="0" collapsed="false">
      <c r="A58" s="18"/>
      <c r="B58" s="20"/>
      <c r="C58" s="18"/>
      <c r="D58" s="18"/>
      <c r="E58" s="18"/>
      <c r="F58" s="18"/>
      <c r="G58" s="19"/>
      <c r="H58" s="20"/>
      <c r="I58" s="18"/>
      <c r="J58" s="20"/>
      <c r="K58" s="18"/>
    </row>
    <row r="59" customFormat="false" ht="15.75" hidden="false" customHeight="true" outlineLevel="0" collapsed="false">
      <c r="A59" s="18"/>
      <c r="B59" s="20"/>
      <c r="C59" s="18"/>
      <c r="D59" s="18"/>
      <c r="E59" s="18"/>
      <c r="F59" s="18"/>
      <c r="G59" s="19"/>
      <c r="H59" s="20"/>
      <c r="I59" s="18"/>
      <c r="J59" s="20"/>
      <c r="K59" s="18"/>
    </row>
    <row r="60" customFormat="false" ht="15.75" hidden="false" customHeight="true" outlineLevel="0" collapsed="false">
      <c r="A60" s="18"/>
      <c r="B60" s="20"/>
      <c r="C60" s="18"/>
      <c r="D60" s="18"/>
      <c r="E60" s="18"/>
      <c r="F60" s="18"/>
      <c r="G60" s="19"/>
      <c r="H60" s="20"/>
      <c r="I60" s="18"/>
      <c r="J60" s="20"/>
      <c r="K60" s="18"/>
    </row>
    <row r="61" customFormat="false" ht="15.75" hidden="false" customHeight="true" outlineLevel="0" collapsed="false">
      <c r="A61" s="18"/>
      <c r="B61" s="20"/>
      <c r="C61" s="18"/>
      <c r="D61" s="18"/>
      <c r="E61" s="18"/>
      <c r="F61" s="18"/>
      <c r="G61" s="19"/>
      <c r="H61" s="20"/>
      <c r="I61" s="18"/>
      <c r="J61" s="20"/>
      <c r="K61" s="18"/>
    </row>
    <row r="62" customFormat="false" ht="15.75" hidden="false" customHeight="true" outlineLevel="0" collapsed="false">
      <c r="A62" s="18"/>
      <c r="B62" s="20"/>
      <c r="C62" s="18"/>
      <c r="D62" s="18"/>
      <c r="E62" s="18"/>
      <c r="F62" s="18"/>
      <c r="G62" s="19"/>
      <c r="H62" s="20"/>
      <c r="I62" s="18"/>
      <c r="J62" s="20"/>
      <c r="K62" s="18"/>
    </row>
    <row r="63" customFormat="false" ht="15.75" hidden="false" customHeight="true" outlineLevel="0" collapsed="false">
      <c r="A63" s="18"/>
      <c r="B63" s="20"/>
      <c r="C63" s="18"/>
      <c r="D63" s="18"/>
      <c r="E63" s="18"/>
      <c r="F63" s="18"/>
      <c r="G63" s="19"/>
      <c r="H63" s="20"/>
      <c r="I63" s="18"/>
      <c r="J63" s="20"/>
      <c r="K63" s="18"/>
    </row>
    <row r="64" customFormat="false" ht="15.75" hidden="false" customHeight="true" outlineLevel="0" collapsed="false">
      <c r="A64" s="18"/>
      <c r="B64" s="20"/>
      <c r="C64" s="18"/>
      <c r="D64" s="18"/>
      <c r="E64" s="18"/>
      <c r="F64" s="18"/>
      <c r="G64" s="19"/>
      <c r="H64" s="20"/>
      <c r="I64" s="18"/>
      <c r="J64" s="20"/>
      <c r="K64" s="18"/>
    </row>
    <row r="65" customFormat="false" ht="15.75" hidden="false" customHeight="true" outlineLevel="0" collapsed="false">
      <c r="A65" s="18"/>
      <c r="B65" s="20"/>
      <c r="C65" s="18"/>
      <c r="D65" s="18"/>
      <c r="E65" s="18"/>
      <c r="F65" s="18"/>
      <c r="G65" s="19"/>
      <c r="H65" s="20"/>
      <c r="I65" s="18"/>
      <c r="J65" s="20"/>
      <c r="K65" s="18"/>
    </row>
    <row r="66" customFormat="false" ht="15.75" hidden="false" customHeight="true" outlineLevel="0" collapsed="false">
      <c r="A66" s="18"/>
      <c r="B66" s="20"/>
      <c r="C66" s="18"/>
      <c r="D66" s="18"/>
      <c r="E66" s="18"/>
      <c r="F66" s="18"/>
      <c r="G66" s="19"/>
      <c r="H66" s="20"/>
      <c r="I66" s="18"/>
      <c r="J66" s="20"/>
      <c r="K66" s="18"/>
    </row>
    <row r="67" customFormat="false" ht="15.75" hidden="false" customHeight="true" outlineLevel="0" collapsed="false">
      <c r="A67" s="18"/>
      <c r="B67" s="20"/>
      <c r="C67" s="18"/>
      <c r="D67" s="18"/>
      <c r="E67" s="18"/>
      <c r="F67" s="18"/>
      <c r="G67" s="19"/>
      <c r="H67" s="20"/>
      <c r="I67" s="18"/>
      <c r="J67" s="20"/>
      <c r="K67" s="18"/>
    </row>
    <row r="68" customFormat="false" ht="15.75" hidden="false" customHeight="true" outlineLevel="0" collapsed="false">
      <c r="A68" s="18"/>
      <c r="B68" s="20"/>
      <c r="C68" s="18"/>
      <c r="D68" s="18"/>
      <c r="E68" s="18"/>
      <c r="F68" s="18"/>
      <c r="G68" s="19"/>
      <c r="H68" s="20"/>
      <c r="I68" s="18"/>
      <c r="J68" s="20"/>
      <c r="K68" s="18"/>
    </row>
    <row r="69" customFormat="false" ht="15.75" hidden="false" customHeight="true" outlineLevel="0" collapsed="false">
      <c r="A69" s="18"/>
      <c r="B69" s="20"/>
      <c r="C69" s="18"/>
      <c r="D69" s="18"/>
      <c r="E69" s="18"/>
      <c r="F69" s="18"/>
      <c r="G69" s="19"/>
      <c r="H69" s="20"/>
      <c r="I69" s="18"/>
      <c r="J69" s="20"/>
      <c r="K69" s="18"/>
    </row>
    <row r="70" customFormat="false" ht="15.75" hidden="false" customHeight="true" outlineLevel="0" collapsed="false">
      <c r="A70" s="18"/>
      <c r="B70" s="20"/>
      <c r="C70" s="18"/>
      <c r="D70" s="18"/>
      <c r="E70" s="18"/>
      <c r="F70" s="18"/>
      <c r="G70" s="19"/>
      <c r="H70" s="20"/>
      <c r="I70" s="18"/>
      <c r="J70" s="20"/>
      <c r="K70" s="18"/>
    </row>
    <row r="71" customFormat="false" ht="15.75" hidden="false" customHeight="true" outlineLevel="0" collapsed="false">
      <c r="A71" s="18"/>
      <c r="B71" s="20"/>
      <c r="C71" s="18"/>
      <c r="D71" s="18"/>
      <c r="E71" s="18"/>
      <c r="F71" s="18"/>
      <c r="G71" s="19"/>
      <c r="H71" s="20"/>
      <c r="I71" s="18"/>
      <c r="J71" s="20"/>
      <c r="K71" s="18"/>
    </row>
    <row r="72" customFormat="false" ht="15.75" hidden="false" customHeight="true" outlineLevel="0" collapsed="false">
      <c r="A72" s="18"/>
      <c r="B72" s="20"/>
      <c r="C72" s="18"/>
      <c r="D72" s="18"/>
      <c r="E72" s="18"/>
      <c r="F72" s="18"/>
      <c r="G72" s="19"/>
      <c r="H72" s="20"/>
      <c r="I72" s="18"/>
      <c r="J72" s="20"/>
      <c r="K72" s="18"/>
    </row>
    <row r="73" customFormat="false" ht="15.75" hidden="false" customHeight="true" outlineLevel="0" collapsed="false">
      <c r="A73" s="18"/>
      <c r="B73" s="20"/>
      <c r="C73" s="18"/>
      <c r="D73" s="18"/>
      <c r="E73" s="18"/>
      <c r="F73" s="18"/>
      <c r="G73" s="19"/>
      <c r="H73" s="20"/>
      <c r="I73" s="18"/>
      <c r="J73" s="20"/>
      <c r="K73" s="18"/>
    </row>
    <row r="74" customFormat="false" ht="15.75" hidden="false" customHeight="true" outlineLevel="0" collapsed="false">
      <c r="A74" s="18"/>
      <c r="B74" s="20"/>
      <c r="C74" s="18"/>
      <c r="D74" s="18"/>
      <c r="E74" s="18"/>
      <c r="F74" s="18"/>
      <c r="G74" s="19"/>
      <c r="H74" s="20"/>
      <c r="I74" s="18"/>
      <c r="J74" s="20"/>
      <c r="K74" s="18"/>
    </row>
    <row r="75" customFormat="false" ht="15.75" hidden="false" customHeight="true" outlineLevel="0" collapsed="false">
      <c r="A75" s="18"/>
      <c r="B75" s="20"/>
      <c r="C75" s="18"/>
      <c r="D75" s="18"/>
      <c r="E75" s="18"/>
      <c r="F75" s="18"/>
      <c r="G75" s="19"/>
      <c r="H75" s="20"/>
      <c r="I75" s="18"/>
      <c r="J75" s="20"/>
      <c r="K75" s="18"/>
    </row>
    <row r="76" customFormat="false" ht="15.75" hidden="false" customHeight="true" outlineLevel="0" collapsed="false">
      <c r="A76" s="18"/>
      <c r="B76" s="20"/>
      <c r="C76" s="18"/>
      <c r="D76" s="18"/>
      <c r="E76" s="18"/>
      <c r="F76" s="18"/>
      <c r="G76" s="19"/>
      <c r="H76" s="20"/>
      <c r="I76" s="18"/>
      <c r="J76" s="20"/>
      <c r="K76" s="18"/>
    </row>
    <row r="77" customFormat="false" ht="15.75" hidden="false" customHeight="true" outlineLevel="0" collapsed="false">
      <c r="A77" s="18"/>
      <c r="B77" s="20"/>
      <c r="C77" s="18"/>
      <c r="D77" s="18"/>
      <c r="E77" s="18"/>
      <c r="F77" s="18"/>
      <c r="G77" s="19"/>
      <c r="H77" s="20"/>
      <c r="I77" s="18"/>
      <c r="J77" s="20"/>
      <c r="K77" s="18"/>
    </row>
    <row r="78" customFormat="false" ht="15.75" hidden="false" customHeight="true" outlineLevel="0" collapsed="false">
      <c r="A78" s="18"/>
      <c r="B78" s="20"/>
      <c r="C78" s="18"/>
      <c r="D78" s="18"/>
      <c r="E78" s="18"/>
      <c r="F78" s="18"/>
      <c r="G78" s="19"/>
      <c r="H78" s="20"/>
      <c r="I78" s="18"/>
      <c r="J78" s="20"/>
      <c r="K78" s="18"/>
    </row>
    <row r="79" customFormat="false" ht="15.75" hidden="false" customHeight="true" outlineLevel="0" collapsed="false">
      <c r="A79" s="18"/>
      <c r="B79" s="20"/>
      <c r="C79" s="18"/>
      <c r="D79" s="18"/>
      <c r="E79" s="18"/>
      <c r="F79" s="18"/>
      <c r="G79" s="19"/>
      <c r="H79" s="20"/>
      <c r="I79" s="18"/>
      <c r="J79" s="20"/>
      <c r="K79" s="18"/>
    </row>
    <row r="80" customFormat="false" ht="15.75" hidden="false" customHeight="true" outlineLevel="0" collapsed="false">
      <c r="A80" s="18"/>
      <c r="B80" s="20"/>
      <c r="C80" s="18"/>
      <c r="D80" s="18"/>
      <c r="E80" s="18"/>
      <c r="F80" s="18"/>
      <c r="G80" s="19"/>
      <c r="H80" s="20"/>
      <c r="I80" s="18"/>
      <c r="J80" s="20"/>
      <c r="K80" s="18"/>
    </row>
    <row r="81" customFormat="false" ht="15.75" hidden="false" customHeight="true" outlineLevel="0" collapsed="false">
      <c r="A81" s="18"/>
      <c r="B81" s="20"/>
      <c r="C81" s="18"/>
      <c r="D81" s="18"/>
      <c r="E81" s="18"/>
      <c r="F81" s="18"/>
      <c r="G81" s="19"/>
      <c r="H81" s="20"/>
      <c r="I81" s="18"/>
      <c r="J81" s="20"/>
      <c r="K81" s="18"/>
    </row>
    <row r="82" customFormat="false" ht="15.75" hidden="false" customHeight="true" outlineLevel="0" collapsed="false">
      <c r="A82" s="18"/>
      <c r="B82" s="20"/>
      <c r="C82" s="18"/>
      <c r="D82" s="18"/>
      <c r="E82" s="18"/>
      <c r="F82" s="18"/>
      <c r="G82" s="19"/>
      <c r="H82" s="20"/>
      <c r="I82" s="18"/>
      <c r="J82" s="20"/>
      <c r="K82" s="18"/>
    </row>
    <row r="83" customFormat="false" ht="15.75" hidden="false" customHeight="true" outlineLevel="0" collapsed="false">
      <c r="A83" s="18"/>
      <c r="B83" s="20"/>
      <c r="C83" s="18"/>
      <c r="D83" s="18"/>
      <c r="E83" s="18"/>
      <c r="F83" s="18"/>
      <c r="G83" s="19"/>
      <c r="H83" s="20"/>
      <c r="I83" s="18"/>
      <c r="J83" s="20"/>
      <c r="K83" s="18"/>
    </row>
    <row r="84" customFormat="false" ht="15.75" hidden="false" customHeight="true" outlineLevel="0" collapsed="false">
      <c r="A84" s="18"/>
      <c r="B84" s="20"/>
      <c r="C84" s="18"/>
      <c r="D84" s="18"/>
      <c r="E84" s="18"/>
      <c r="F84" s="18"/>
      <c r="G84" s="19"/>
      <c r="H84" s="20"/>
      <c r="I84" s="18"/>
      <c r="J84" s="20"/>
      <c r="K84" s="18"/>
    </row>
    <row r="85" customFormat="false" ht="15.75" hidden="false" customHeight="true" outlineLevel="0" collapsed="false">
      <c r="A85" s="18"/>
      <c r="B85" s="20"/>
      <c r="C85" s="18"/>
      <c r="D85" s="18"/>
      <c r="E85" s="18"/>
      <c r="F85" s="18"/>
      <c r="G85" s="19"/>
      <c r="H85" s="20"/>
      <c r="I85" s="18"/>
      <c r="J85" s="20"/>
      <c r="K85" s="18"/>
    </row>
    <row r="86" customFormat="false" ht="15.75" hidden="false" customHeight="true" outlineLevel="0" collapsed="false">
      <c r="A86" s="18"/>
      <c r="B86" s="20"/>
      <c r="C86" s="18"/>
      <c r="D86" s="18"/>
      <c r="E86" s="18"/>
      <c r="F86" s="18"/>
      <c r="G86" s="19"/>
      <c r="H86" s="20"/>
      <c r="I86" s="18"/>
      <c r="J86" s="20"/>
      <c r="K86" s="18"/>
    </row>
    <row r="87" customFormat="false" ht="15.75" hidden="false" customHeight="true" outlineLevel="0" collapsed="false">
      <c r="A87" s="18"/>
      <c r="B87" s="20"/>
      <c r="C87" s="18"/>
      <c r="D87" s="18"/>
      <c r="E87" s="18"/>
      <c r="F87" s="18"/>
      <c r="G87" s="19"/>
      <c r="H87" s="20"/>
      <c r="I87" s="18"/>
      <c r="J87" s="20"/>
      <c r="K87" s="18"/>
    </row>
    <row r="88" customFormat="false" ht="15.75" hidden="false" customHeight="true" outlineLevel="0" collapsed="false">
      <c r="A88" s="18"/>
      <c r="B88" s="20"/>
      <c r="C88" s="18"/>
      <c r="D88" s="18"/>
      <c r="E88" s="18"/>
      <c r="F88" s="18"/>
      <c r="G88" s="19"/>
      <c r="H88" s="20"/>
      <c r="I88" s="18"/>
      <c r="J88" s="20"/>
      <c r="K88" s="18"/>
    </row>
    <row r="89" customFormat="false" ht="15.75" hidden="false" customHeight="true" outlineLevel="0" collapsed="false">
      <c r="A89" s="18"/>
      <c r="B89" s="20"/>
      <c r="C89" s="18"/>
      <c r="D89" s="18"/>
      <c r="E89" s="18"/>
      <c r="F89" s="18"/>
      <c r="G89" s="19"/>
      <c r="H89" s="20"/>
      <c r="I89" s="18"/>
      <c r="J89" s="20"/>
      <c r="K89" s="18"/>
    </row>
    <row r="90" customFormat="false" ht="15.75" hidden="false" customHeight="true" outlineLevel="0" collapsed="false">
      <c r="A90" s="18"/>
      <c r="B90" s="20"/>
      <c r="C90" s="18"/>
      <c r="D90" s="18"/>
      <c r="E90" s="18"/>
      <c r="F90" s="18"/>
      <c r="G90" s="19"/>
      <c r="H90" s="20"/>
      <c r="I90" s="18"/>
      <c r="J90" s="20"/>
      <c r="K90" s="18"/>
    </row>
    <row r="91" customFormat="false" ht="15.75" hidden="false" customHeight="true" outlineLevel="0" collapsed="false">
      <c r="A91" s="18"/>
      <c r="B91" s="20"/>
      <c r="C91" s="18"/>
      <c r="D91" s="18"/>
      <c r="E91" s="18"/>
      <c r="F91" s="18"/>
      <c r="G91" s="19"/>
      <c r="H91" s="20"/>
      <c r="I91" s="18"/>
      <c r="J91" s="20"/>
      <c r="K91" s="18"/>
    </row>
    <row r="92" customFormat="false" ht="15.75" hidden="false" customHeight="true" outlineLevel="0" collapsed="false">
      <c r="A92" s="18"/>
      <c r="B92" s="20"/>
      <c r="C92" s="18"/>
      <c r="D92" s="18"/>
      <c r="E92" s="18"/>
      <c r="F92" s="18"/>
      <c r="G92" s="19"/>
      <c r="H92" s="20"/>
      <c r="I92" s="18"/>
      <c r="J92" s="20"/>
      <c r="K92" s="18"/>
    </row>
    <row r="93" customFormat="false" ht="15.75" hidden="false" customHeight="true" outlineLevel="0" collapsed="false">
      <c r="A93" s="18"/>
      <c r="B93" s="20"/>
      <c r="C93" s="18"/>
      <c r="D93" s="18"/>
      <c r="E93" s="18"/>
      <c r="F93" s="18"/>
      <c r="G93" s="19"/>
      <c r="H93" s="20"/>
      <c r="I93" s="18"/>
      <c r="J93" s="20"/>
      <c r="K93" s="18"/>
    </row>
    <row r="94" customFormat="false" ht="15.75" hidden="false" customHeight="true" outlineLevel="0" collapsed="false">
      <c r="A94" s="18"/>
      <c r="B94" s="20"/>
      <c r="C94" s="18"/>
      <c r="D94" s="18"/>
      <c r="E94" s="18"/>
      <c r="F94" s="18"/>
      <c r="G94" s="19"/>
      <c r="H94" s="20"/>
      <c r="I94" s="18"/>
      <c r="J94" s="20"/>
      <c r="K94" s="18"/>
    </row>
    <row r="95" customFormat="false" ht="15.75" hidden="false" customHeight="true" outlineLevel="0" collapsed="false">
      <c r="A95" s="18"/>
      <c r="B95" s="20"/>
      <c r="C95" s="18"/>
      <c r="D95" s="18"/>
      <c r="E95" s="18"/>
      <c r="F95" s="18"/>
      <c r="G95" s="19"/>
      <c r="H95" s="20"/>
      <c r="I95" s="18"/>
      <c r="J95" s="20"/>
      <c r="K95" s="18"/>
    </row>
    <row r="96" customFormat="false" ht="15.75" hidden="false" customHeight="true" outlineLevel="0" collapsed="false">
      <c r="A96" s="18"/>
      <c r="B96" s="20"/>
      <c r="C96" s="18"/>
      <c r="D96" s="18"/>
      <c r="E96" s="18"/>
      <c r="F96" s="18"/>
      <c r="G96" s="19"/>
      <c r="H96" s="20"/>
      <c r="I96" s="18"/>
      <c r="J96" s="20"/>
      <c r="K96" s="18"/>
    </row>
    <row r="97" customFormat="false" ht="15.75" hidden="false" customHeight="true" outlineLevel="0" collapsed="false">
      <c r="A97" s="18"/>
      <c r="B97" s="20"/>
      <c r="C97" s="18"/>
      <c r="D97" s="18"/>
      <c r="E97" s="18"/>
      <c r="F97" s="18"/>
      <c r="G97" s="19"/>
      <c r="H97" s="20"/>
      <c r="I97" s="18"/>
      <c r="J97" s="20"/>
      <c r="K97" s="18"/>
    </row>
    <row r="98" customFormat="false" ht="15.75" hidden="false" customHeight="true" outlineLevel="0" collapsed="false">
      <c r="A98" s="18"/>
      <c r="B98" s="20"/>
      <c r="C98" s="18"/>
      <c r="D98" s="18"/>
      <c r="E98" s="18"/>
      <c r="F98" s="18"/>
      <c r="G98" s="19"/>
      <c r="H98" s="20"/>
      <c r="I98" s="18"/>
      <c r="J98" s="20"/>
      <c r="K98" s="18"/>
    </row>
    <row r="99" customFormat="false" ht="15.75" hidden="false" customHeight="true" outlineLevel="0" collapsed="false">
      <c r="A99" s="18"/>
      <c r="B99" s="20"/>
      <c r="C99" s="18"/>
      <c r="D99" s="18"/>
      <c r="E99" s="18"/>
      <c r="F99" s="18"/>
      <c r="G99" s="19"/>
      <c r="H99" s="20"/>
      <c r="I99" s="18"/>
      <c r="J99" s="20"/>
      <c r="K99" s="18"/>
    </row>
    <row r="100" customFormat="false" ht="15.75" hidden="false" customHeight="true" outlineLevel="0" collapsed="false">
      <c r="A100" s="18"/>
      <c r="B100" s="20"/>
      <c r="C100" s="18"/>
      <c r="D100" s="18"/>
      <c r="E100" s="18"/>
      <c r="F100" s="18"/>
      <c r="G100" s="19"/>
      <c r="H100" s="20"/>
      <c r="I100" s="18"/>
      <c r="J100" s="20"/>
      <c r="K100" s="18"/>
    </row>
    <row r="101" customFormat="false" ht="15.75" hidden="false" customHeight="true" outlineLevel="0" collapsed="false">
      <c r="A101" s="18"/>
      <c r="B101" s="20"/>
      <c r="C101" s="18"/>
      <c r="D101" s="18"/>
      <c r="E101" s="18"/>
      <c r="F101" s="18"/>
      <c r="G101" s="19"/>
      <c r="H101" s="20"/>
      <c r="I101" s="18"/>
      <c r="J101" s="20"/>
      <c r="K101" s="18"/>
    </row>
    <row r="102" customFormat="false" ht="15.75" hidden="false" customHeight="true" outlineLevel="0" collapsed="false">
      <c r="A102" s="18"/>
      <c r="B102" s="20"/>
      <c r="C102" s="18"/>
      <c r="D102" s="18"/>
      <c r="E102" s="18"/>
      <c r="F102" s="18"/>
      <c r="G102" s="19"/>
      <c r="H102" s="20"/>
      <c r="I102" s="18"/>
      <c r="J102" s="20"/>
      <c r="K102" s="18"/>
    </row>
    <row r="103" customFormat="false" ht="15.75" hidden="false" customHeight="true" outlineLevel="0" collapsed="false">
      <c r="A103" s="18"/>
      <c r="B103" s="20"/>
      <c r="C103" s="18"/>
      <c r="D103" s="18"/>
      <c r="E103" s="18"/>
      <c r="F103" s="18"/>
      <c r="G103" s="19"/>
      <c r="H103" s="20"/>
      <c r="I103" s="18"/>
      <c r="J103" s="20"/>
      <c r="K103" s="18"/>
    </row>
    <row r="104" customFormat="false" ht="15.75" hidden="false" customHeight="true" outlineLevel="0" collapsed="false">
      <c r="A104" s="18"/>
      <c r="B104" s="20"/>
      <c r="C104" s="18"/>
      <c r="D104" s="18"/>
      <c r="E104" s="18"/>
      <c r="F104" s="18"/>
      <c r="G104" s="19"/>
      <c r="H104" s="20"/>
      <c r="I104" s="18"/>
      <c r="J104" s="20"/>
      <c r="K104" s="18"/>
    </row>
    <row r="105" customFormat="false" ht="15.75" hidden="false" customHeight="true" outlineLevel="0" collapsed="false">
      <c r="A105" s="18"/>
      <c r="B105" s="20"/>
      <c r="C105" s="18"/>
      <c r="D105" s="18"/>
      <c r="E105" s="18"/>
      <c r="F105" s="18"/>
      <c r="G105" s="19"/>
      <c r="H105" s="20"/>
      <c r="I105" s="18"/>
      <c r="J105" s="20"/>
      <c r="K105" s="18"/>
    </row>
    <row r="106" customFormat="false" ht="15.75" hidden="false" customHeight="true" outlineLevel="0" collapsed="false">
      <c r="A106" s="18"/>
      <c r="B106" s="20"/>
      <c r="C106" s="18"/>
      <c r="D106" s="18"/>
      <c r="E106" s="18"/>
      <c r="F106" s="18"/>
      <c r="G106" s="19"/>
      <c r="H106" s="20"/>
      <c r="I106" s="18"/>
      <c r="J106" s="20"/>
      <c r="K106" s="18"/>
    </row>
    <row r="107" customFormat="false" ht="15.75" hidden="false" customHeight="true" outlineLevel="0" collapsed="false">
      <c r="A107" s="18"/>
      <c r="B107" s="20"/>
      <c r="C107" s="18"/>
      <c r="D107" s="18"/>
      <c r="E107" s="18"/>
      <c r="F107" s="18"/>
      <c r="G107" s="19"/>
      <c r="H107" s="20"/>
      <c r="I107" s="18"/>
      <c r="J107" s="20"/>
      <c r="K107" s="18"/>
    </row>
    <row r="108" customFormat="false" ht="15.75" hidden="false" customHeight="true" outlineLevel="0" collapsed="false">
      <c r="A108" s="18"/>
      <c r="B108" s="20"/>
      <c r="C108" s="18"/>
      <c r="D108" s="18"/>
      <c r="E108" s="18"/>
      <c r="F108" s="18"/>
      <c r="G108" s="19"/>
      <c r="H108" s="20"/>
      <c r="I108" s="18"/>
      <c r="J108" s="20"/>
      <c r="K108" s="18"/>
    </row>
    <row r="109" customFormat="false" ht="15.75" hidden="false" customHeight="true" outlineLevel="0" collapsed="false">
      <c r="A109" s="18"/>
      <c r="B109" s="20"/>
      <c r="C109" s="18"/>
      <c r="D109" s="18"/>
      <c r="E109" s="18"/>
      <c r="F109" s="18"/>
      <c r="G109" s="19"/>
      <c r="H109" s="20"/>
      <c r="I109" s="18"/>
      <c r="J109" s="20"/>
      <c r="K109" s="18"/>
    </row>
    <row r="110" customFormat="false" ht="15.75" hidden="false" customHeight="true" outlineLevel="0" collapsed="false">
      <c r="A110" s="18"/>
      <c r="B110" s="20"/>
      <c r="C110" s="18"/>
      <c r="D110" s="18"/>
      <c r="E110" s="18"/>
      <c r="F110" s="18"/>
      <c r="G110" s="19"/>
      <c r="H110" s="20"/>
      <c r="I110" s="18"/>
      <c r="J110" s="20"/>
      <c r="K110" s="18"/>
    </row>
    <row r="111" customFormat="false" ht="15.75" hidden="false" customHeight="true" outlineLevel="0" collapsed="false">
      <c r="A111" s="18"/>
      <c r="B111" s="20"/>
      <c r="C111" s="18"/>
      <c r="D111" s="18"/>
      <c r="E111" s="18"/>
      <c r="F111" s="18"/>
      <c r="G111" s="19"/>
      <c r="H111" s="20"/>
      <c r="I111" s="18"/>
      <c r="J111" s="20"/>
      <c r="K111" s="18"/>
    </row>
    <row r="112" customFormat="false" ht="15.75" hidden="false" customHeight="true" outlineLevel="0" collapsed="false">
      <c r="A112" s="18"/>
      <c r="B112" s="20"/>
      <c r="C112" s="18"/>
      <c r="D112" s="18"/>
      <c r="E112" s="18"/>
      <c r="F112" s="18"/>
      <c r="G112" s="19"/>
      <c r="H112" s="20"/>
      <c r="I112" s="18"/>
      <c r="J112" s="20"/>
      <c r="K112" s="18"/>
    </row>
    <row r="113" customFormat="false" ht="15.75" hidden="false" customHeight="true" outlineLevel="0" collapsed="false">
      <c r="A113" s="18"/>
      <c r="B113" s="20"/>
      <c r="C113" s="18"/>
      <c r="D113" s="18"/>
      <c r="E113" s="18"/>
      <c r="F113" s="18"/>
      <c r="G113" s="19"/>
      <c r="H113" s="20"/>
      <c r="I113" s="18"/>
      <c r="J113" s="20"/>
      <c r="K113" s="18"/>
    </row>
    <row r="114" customFormat="false" ht="15.75" hidden="false" customHeight="true" outlineLevel="0" collapsed="false">
      <c r="A114" s="18"/>
      <c r="B114" s="20"/>
      <c r="C114" s="18"/>
      <c r="D114" s="18"/>
      <c r="E114" s="18"/>
      <c r="F114" s="18"/>
      <c r="G114" s="19"/>
      <c r="H114" s="20"/>
      <c r="I114" s="18"/>
      <c r="J114" s="20"/>
      <c r="K114" s="18"/>
    </row>
    <row r="115" customFormat="false" ht="15.75" hidden="false" customHeight="true" outlineLevel="0" collapsed="false">
      <c r="A115" s="18"/>
      <c r="B115" s="20"/>
      <c r="C115" s="18"/>
      <c r="D115" s="18"/>
      <c r="E115" s="18"/>
      <c r="F115" s="18"/>
      <c r="G115" s="19"/>
      <c r="H115" s="20"/>
      <c r="I115" s="18"/>
      <c r="J115" s="20"/>
      <c r="K115" s="18"/>
    </row>
    <row r="116" customFormat="false" ht="15.75" hidden="false" customHeight="true" outlineLevel="0" collapsed="false">
      <c r="A116" s="18"/>
      <c r="B116" s="20"/>
      <c r="C116" s="18"/>
      <c r="D116" s="18"/>
      <c r="E116" s="18"/>
      <c r="F116" s="18"/>
      <c r="G116" s="19"/>
      <c r="H116" s="20"/>
      <c r="I116" s="18"/>
      <c r="J116" s="20"/>
      <c r="K116" s="18"/>
    </row>
    <row r="117" customFormat="false" ht="15.75" hidden="false" customHeight="true" outlineLevel="0" collapsed="false">
      <c r="A117" s="18"/>
      <c r="B117" s="20"/>
      <c r="C117" s="18"/>
      <c r="D117" s="18"/>
      <c r="E117" s="18"/>
      <c r="F117" s="18"/>
      <c r="G117" s="19"/>
      <c r="H117" s="20"/>
      <c r="I117" s="18"/>
      <c r="J117" s="20"/>
      <c r="K117" s="18"/>
    </row>
    <row r="118" customFormat="false" ht="15.75" hidden="false" customHeight="true" outlineLevel="0" collapsed="false">
      <c r="A118" s="18"/>
      <c r="B118" s="20"/>
      <c r="C118" s="18"/>
      <c r="D118" s="18"/>
      <c r="E118" s="18"/>
      <c r="F118" s="18"/>
      <c r="G118" s="19"/>
      <c r="H118" s="20"/>
      <c r="I118" s="18"/>
      <c r="J118" s="20"/>
      <c r="K118" s="18"/>
    </row>
    <row r="119" customFormat="false" ht="15.75" hidden="false" customHeight="true" outlineLevel="0" collapsed="false">
      <c r="A119" s="18"/>
      <c r="B119" s="20"/>
      <c r="C119" s="18"/>
      <c r="D119" s="18"/>
      <c r="E119" s="18"/>
      <c r="F119" s="18"/>
      <c r="G119" s="19"/>
      <c r="H119" s="20"/>
      <c r="I119" s="18"/>
      <c r="J119" s="20"/>
      <c r="K119" s="18"/>
    </row>
    <row r="120" customFormat="false" ht="15.75" hidden="false" customHeight="true" outlineLevel="0" collapsed="false">
      <c r="A120" s="18"/>
      <c r="B120" s="20"/>
      <c r="C120" s="18"/>
      <c r="D120" s="18"/>
      <c r="E120" s="18"/>
      <c r="F120" s="18"/>
      <c r="G120" s="19"/>
      <c r="H120" s="20"/>
      <c r="I120" s="18"/>
      <c r="J120" s="20"/>
      <c r="K120" s="18"/>
    </row>
    <row r="121" customFormat="false" ht="15.75" hidden="false" customHeight="true" outlineLevel="0" collapsed="false">
      <c r="A121" s="18"/>
      <c r="B121" s="20"/>
      <c r="C121" s="18"/>
      <c r="D121" s="18"/>
      <c r="E121" s="18"/>
      <c r="F121" s="18"/>
      <c r="G121" s="19"/>
      <c r="H121" s="20"/>
      <c r="I121" s="18"/>
      <c r="J121" s="20"/>
      <c r="K121" s="18"/>
    </row>
    <row r="122" customFormat="false" ht="15.75" hidden="false" customHeight="true" outlineLevel="0" collapsed="false">
      <c r="A122" s="18"/>
      <c r="B122" s="20"/>
      <c r="C122" s="18"/>
      <c r="D122" s="18"/>
      <c r="E122" s="18"/>
      <c r="F122" s="18"/>
      <c r="G122" s="19"/>
      <c r="H122" s="20"/>
      <c r="I122" s="18"/>
      <c r="J122" s="20"/>
      <c r="K122" s="18"/>
    </row>
    <row r="123" customFormat="false" ht="15.75" hidden="false" customHeight="true" outlineLevel="0" collapsed="false">
      <c r="A123" s="18"/>
      <c r="B123" s="20"/>
      <c r="C123" s="18"/>
      <c r="D123" s="18"/>
      <c r="E123" s="18"/>
      <c r="F123" s="18"/>
      <c r="G123" s="19"/>
      <c r="H123" s="20"/>
      <c r="I123" s="18"/>
      <c r="J123" s="20"/>
      <c r="K123" s="18"/>
    </row>
    <row r="124" customFormat="false" ht="15.75" hidden="false" customHeight="true" outlineLevel="0" collapsed="false">
      <c r="A124" s="18"/>
      <c r="B124" s="20"/>
      <c r="C124" s="18"/>
      <c r="D124" s="18"/>
      <c r="E124" s="18"/>
      <c r="F124" s="18"/>
      <c r="G124" s="19"/>
      <c r="H124" s="20"/>
      <c r="I124" s="18"/>
      <c r="J124" s="20"/>
      <c r="K124" s="18"/>
    </row>
    <row r="125" customFormat="false" ht="15.75" hidden="false" customHeight="true" outlineLevel="0" collapsed="false">
      <c r="A125" s="18"/>
      <c r="B125" s="20"/>
      <c r="C125" s="18"/>
      <c r="D125" s="18"/>
      <c r="E125" s="18"/>
      <c r="F125" s="18"/>
      <c r="G125" s="19"/>
      <c r="H125" s="20"/>
      <c r="I125" s="18"/>
      <c r="J125" s="20"/>
      <c r="K125" s="18"/>
    </row>
    <row r="126" customFormat="false" ht="15.75" hidden="false" customHeight="true" outlineLevel="0" collapsed="false">
      <c r="A126" s="18"/>
      <c r="B126" s="20"/>
      <c r="C126" s="18"/>
      <c r="D126" s="18"/>
      <c r="E126" s="18"/>
      <c r="F126" s="18"/>
      <c r="G126" s="19"/>
      <c r="H126" s="20"/>
      <c r="I126" s="18"/>
      <c r="J126" s="20"/>
      <c r="K126" s="18"/>
    </row>
    <row r="127" customFormat="false" ht="15.75" hidden="false" customHeight="true" outlineLevel="0" collapsed="false">
      <c r="A127" s="18"/>
      <c r="B127" s="20"/>
      <c r="C127" s="18"/>
      <c r="D127" s="18"/>
      <c r="E127" s="18"/>
      <c r="F127" s="18"/>
      <c r="G127" s="19"/>
      <c r="H127" s="20"/>
      <c r="I127" s="18"/>
      <c r="J127" s="20"/>
      <c r="K127" s="18"/>
    </row>
    <row r="128" customFormat="false" ht="15.75" hidden="false" customHeight="true" outlineLevel="0" collapsed="false">
      <c r="A128" s="18"/>
      <c r="B128" s="20"/>
      <c r="C128" s="18"/>
      <c r="D128" s="18"/>
      <c r="E128" s="18"/>
      <c r="F128" s="18"/>
      <c r="G128" s="19"/>
      <c r="H128" s="20"/>
      <c r="I128" s="18"/>
      <c r="J128" s="20"/>
      <c r="K128" s="18"/>
    </row>
    <row r="129" customFormat="false" ht="15.75" hidden="false" customHeight="true" outlineLevel="0" collapsed="false">
      <c r="A129" s="18"/>
      <c r="B129" s="20"/>
      <c r="C129" s="18"/>
      <c r="D129" s="18"/>
      <c r="E129" s="18"/>
      <c r="F129" s="18"/>
      <c r="G129" s="19"/>
      <c r="H129" s="20"/>
      <c r="I129" s="18"/>
      <c r="J129" s="20"/>
      <c r="K129" s="18"/>
    </row>
    <row r="130" customFormat="false" ht="15.75" hidden="false" customHeight="true" outlineLevel="0" collapsed="false">
      <c r="A130" s="18"/>
      <c r="B130" s="20"/>
      <c r="C130" s="18"/>
      <c r="D130" s="18"/>
      <c r="E130" s="18"/>
      <c r="F130" s="18"/>
      <c r="G130" s="19"/>
      <c r="H130" s="20"/>
      <c r="I130" s="18"/>
      <c r="J130" s="20"/>
      <c r="K130" s="18"/>
    </row>
    <row r="131" customFormat="false" ht="15.75" hidden="false" customHeight="true" outlineLevel="0" collapsed="false">
      <c r="A131" s="18"/>
      <c r="B131" s="20"/>
      <c r="C131" s="18"/>
      <c r="D131" s="18"/>
      <c r="E131" s="18"/>
      <c r="F131" s="18"/>
      <c r="G131" s="19"/>
      <c r="H131" s="20"/>
      <c r="I131" s="18"/>
      <c r="J131" s="20"/>
      <c r="K131" s="18"/>
    </row>
    <row r="132" customFormat="false" ht="15.75" hidden="false" customHeight="true" outlineLevel="0" collapsed="false">
      <c r="A132" s="18"/>
      <c r="B132" s="20"/>
      <c r="C132" s="18"/>
      <c r="D132" s="18"/>
      <c r="E132" s="18"/>
      <c r="F132" s="18"/>
      <c r="G132" s="19"/>
      <c r="H132" s="20"/>
      <c r="I132" s="18"/>
      <c r="J132" s="20"/>
      <c r="K132" s="18"/>
    </row>
    <row r="133" customFormat="false" ht="15.75" hidden="false" customHeight="true" outlineLevel="0" collapsed="false">
      <c r="A133" s="18"/>
      <c r="B133" s="20"/>
      <c r="C133" s="18"/>
      <c r="D133" s="18"/>
      <c r="E133" s="18"/>
      <c r="F133" s="18"/>
      <c r="G133" s="19"/>
      <c r="H133" s="20"/>
      <c r="I133" s="18"/>
      <c r="J133" s="20"/>
      <c r="K133" s="18"/>
    </row>
    <row r="134" customFormat="false" ht="15.75" hidden="false" customHeight="true" outlineLevel="0" collapsed="false">
      <c r="A134" s="18"/>
      <c r="B134" s="20"/>
      <c r="C134" s="18"/>
      <c r="D134" s="18"/>
      <c r="E134" s="18"/>
      <c r="F134" s="18"/>
      <c r="G134" s="19"/>
      <c r="H134" s="20"/>
      <c r="I134" s="18"/>
      <c r="J134" s="20"/>
      <c r="K134" s="18"/>
    </row>
    <row r="135" customFormat="false" ht="15.75" hidden="false" customHeight="true" outlineLevel="0" collapsed="false">
      <c r="A135" s="18"/>
      <c r="B135" s="20"/>
      <c r="C135" s="18"/>
      <c r="D135" s="18"/>
      <c r="E135" s="18"/>
      <c r="F135" s="18"/>
      <c r="G135" s="19"/>
      <c r="H135" s="20"/>
      <c r="I135" s="18"/>
      <c r="J135" s="20"/>
      <c r="K135" s="18"/>
    </row>
    <row r="136" customFormat="false" ht="15.75" hidden="false" customHeight="true" outlineLevel="0" collapsed="false">
      <c r="A136" s="18"/>
      <c r="B136" s="20"/>
      <c r="C136" s="18"/>
      <c r="D136" s="18"/>
      <c r="E136" s="18"/>
      <c r="F136" s="18"/>
      <c r="G136" s="19"/>
      <c r="H136" s="20"/>
      <c r="I136" s="18"/>
      <c r="J136" s="20"/>
      <c r="K136" s="18"/>
    </row>
    <row r="137" customFormat="false" ht="15.75" hidden="false" customHeight="true" outlineLevel="0" collapsed="false">
      <c r="A137" s="18"/>
      <c r="B137" s="20"/>
      <c r="C137" s="18"/>
      <c r="D137" s="18"/>
      <c r="E137" s="18"/>
      <c r="F137" s="18"/>
      <c r="G137" s="19"/>
      <c r="H137" s="20"/>
      <c r="I137" s="18"/>
      <c r="J137" s="20"/>
      <c r="K137" s="18"/>
    </row>
    <row r="138" customFormat="false" ht="15.75" hidden="false" customHeight="true" outlineLevel="0" collapsed="false">
      <c r="A138" s="18"/>
      <c r="B138" s="20"/>
      <c r="C138" s="18"/>
      <c r="D138" s="18"/>
      <c r="E138" s="18"/>
      <c r="F138" s="18"/>
      <c r="G138" s="19"/>
      <c r="H138" s="20"/>
      <c r="I138" s="18"/>
      <c r="J138" s="20"/>
      <c r="K138" s="18"/>
    </row>
    <row r="139" customFormat="false" ht="15.75" hidden="false" customHeight="true" outlineLevel="0" collapsed="false">
      <c r="A139" s="18"/>
      <c r="B139" s="20"/>
      <c r="C139" s="18"/>
      <c r="D139" s="18"/>
      <c r="E139" s="18"/>
      <c r="F139" s="18"/>
      <c r="G139" s="19"/>
      <c r="H139" s="20"/>
      <c r="I139" s="18"/>
      <c r="J139" s="20"/>
      <c r="K139" s="18"/>
    </row>
    <row r="140" customFormat="false" ht="15.75" hidden="false" customHeight="true" outlineLevel="0" collapsed="false">
      <c r="A140" s="18"/>
      <c r="B140" s="20"/>
      <c r="C140" s="18"/>
      <c r="D140" s="18"/>
      <c r="E140" s="18"/>
      <c r="F140" s="18"/>
      <c r="G140" s="19"/>
      <c r="H140" s="20"/>
      <c r="I140" s="18"/>
      <c r="J140" s="20"/>
      <c r="K140" s="18"/>
    </row>
    <row r="141" customFormat="false" ht="15.75" hidden="false" customHeight="true" outlineLevel="0" collapsed="false">
      <c r="A141" s="18"/>
      <c r="B141" s="20"/>
      <c r="C141" s="18"/>
      <c r="D141" s="18"/>
      <c r="E141" s="18"/>
      <c r="F141" s="18"/>
      <c r="G141" s="19"/>
      <c r="H141" s="20"/>
      <c r="I141" s="18"/>
      <c r="J141" s="20"/>
      <c r="K141" s="18"/>
    </row>
    <row r="142" customFormat="false" ht="15.75" hidden="false" customHeight="true" outlineLevel="0" collapsed="false">
      <c r="A142" s="18"/>
      <c r="B142" s="20"/>
      <c r="C142" s="18"/>
      <c r="D142" s="18"/>
      <c r="E142" s="18"/>
      <c r="F142" s="18"/>
      <c r="G142" s="19"/>
      <c r="H142" s="20"/>
      <c r="I142" s="18"/>
      <c r="J142" s="20"/>
      <c r="K142" s="18"/>
    </row>
    <row r="143" customFormat="false" ht="15.75" hidden="false" customHeight="true" outlineLevel="0" collapsed="false">
      <c r="A143" s="18"/>
      <c r="B143" s="20"/>
      <c r="C143" s="18"/>
      <c r="D143" s="18"/>
      <c r="E143" s="18"/>
      <c r="F143" s="18"/>
      <c r="G143" s="19"/>
      <c r="H143" s="20"/>
      <c r="I143" s="18"/>
      <c r="J143" s="20"/>
      <c r="K143" s="18"/>
    </row>
    <row r="144" customFormat="false" ht="15.75" hidden="false" customHeight="true" outlineLevel="0" collapsed="false">
      <c r="A144" s="18"/>
      <c r="B144" s="20"/>
      <c r="C144" s="18"/>
      <c r="D144" s="18"/>
      <c r="E144" s="18"/>
      <c r="F144" s="18"/>
      <c r="G144" s="19"/>
      <c r="H144" s="20"/>
      <c r="I144" s="18"/>
      <c r="J144" s="20"/>
      <c r="K144" s="18"/>
    </row>
    <row r="145" customFormat="false" ht="15.75" hidden="false" customHeight="true" outlineLevel="0" collapsed="false">
      <c r="A145" s="18"/>
      <c r="B145" s="20"/>
      <c r="C145" s="18"/>
      <c r="D145" s="18"/>
      <c r="E145" s="18"/>
      <c r="F145" s="18"/>
      <c r="G145" s="19"/>
      <c r="H145" s="20"/>
      <c r="I145" s="18"/>
      <c r="J145" s="20"/>
      <c r="K145" s="18"/>
    </row>
    <row r="146" customFormat="false" ht="15.75" hidden="false" customHeight="true" outlineLevel="0" collapsed="false">
      <c r="A146" s="18"/>
      <c r="B146" s="20"/>
      <c r="C146" s="18"/>
      <c r="D146" s="18"/>
      <c r="E146" s="18"/>
      <c r="F146" s="18"/>
      <c r="G146" s="19"/>
      <c r="H146" s="20"/>
      <c r="I146" s="18"/>
      <c r="J146" s="20"/>
      <c r="K146" s="18"/>
    </row>
    <row r="147" customFormat="false" ht="15.75" hidden="false" customHeight="true" outlineLevel="0" collapsed="false">
      <c r="A147" s="18"/>
      <c r="B147" s="20"/>
      <c r="C147" s="18"/>
      <c r="D147" s="18"/>
      <c r="E147" s="18"/>
      <c r="F147" s="18"/>
      <c r="G147" s="19"/>
      <c r="H147" s="20"/>
      <c r="I147" s="18"/>
      <c r="J147" s="20"/>
      <c r="K147" s="18"/>
    </row>
    <row r="148" customFormat="false" ht="15.75" hidden="false" customHeight="true" outlineLevel="0" collapsed="false">
      <c r="A148" s="18"/>
      <c r="B148" s="20"/>
      <c r="C148" s="18"/>
      <c r="D148" s="18"/>
      <c r="E148" s="18"/>
      <c r="F148" s="18"/>
      <c r="G148" s="19"/>
      <c r="H148" s="20"/>
      <c r="I148" s="18"/>
      <c r="J148" s="20"/>
      <c r="K148" s="18"/>
    </row>
    <row r="149" customFormat="false" ht="15.75" hidden="false" customHeight="true" outlineLevel="0" collapsed="false">
      <c r="A149" s="18"/>
      <c r="B149" s="20"/>
      <c r="C149" s="18"/>
      <c r="D149" s="18"/>
      <c r="E149" s="18"/>
      <c r="F149" s="18"/>
      <c r="G149" s="19"/>
      <c r="H149" s="20"/>
      <c r="I149" s="18"/>
      <c r="J149" s="20"/>
      <c r="K149" s="18"/>
    </row>
    <row r="150" customFormat="false" ht="15.75" hidden="false" customHeight="true" outlineLevel="0" collapsed="false">
      <c r="A150" s="18"/>
      <c r="B150" s="20"/>
      <c r="C150" s="18"/>
      <c r="D150" s="18"/>
      <c r="E150" s="18"/>
      <c r="F150" s="18"/>
      <c r="G150" s="19"/>
      <c r="H150" s="20"/>
      <c r="I150" s="18"/>
      <c r="J150" s="20"/>
      <c r="K150" s="18"/>
    </row>
    <row r="151" customFormat="false" ht="15.75" hidden="false" customHeight="true" outlineLevel="0" collapsed="false">
      <c r="A151" s="18"/>
      <c r="B151" s="20"/>
      <c r="C151" s="18"/>
      <c r="D151" s="18"/>
      <c r="E151" s="18"/>
      <c r="F151" s="18"/>
      <c r="G151" s="19"/>
      <c r="H151" s="20"/>
      <c r="I151" s="18"/>
      <c r="J151" s="20"/>
      <c r="K151" s="18"/>
    </row>
    <row r="152" customFormat="false" ht="15.75" hidden="false" customHeight="true" outlineLevel="0" collapsed="false">
      <c r="A152" s="18"/>
      <c r="B152" s="20"/>
      <c r="C152" s="18"/>
      <c r="D152" s="18"/>
      <c r="E152" s="18"/>
      <c r="F152" s="18"/>
      <c r="G152" s="19"/>
      <c r="H152" s="20"/>
      <c r="I152" s="18"/>
      <c r="J152" s="20"/>
      <c r="K152" s="18"/>
    </row>
    <row r="153" customFormat="false" ht="15.75" hidden="false" customHeight="true" outlineLevel="0" collapsed="false">
      <c r="A153" s="18"/>
      <c r="B153" s="20"/>
      <c r="C153" s="18"/>
      <c r="D153" s="18"/>
      <c r="E153" s="18"/>
      <c r="F153" s="18"/>
      <c r="G153" s="19"/>
      <c r="H153" s="20"/>
      <c r="I153" s="18"/>
      <c r="J153" s="20"/>
      <c r="K153" s="18"/>
    </row>
    <row r="154" customFormat="false" ht="15.75" hidden="false" customHeight="true" outlineLevel="0" collapsed="false">
      <c r="A154" s="18"/>
      <c r="B154" s="20"/>
      <c r="C154" s="18"/>
      <c r="D154" s="18"/>
      <c r="E154" s="18"/>
      <c r="F154" s="18"/>
      <c r="G154" s="19"/>
      <c r="H154" s="20"/>
      <c r="I154" s="18"/>
      <c r="J154" s="20"/>
      <c r="K154" s="18"/>
    </row>
    <row r="155" customFormat="false" ht="15.75" hidden="false" customHeight="true" outlineLevel="0" collapsed="false">
      <c r="A155" s="18"/>
      <c r="B155" s="20"/>
      <c r="C155" s="18"/>
      <c r="D155" s="18"/>
      <c r="E155" s="18"/>
      <c r="F155" s="18"/>
      <c r="G155" s="19"/>
      <c r="H155" s="20"/>
      <c r="I155" s="18"/>
      <c r="J155" s="20"/>
      <c r="K155" s="18"/>
    </row>
    <row r="156" customFormat="false" ht="15.75" hidden="false" customHeight="true" outlineLevel="0" collapsed="false">
      <c r="A156" s="18"/>
      <c r="B156" s="20"/>
      <c r="C156" s="18"/>
      <c r="D156" s="18"/>
      <c r="E156" s="18"/>
      <c r="F156" s="18"/>
      <c r="G156" s="19"/>
      <c r="H156" s="20"/>
      <c r="I156" s="18"/>
      <c r="J156" s="20"/>
      <c r="K156" s="18"/>
    </row>
    <row r="157" customFormat="false" ht="15.75" hidden="false" customHeight="true" outlineLevel="0" collapsed="false">
      <c r="A157" s="18"/>
      <c r="B157" s="20"/>
      <c r="C157" s="18"/>
      <c r="D157" s="18"/>
      <c r="E157" s="18"/>
      <c r="F157" s="18"/>
      <c r="G157" s="19"/>
      <c r="H157" s="20"/>
      <c r="I157" s="18"/>
      <c r="J157" s="20"/>
      <c r="K157" s="18"/>
    </row>
    <row r="158" customFormat="false" ht="15.75" hidden="false" customHeight="true" outlineLevel="0" collapsed="false">
      <c r="A158" s="18"/>
      <c r="B158" s="20"/>
      <c r="C158" s="18"/>
      <c r="D158" s="18"/>
      <c r="E158" s="18"/>
      <c r="F158" s="18"/>
      <c r="G158" s="19"/>
      <c r="H158" s="20"/>
      <c r="I158" s="18"/>
      <c r="J158" s="20"/>
      <c r="K158" s="18"/>
    </row>
    <row r="159" customFormat="false" ht="15.75" hidden="false" customHeight="true" outlineLevel="0" collapsed="false">
      <c r="A159" s="18"/>
      <c r="B159" s="20"/>
      <c r="C159" s="18"/>
      <c r="D159" s="18"/>
      <c r="E159" s="18"/>
      <c r="F159" s="18"/>
      <c r="G159" s="19"/>
      <c r="H159" s="20"/>
      <c r="I159" s="18"/>
      <c r="J159" s="20"/>
      <c r="K159" s="18"/>
    </row>
    <row r="160" customFormat="false" ht="15.75" hidden="false" customHeight="true" outlineLevel="0" collapsed="false">
      <c r="A160" s="18"/>
      <c r="B160" s="20"/>
      <c r="C160" s="18"/>
      <c r="D160" s="18"/>
      <c r="E160" s="18"/>
      <c r="F160" s="18"/>
      <c r="G160" s="19"/>
      <c r="H160" s="20"/>
      <c r="I160" s="18"/>
      <c r="J160" s="20"/>
      <c r="K160" s="18"/>
    </row>
    <row r="161" customFormat="false" ht="15.75" hidden="false" customHeight="true" outlineLevel="0" collapsed="false">
      <c r="A161" s="18"/>
      <c r="B161" s="20"/>
      <c r="C161" s="18"/>
      <c r="D161" s="18"/>
      <c r="E161" s="18"/>
      <c r="F161" s="18"/>
      <c r="G161" s="19"/>
      <c r="H161" s="20"/>
      <c r="I161" s="18"/>
      <c r="J161" s="20"/>
      <c r="K161" s="18"/>
    </row>
    <row r="162" customFormat="false" ht="15.75" hidden="false" customHeight="true" outlineLevel="0" collapsed="false">
      <c r="A162" s="18"/>
      <c r="B162" s="20"/>
      <c r="C162" s="18"/>
      <c r="D162" s="18"/>
      <c r="E162" s="18"/>
      <c r="F162" s="18"/>
      <c r="G162" s="19"/>
      <c r="H162" s="20"/>
      <c r="I162" s="18"/>
      <c r="J162" s="20"/>
      <c r="K162" s="18"/>
    </row>
    <row r="163" customFormat="false" ht="15.75" hidden="false" customHeight="true" outlineLevel="0" collapsed="false">
      <c r="A163" s="18"/>
      <c r="B163" s="20"/>
      <c r="C163" s="18"/>
      <c r="D163" s="18"/>
      <c r="E163" s="18"/>
      <c r="F163" s="18"/>
      <c r="G163" s="19"/>
      <c r="H163" s="20"/>
      <c r="I163" s="18"/>
      <c r="J163" s="20"/>
      <c r="K163" s="18"/>
    </row>
    <row r="164" customFormat="false" ht="15.75" hidden="false" customHeight="true" outlineLevel="0" collapsed="false">
      <c r="A164" s="18"/>
      <c r="B164" s="20"/>
      <c r="C164" s="18"/>
      <c r="D164" s="18"/>
      <c r="E164" s="18"/>
      <c r="F164" s="18"/>
      <c r="G164" s="19"/>
      <c r="H164" s="20"/>
      <c r="I164" s="18"/>
      <c r="J164" s="20"/>
      <c r="K164" s="18"/>
    </row>
    <row r="165" customFormat="false" ht="15.75" hidden="false" customHeight="true" outlineLevel="0" collapsed="false">
      <c r="A165" s="18"/>
      <c r="B165" s="20"/>
      <c r="C165" s="18"/>
      <c r="D165" s="18"/>
      <c r="E165" s="18"/>
      <c r="F165" s="18"/>
      <c r="G165" s="19"/>
      <c r="H165" s="20"/>
      <c r="I165" s="18"/>
      <c r="J165" s="20"/>
      <c r="K165" s="18"/>
    </row>
    <row r="166" customFormat="false" ht="15.75" hidden="false" customHeight="true" outlineLevel="0" collapsed="false">
      <c r="A166" s="18"/>
      <c r="B166" s="20"/>
      <c r="C166" s="18"/>
      <c r="D166" s="18"/>
      <c r="E166" s="18"/>
      <c r="F166" s="18"/>
      <c r="G166" s="19"/>
      <c r="H166" s="20"/>
      <c r="I166" s="18"/>
      <c r="J166" s="20"/>
      <c r="K166" s="18"/>
    </row>
    <row r="167" customFormat="false" ht="15.75" hidden="false" customHeight="true" outlineLevel="0" collapsed="false">
      <c r="A167" s="18"/>
      <c r="B167" s="20"/>
      <c r="C167" s="18"/>
      <c r="D167" s="18"/>
      <c r="E167" s="18"/>
      <c r="F167" s="18"/>
      <c r="G167" s="19"/>
      <c r="H167" s="20"/>
      <c r="I167" s="18"/>
      <c r="J167" s="20"/>
      <c r="K167" s="18"/>
    </row>
    <row r="168" customFormat="false" ht="15.75" hidden="false" customHeight="true" outlineLevel="0" collapsed="false">
      <c r="A168" s="18"/>
      <c r="B168" s="20"/>
      <c r="C168" s="18"/>
      <c r="D168" s="18"/>
      <c r="E168" s="18"/>
      <c r="F168" s="18"/>
      <c r="G168" s="19"/>
      <c r="H168" s="20"/>
      <c r="I168" s="18"/>
      <c r="J168" s="20"/>
      <c r="K168" s="18"/>
    </row>
    <row r="169" customFormat="false" ht="15.75" hidden="false" customHeight="true" outlineLevel="0" collapsed="false">
      <c r="A169" s="18"/>
      <c r="B169" s="20"/>
      <c r="C169" s="18"/>
      <c r="D169" s="18"/>
      <c r="E169" s="18"/>
      <c r="F169" s="18"/>
      <c r="G169" s="19"/>
      <c r="H169" s="20"/>
      <c r="I169" s="18"/>
      <c r="J169" s="20"/>
      <c r="K169" s="18"/>
    </row>
    <row r="170" customFormat="false" ht="15.75" hidden="false" customHeight="true" outlineLevel="0" collapsed="false">
      <c r="A170" s="18"/>
      <c r="B170" s="20"/>
      <c r="C170" s="18"/>
      <c r="D170" s="18"/>
      <c r="E170" s="18"/>
      <c r="F170" s="18"/>
      <c r="G170" s="19"/>
      <c r="H170" s="20"/>
      <c r="I170" s="18"/>
      <c r="J170" s="20"/>
      <c r="K170" s="18"/>
    </row>
    <row r="171" customFormat="false" ht="15.75" hidden="false" customHeight="true" outlineLevel="0" collapsed="false">
      <c r="A171" s="18"/>
      <c r="B171" s="20"/>
      <c r="C171" s="18"/>
      <c r="D171" s="18"/>
      <c r="E171" s="18"/>
      <c r="F171" s="18"/>
      <c r="G171" s="19"/>
      <c r="H171" s="20"/>
      <c r="I171" s="18"/>
      <c r="J171" s="20"/>
      <c r="K171" s="18"/>
    </row>
    <row r="172" customFormat="false" ht="15.75" hidden="false" customHeight="true" outlineLevel="0" collapsed="false">
      <c r="A172" s="18"/>
      <c r="B172" s="20"/>
      <c r="C172" s="18"/>
      <c r="D172" s="18"/>
      <c r="E172" s="18"/>
      <c r="F172" s="18"/>
      <c r="G172" s="19"/>
      <c r="H172" s="20"/>
      <c r="I172" s="18"/>
      <c r="J172" s="20"/>
      <c r="K172" s="18"/>
    </row>
    <row r="173" customFormat="false" ht="15.75" hidden="false" customHeight="true" outlineLevel="0" collapsed="false">
      <c r="A173" s="18"/>
      <c r="B173" s="20"/>
      <c r="C173" s="18"/>
      <c r="D173" s="18"/>
      <c r="E173" s="18"/>
      <c r="F173" s="18"/>
      <c r="G173" s="19"/>
      <c r="H173" s="20"/>
      <c r="I173" s="18"/>
      <c r="J173" s="20"/>
      <c r="K173" s="18"/>
    </row>
    <row r="174" customFormat="false" ht="15.75" hidden="false" customHeight="true" outlineLevel="0" collapsed="false">
      <c r="A174" s="18"/>
      <c r="B174" s="20"/>
      <c r="C174" s="18"/>
      <c r="D174" s="18"/>
      <c r="E174" s="18"/>
      <c r="F174" s="18"/>
      <c r="G174" s="19"/>
      <c r="H174" s="20"/>
      <c r="I174" s="18"/>
      <c r="J174" s="20"/>
      <c r="K174" s="18"/>
    </row>
    <row r="175" customFormat="false" ht="15.75" hidden="false" customHeight="true" outlineLevel="0" collapsed="false">
      <c r="A175" s="18"/>
      <c r="B175" s="20"/>
      <c r="C175" s="18"/>
      <c r="D175" s="18"/>
      <c r="E175" s="18"/>
      <c r="F175" s="18"/>
      <c r="G175" s="19"/>
      <c r="H175" s="20"/>
      <c r="I175" s="18"/>
      <c r="J175" s="20"/>
      <c r="K175" s="18"/>
    </row>
    <row r="176" customFormat="false" ht="15.75" hidden="false" customHeight="true" outlineLevel="0" collapsed="false">
      <c r="A176" s="18"/>
      <c r="B176" s="20"/>
      <c r="C176" s="18"/>
      <c r="D176" s="18"/>
      <c r="E176" s="18"/>
      <c r="F176" s="18"/>
      <c r="G176" s="19"/>
      <c r="H176" s="20"/>
      <c r="I176" s="18"/>
      <c r="J176" s="20"/>
      <c r="K176" s="18"/>
    </row>
    <row r="177" customFormat="false" ht="15.75" hidden="false" customHeight="true" outlineLevel="0" collapsed="false">
      <c r="A177" s="18"/>
      <c r="B177" s="20"/>
      <c r="C177" s="18"/>
      <c r="D177" s="18"/>
      <c r="E177" s="18"/>
      <c r="F177" s="18"/>
      <c r="G177" s="19"/>
      <c r="H177" s="20"/>
      <c r="I177" s="18"/>
      <c r="J177" s="20"/>
      <c r="K177" s="18"/>
    </row>
    <row r="178" customFormat="false" ht="15.75" hidden="false" customHeight="true" outlineLevel="0" collapsed="false">
      <c r="A178" s="18"/>
      <c r="B178" s="20"/>
      <c r="C178" s="18"/>
      <c r="D178" s="18"/>
      <c r="E178" s="18"/>
      <c r="F178" s="18"/>
      <c r="G178" s="19"/>
      <c r="H178" s="20"/>
      <c r="I178" s="18"/>
      <c r="J178" s="20"/>
      <c r="K178" s="18"/>
    </row>
    <row r="179" customFormat="false" ht="15.75" hidden="false" customHeight="true" outlineLevel="0" collapsed="false">
      <c r="A179" s="18"/>
      <c r="B179" s="20"/>
      <c r="C179" s="18"/>
      <c r="D179" s="18"/>
      <c r="E179" s="18"/>
      <c r="F179" s="18"/>
      <c r="G179" s="19"/>
      <c r="H179" s="20"/>
      <c r="I179" s="18"/>
      <c r="J179" s="20"/>
      <c r="K179" s="18"/>
    </row>
    <row r="180" customFormat="false" ht="15.75" hidden="false" customHeight="true" outlineLevel="0" collapsed="false">
      <c r="A180" s="18"/>
      <c r="B180" s="20"/>
      <c r="C180" s="18"/>
      <c r="D180" s="18"/>
      <c r="E180" s="18"/>
      <c r="F180" s="18"/>
      <c r="G180" s="19"/>
      <c r="H180" s="20"/>
      <c r="I180" s="18"/>
      <c r="J180" s="20"/>
      <c r="K180" s="18"/>
    </row>
    <row r="181" customFormat="false" ht="15.75" hidden="false" customHeight="true" outlineLevel="0" collapsed="false">
      <c r="A181" s="18"/>
      <c r="B181" s="20"/>
      <c r="C181" s="18"/>
      <c r="D181" s="18"/>
      <c r="E181" s="18"/>
      <c r="F181" s="18"/>
      <c r="G181" s="19"/>
      <c r="H181" s="20"/>
      <c r="I181" s="18"/>
      <c r="J181" s="20"/>
      <c r="K181" s="18"/>
    </row>
    <row r="182" customFormat="false" ht="15.75" hidden="false" customHeight="true" outlineLevel="0" collapsed="false">
      <c r="A182" s="18"/>
      <c r="B182" s="20"/>
      <c r="C182" s="18"/>
      <c r="D182" s="18"/>
      <c r="E182" s="18"/>
      <c r="F182" s="18"/>
      <c r="G182" s="19"/>
      <c r="H182" s="20"/>
      <c r="I182" s="18"/>
      <c r="J182" s="20"/>
      <c r="K182" s="18"/>
    </row>
    <row r="183" customFormat="false" ht="15.75" hidden="false" customHeight="true" outlineLevel="0" collapsed="false">
      <c r="A183" s="18"/>
      <c r="B183" s="20"/>
      <c r="C183" s="18"/>
      <c r="D183" s="18"/>
      <c r="E183" s="18"/>
      <c r="F183" s="18"/>
      <c r="G183" s="19"/>
      <c r="H183" s="20"/>
      <c r="I183" s="18"/>
      <c r="J183" s="20"/>
      <c r="K183" s="18"/>
    </row>
    <row r="184" customFormat="false" ht="15.75" hidden="false" customHeight="true" outlineLevel="0" collapsed="false">
      <c r="A184" s="18"/>
      <c r="B184" s="20"/>
      <c r="C184" s="18"/>
      <c r="D184" s="18"/>
      <c r="E184" s="18"/>
      <c r="F184" s="18"/>
      <c r="G184" s="19"/>
      <c r="H184" s="20"/>
      <c r="I184" s="18"/>
      <c r="J184" s="20"/>
      <c r="K184" s="18"/>
    </row>
    <row r="185" customFormat="false" ht="15.75" hidden="false" customHeight="true" outlineLevel="0" collapsed="false">
      <c r="A185" s="18"/>
      <c r="B185" s="20"/>
      <c r="C185" s="18"/>
      <c r="D185" s="18"/>
      <c r="E185" s="18"/>
      <c r="F185" s="18"/>
      <c r="G185" s="19"/>
      <c r="H185" s="20"/>
      <c r="I185" s="18"/>
      <c r="J185" s="20"/>
      <c r="K185" s="18"/>
    </row>
    <row r="186" customFormat="false" ht="15.75" hidden="false" customHeight="true" outlineLevel="0" collapsed="false">
      <c r="A186" s="18"/>
      <c r="B186" s="20"/>
      <c r="C186" s="18"/>
      <c r="D186" s="18"/>
      <c r="E186" s="18"/>
      <c r="F186" s="18"/>
      <c r="G186" s="19"/>
      <c r="H186" s="20"/>
      <c r="I186" s="18"/>
      <c r="J186" s="20"/>
      <c r="K186" s="18"/>
    </row>
    <row r="187" customFormat="false" ht="15.75" hidden="false" customHeight="true" outlineLevel="0" collapsed="false">
      <c r="A187" s="18"/>
      <c r="B187" s="20"/>
      <c r="C187" s="18"/>
      <c r="D187" s="18"/>
      <c r="E187" s="18"/>
      <c r="F187" s="18"/>
      <c r="G187" s="19"/>
      <c r="H187" s="20"/>
      <c r="I187" s="18"/>
      <c r="J187" s="20"/>
      <c r="K187" s="18"/>
    </row>
    <row r="188" customFormat="false" ht="15.75" hidden="false" customHeight="true" outlineLevel="0" collapsed="false">
      <c r="A188" s="18"/>
      <c r="B188" s="20"/>
      <c r="C188" s="18"/>
      <c r="D188" s="18"/>
      <c r="E188" s="18"/>
      <c r="F188" s="18"/>
      <c r="G188" s="19"/>
      <c r="H188" s="20"/>
      <c r="I188" s="18"/>
      <c r="J188" s="20"/>
      <c r="K188" s="18"/>
    </row>
    <row r="189" customFormat="false" ht="15.75" hidden="false" customHeight="true" outlineLevel="0" collapsed="false">
      <c r="A189" s="18"/>
      <c r="B189" s="20"/>
      <c r="C189" s="18"/>
      <c r="D189" s="18"/>
      <c r="E189" s="18"/>
      <c r="F189" s="18"/>
      <c r="G189" s="19"/>
      <c r="H189" s="20"/>
      <c r="I189" s="18"/>
      <c r="J189" s="20"/>
      <c r="K189" s="18"/>
    </row>
    <row r="190" customFormat="false" ht="15.75" hidden="false" customHeight="true" outlineLevel="0" collapsed="false">
      <c r="A190" s="18"/>
      <c r="B190" s="20"/>
      <c r="C190" s="18"/>
      <c r="D190" s="18"/>
      <c r="E190" s="18"/>
      <c r="F190" s="18"/>
      <c r="G190" s="19"/>
      <c r="H190" s="20"/>
      <c r="I190" s="18"/>
      <c r="J190" s="20"/>
      <c r="K190" s="18"/>
    </row>
    <row r="191" customFormat="false" ht="15.75" hidden="false" customHeight="true" outlineLevel="0" collapsed="false">
      <c r="A191" s="18"/>
      <c r="B191" s="20"/>
      <c r="C191" s="18"/>
      <c r="D191" s="18"/>
      <c r="E191" s="18"/>
      <c r="F191" s="18"/>
      <c r="G191" s="19"/>
      <c r="H191" s="20"/>
      <c r="I191" s="18"/>
      <c r="J191" s="20"/>
      <c r="K191" s="18"/>
    </row>
    <row r="192" customFormat="false" ht="15.75" hidden="false" customHeight="true" outlineLevel="0" collapsed="false">
      <c r="A192" s="18"/>
      <c r="B192" s="20"/>
      <c r="C192" s="18"/>
      <c r="D192" s="18"/>
      <c r="E192" s="18"/>
      <c r="F192" s="18"/>
      <c r="G192" s="19"/>
      <c r="H192" s="20"/>
      <c r="I192" s="18"/>
      <c r="J192" s="20"/>
      <c r="K192" s="18"/>
    </row>
    <row r="193" customFormat="false" ht="15.75" hidden="false" customHeight="true" outlineLevel="0" collapsed="false">
      <c r="A193" s="18"/>
      <c r="B193" s="20"/>
      <c r="C193" s="18"/>
      <c r="D193" s="18"/>
      <c r="E193" s="18"/>
      <c r="F193" s="18"/>
      <c r="G193" s="19"/>
      <c r="H193" s="20"/>
      <c r="I193" s="18"/>
      <c r="J193" s="20"/>
      <c r="K193" s="18"/>
    </row>
    <row r="194" customFormat="false" ht="15.75" hidden="false" customHeight="true" outlineLevel="0" collapsed="false">
      <c r="A194" s="18"/>
      <c r="B194" s="20"/>
      <c r="C194" s="18"/>
      <c r="D194" s="18"/>
      <c r="E194" s="18"/>
      <c r="F194" s="18"/>
      <c r="G194" s="19"/>
      <c r="H194" s="20"/>
      <c r="I194" s="18"/>
      <c r="J194" s="20"/>
      <c r="K194" s="18"/>
    </row>
    <row r="195" customFormat="false" ht="15.75" hidden="false" customHeight="true" outlineLevel="0" collapsed="false">
      <c r="A195" s="18"/>
      <c r="B195" s="20"/>
      <c r="C195" s="18"/>
      <c r="D195" s="18"/>
      <c r="E195" s="18"/>
      <c r="F195" s="18"/>
      <c r="G195" s="19"/>
      <c r="H195" s="20"/>
      <c r="I195" s="18"/>
      <c r="J195" s="20"/>
      <c r="K195" s="18"/>
    </row>
    <row r="196" customFormat="false" ht="15.75" hidden="false" customHeight="true" outlineLevel="0" collapsed="false">
      <c r="A196" s="18"/>
      <c r="B196" s="20"/>
      <c r="C196" s="18"/>
      <c r="D196" s="18"/>
      <c r="E196" s="18"/>
      <c r="F196" s="18"/>
      <c r="G196" s="19"/>
      <c r="H196" s="20"/>
      <c r="I196" s="18"/>
      <c r="J196" s="20"/>
      <c r="K196" s="18"/>
    </row>
    <row r="197" customFormat="false" ht="15.75" hidden="false" customHeight="true" outlineLevel="0" collapsed="false">
      <c r="A197" s="18"/>
      <c r="B197" s="20"/>
      <c r="C197" s="18"/>
      <c r="D197" s="18"/>
      <c r="E197" s="18"/>
      <c r="F197" s="18"/>
      <c r="G197" s="19"/>
      <c r="H197" s="20"/>
      <c r="I197" s="18"/>
      <c r="J197" s="20"/>
      <c r="K197" s="18"/>
    </row>
    <row r="198" customFormat="false" ht="15.75" hidden="false" customHeight="true" outlineLevel="0" collapsed="false">
      <c r="A198" s="18"/>
      <c r="B198" s="20"/>
      <c r="C198" s="18"/>
      <c r="D198" s="18"/>
      <c r="E198" s="18"/>
      <c r="F198" s="18"/>
      <c r="G198" s="19"/>
      <c r="H198" s="20"/>
      <c r="I198" s="18"/>
      <c r="J198" s="20"/>
      <c r="K198" s="18"/>
    </row>
    <row r="199" customFormat="false" ht="15.75" hidden="false" customHeight="true" outlineLevel="0" collapsed="false">
      <c r="A199" s="18"/>
      <c r="B199" s="20"/>
      <c r="C199" s="18"/>
      <c r="D199" s="18"/>
      <c r="E199" s="18"/>
      <c r="F199" s="18"/>
      <c r="G199" s="19"/>
      <c r="H199" s="20"/>
      <c r="I199" s="18"/>
      <c r="J199" s="20"/>
      <c r="K199" s="18"/>
    </row>
    <row r="200" customFormat="false" ht="15.75" hidden="false" customHeight="true" outlineLevel="0" collapsed="false">
      <c r="A200" s="18"/>
      <c r="B200" s="20"/>
      <c r="C200" s="18"/>
      <c r="D200" s="18"/>
      <c r="E200" s="18"/>
      <c r="F200" s="18"/>
      <c r="G200" s="19"/>
      <c r="H200" s="20"/>
      <c r="I200" s="18"/>
      <c r="J200" s="20"/>
      <c r="K200" s="18"/>
    </row>
    <row r="201" customFormat="false" ht="15.75" hidden="false" customHeight="true" outlineLevel="0" collapsed="false">
      <c r="A201" s="18"/>
      <c r="B201" s="20"/>
      <c r="C201" s="18"/>
      <c r="D201" s="18"/>
      <c r="E201" s="18"/>
      <c r="F201" s="18"/>
      <c r="G201" s="19"/>
      <c r="H201" s="20"/>
      <c r="I201" s="18"/>
      <c r="J201" s="20"/>
      <c r="K201" s="18"/>
    </row>
    <row r="202" customFormat="false" ht="15.75" hidden="false" customHeight="true" outlineLevel="0" collapsed="false">
      <c r="A202" s="18"/>
      <c r="B202" s="20"/>
      <c r="C202" s="18"/>
      <c r="D202" s="18"/>
      <c r="E202" s="18"/>
      <c r="F202" s="18"/>
      <c r="G202" s="19"/>
      <c r="H202" s="20"/>
      <c r="I202" s="18"/>
      <c r="J202" s="20"/>
      <c r="K202" s="18"/>
    </row>
    <row r="203" customFormat="false" ht="15.75" hidden="false" customHeight="true" outlineLevel="0" collapsed="false">
      <c r="A203" s="18"/>
      <c r="B203" s="20"/>
      <c r="C203" s="18"/>
      <c r="D203" s="18"/>
      <c r="E203" s="18"/>
      <c r="F203" s="18"/>
      <c r="G203" s="19"/>
      <c r="H203" s="20"/>
      <c r="I203" s="18"/>
      <c r="J203" s="20"/>
      <c r="K203" s="18"/>
    </row>
    <row r="204" customFormat="false" ht="15.75" hidden="false" customHeight="true" outlineLevel="0" collapsed="false">
      <c r="A204" s="18"/>
      <c r="B204" s="20"/>
      <c r="C204" s="18"/>
      <c r="D204" s="18"/>
      <c r="E204" s="18"/>
      <c r="F204" s="18"/>
      <c r="G204" s="19"/>
      <c r="H204" s="20"/>
      <c r="I204" s="18"/>
      <c r="J204" s="20"/>
      <c r="K204" s="18"/>
    </row>
    <row r="205" customFormat="false" ht="15.75" hidden="false" customHeight="true" outlineLevel="0" collapsed="false">
      <c r="A205" s="18"/>
      <c r="B205" s="20"/>
      <c r="C205" s="18"/>
      <c r="D205" s="18"/>
      <c r="E205" s="18"/>
      <c r="F205" s="18"/>
      <c r="G205" s="19"/>
      <c r="H205" s="20"/>
      <c r="I205" s="18"/>
      <c r="J205" s="20"/>
      <c r="K205" s="18"/>
    </row>
    <row r="206" customFormat="false" ht="15.75" hidden="false" customHeight="true" outlineLevel="0" collapsed="false">
      <c r="A206" s="18"/>
      <c r="B206" s="20"/>
      <c r="C206" s="18"/>
      <c r="D206" s="18"/>
      <c r="E206" s="18"/>
      <c r="F206" s="18"/>
      <c r="G206" s="19"/>
      <c r="H206" s="20"/>
      <c r="I206" s="18"/>
      <c r="J206" s="20"/>
      <c r="K206" s="18"/>
    </row>
    <row r="207" customFormat="false" ht="15.75" hidden="false" customHeight="true" outlineLevel="0" collapsed="false">
      <c r="A207" s="18"/>
      <c r="B207" s="20"/>
      <c r="C207" s="18"/>
      <c r="D207" s="18"/>
      <c r="E207" s="18"/>
      <c r="F207" s="18"/>
      <c r="G207" s="19"/>
      <c r="H207" s="20"/>
      <c r="I207" s="18"/>
      <c r="J207" s="20"/>
      <c r="K207" s="18"/>
    </row>
    <row r="208" customFormat="false" ht="15.75" hidden="false" customHeight="true" outlineLevel="0" collapsed="false">
      <c r="A208" s="18"/>
      <c r="B208" s="20"/>
      <c r="C208" s="18"/>
      <c r="D208" s="18"/>
      <c r="E208" s="18"/>
      <c r="F208" s="18"/>
      <c r="G208" s="19"/>
      <c r="H208" s="20"/>
      <c r="I208" s="18"/>
      <c r="J208" s="20"/>
      <c r="K208" s="18"/>
    </row>
    <row r="209" customFormat="false" ht="15.75" hidden="false" customHeight="true" outlineLevel="0" collapsed="false">
      <c r="A209" s="18"/>
      <c r="B209" s="20"/>
      <c r="C209" s="18"/>
      <c r="D209" s="18"/>
      <c r="E209" s="18"/>
      <c r="F209" s="18"/>
      <c r="G209" s="19"/>
      <c r="H209" s="20"/>
      <c r="I209" s="18"/>
      <c r="J209" s="20"/>
      <c r="K209" s="18"/>
    </row>
    <row r="210" customFormat="false" ht="15.75" hidden="false" customHeight="true" outlineLevel="0" collapsed="false">
      <c r="A210" s="18"/>
      <c r="B210" s="20"/>
      <c r="C210" s="18"/>
      <c r="D210" s="18"/>
      <c r="E210" s="18"/>
      <c r="F210" s="18"/>
      <c r="G210" s="19"/>
      <c r="H210" s="20"/>
      <c r="I210" s="18"/>
      <c r="J210" s="20"/>
      <c r="K210" s="18"/>
    </row>
    <row r="211" customFormat="false" ht="15.75" hidden="false" customHeight="true" outlineLevel="0" collapsed="false">
      <c r="A211" s="18"/>
      <c r="B211" s="20"/>
      <c r="C211" s="18"/>
      <c r="D211" s="18"/>
      <c r="E211" s="18"/>
      <c r="F211" s="18"/>
      <c r="G211" s="19"/>
      <c r="H211" s="20"/>
      <c r="I211" s="18"/>
      <c r="J211" s="20"/>
      <c r="K211" s="18"/>
    </row>
    <row r="212" customFormat="false" ht="15.75" hidden="false" customHeight="true" outlineLevel="0" collapsed="false">
      <c r="A212" s="18"/>
      <c r="B212" s="20"/>
      <c r="C212" s="18"/>
      <c r="D212" s="18"/>
      <c r="E212" s="18"/>
      <c r="F212" s="18"/>
      <c r="G212" s="19"/>
      <c r="H212" s="20"/>
      <c r="I212" s="18"/>
      <c r="J212" s="20"/>
      <c r="K212" s="18"/>
    </row>
    <row r="213" customFormat="false" ht="15.75" hidden="false" customHeight="true" outlineLevel="0" collapsed="false">
      <c r="A213" s="18"/>
      <c r="B213" s="20"/>
      <c r="C213" s="18"/>
      <c r="D213" s="18"/>
      <c r="E213" s="18"/>
      <c r="F213" s="18"/>
      <c r="G213" s="19"/>
      <c r="H213" s="20"/>
      <c r="I213" s="18"/>
      <c r="J213" s="20"/>
      <c r="K213" s="18"/>
    </row>
    <row r="214" customFormat="false" ht="15.75" hidden="false" customHeight="true" outlineLevel="0" collapsed="false">
      <c r="A214" s="18"/>
      <c r="B214" s="20"/>
      <c r="C214" s="18"/>
      <c r="D214" s="18"/>
      <c r="E214" s="18"/>
      <c r="F214" s="18"/>
      <c r="G214" s="19"/>
      <c r="H214" s="20"/>
      <c r="I214" s="18"/>
      <c r="J214" s="20"/>
      <c r="K214" s="18"/>
    </row>
    <row r="215" customFormat="false" ht="15.75" hidden="false" customHeight="true" outlineLevel="0" collapsed="false">
      <c r="A215" s="18"/>
      <c r="B215" s="20"/>
      <c r="C215" s="18"/>
      <c r="D215" s="18"/>
      <c r="E215" s="18"/>
      <c r="F215" s="18"/>
      <c r="G215" s="19"/>
      <c r="H215" s="20"/>
      <c r="I215" s="18"/>
      <c r="J215" s="20"/>
      <c r="K215" s="18"/>
    </row>
    <row r="216" customFormat="false" ht="15.75" hidden="false" customHeight="true" outlineLevel="0" collapsed="false">
      <c r="A216" s="18"/>
      <c r="B216" s="20"/>
      <c r="C216" s="18"/>
      <c r="D216" s="18"/>
      <c r="E216" s="18"/>
      <c r="F216" s="18"/>
      <c r="G216" s="19"/>
      <c r="H216" s="20"/>
      <c r="I216" s="18"/>
      <c r="J216" s="20"/>
      <c r="K216" s="18"/>
    </row>
    <row r="217" customFormat="false" ht="15.75" hidden="false" customHeight="true" outlineLevel="0" collapsed="false">
      <c r="A217" s="18"/>
      <c r="B217" s="20"/>
      <c r="C217" s="18"/>
      <c r="D217" s="18"/>
      <c r="E217" s="18"/>
      <c r="F217" s="18"/>
      <c r="G217" s="19"/>
      <c r="H217" s="20"/>
      <c r="I217" s="18"/>
      <c r="J217" s="20"/>
      <c r="K217" s="18"/>
    </row>
    <row r="218" customFormat="false" ht="15.75" hidden="false" customHeight="true" outlineLevel="0" collapsed="false">
      <c r="A218" s="18"/>
      <c r="B218" s="20"/>
      <c r="C218" s="18"/>
      <c r="D218" s="18"/>
      <c r="E218" s="18"/>
      <c r="F218" s="18"/>
      <c r="G218" s="19"/>
      <c r="H218" s="20"/>
      <c r="I218" s="18"/>
      <c r="J218" s="20"/>
      <c r="K218" s="18"/>
    </row>
    <row r="219" customFormat="false" ht="15.75" hidden="false" customHeight="true" outlineLevel="0" collapsed="false">
      <c r="A219" s="18"/>
      <c r="B219" s="20"/>
      <c r="C219" s="18"/>
      <c r="D219" s="18"/>
      <c r="E219" s="18"/>
      <c r="F219" s="18"/>
      <c r="G219" s="19"/>
      <c r="H219" s="20"/>
      <c r="I219" s="18"/>
      <c r="J219" s="20"/>
      <c r="K219" s="18"/>
    </row>
    <row r="220" customFormat="false" ht="15.75" hidden="false" customHeight="true" outlineLevel="0" collapsed="false">
      <c r="A220" s="18"/>
      <c r="B220" s="20"/>
      <c r="C220" s="18"/>
      <c r="D220" s="18"/>
      <c r="E220" s="18"/>
      <c r="F220" s="18"/>
      <c r="G220" s="19"/>
      <c r="H220" s="20"/>
      <c r="I220" s="18"/>
      <c r="J220" s="20"/>
      <c r="K220" s="18"/>
    </row>
    <row r="221" customFormat="false" ht="15.75" hidden="false" customHeight="true" outlineLevel="0" collapsed="false">
      <c r="A221" s="18"/>
      <c r="B221" s="20"/>
      <c r="C221" s="18"/>
      <c r="D221" s="18"/>
      <c r="E221" s="18"/>
      <c r="F221" s="18"/>
      <c r="G221" s="19"/>
      <c r="H221" s="20"/>
      <c r="I221" s="18"/>
      <c r="J221" s="20"/>
      <c r="K221" s="18"/>
    </row>
    <row r="222" customFormat="false" ht="15.75" hidden="false" customHeight="true" outlineLevel="0" collapsed="false">
      <c r="A222" s="18"/>
      <c r="B222" s="20"/>
      <c r="C222" s="18"/>
      <c r="D222" s="18"/>
      <c r="E222" s="18"/>
      <c r="F222" s="18"/>
      <c r="G222" s="19"/>
      <c r="H222" s="20"/>
      <c r="I222" s="18"/>
      <c r="J222" s="20"/>
      <c r="K222" s="18"/>
    </row>
    <row r="223" customFormat="false" ht="15.75" hidden="false" customHeight="true" outlineLevel="0" collapsed="false">
      <c r="A223" s="18"/>
      <c r="B223" s="20"/>
      <c r="C223" s="18"/>
      <c r="D223" s="18"/>
      <c r="E223" s="18"/>
      <c r="F223" s="18"/>
      <c r="G223" s="19"/>
      <c r="H223" s="20"/>
      <c r="I223" s="18"/>
      <c r="J223" s="20"/>
      <c r="K223" s="18"/>
    </row>
    <row r="224" customFormat="false" ht="15.75" hidden="false" customHeight="true" outlineLevel="0" collapsed="false">
      <c r="A224" s="18"/>
      <c r="B224" s="20"/>
      <c r="C224" s="18"/>
      <c r="D224" s="18"/>
      <c r="E224" s="18"/>
      <c r="F224" s="18"/>
      <c r="G224" s="19"/>
      <c r="H224" s="20"/>
      <c r="I224" s="18"/>
      <c r="J224" s="20"/>
      <c r="K224" s="18"/>
    </row>
    <row r="225" customFormat="false" ht="15.75" hidden="false" customHeight="true" outlineLevel="0" collapsed="false">
      <c r="A225" s="18"/>
      <c r="B225" s="20"/>
      <c r="C225" s="18"/>
      <c r="D225" s="18"/>
      <c r="E225" s="18"/>
      <c r="F225" s="18"/>
      <c r="G225" s="19"/>
      <c r="H225" s="20"/>
      <c r="I225" s="18"/>
      <c r="J225" s="20"/>
      <c r="K225" s="18"/>
    </row>
    <row r="226" customFormat="false" ht="15.75" hidden="false" customHeight="true" outlineLevel="0" collapsed="false">
      <c r="A226" s="18"/>
      <c r="B226" s="20"/>
      <c r="C226" s="18"/>
      <c r="D226" s="18"/>
      <c r="E226" s="18"/>
      <c r="F226" s="18"/>
      <c r="G226" s="19"/>
      <c r="H226" s="20"/>
      <c r="I226" s="18"/>
      <c r="J226" s="20"/>
      <c r="K226" s="18"/>
    </row>
    <row r="227" customFormat="false" ht="15.75" hidden="false" customHeight="true" outlineLevel="0" collapsed="false">
      <c r="A227" s="18"/>
      <c r="B227" s="20"/>
      <c r="C227" s="18"/>
      <c r="D227" s="18"/>
      <c r="E227" s="18"/>
      <c r="F227" s="18"/>
      <c r="G227" s="19"/>
      <c r="H227" s="20"/>
      <c r="I227" s="18"/>
      <c r="J227" s="20"/>
      <c r="K227" s="18"/>
    </row>
    <row r="228" customFormat="false" ht="15.75" hidden="false" customHeight="true" outlineLevel="0" collapsed="false">
      <c r="A228" s="18"/>
      <c r="B228" s="20"/>
      <c r="C228" s="18"/>
      <c r="D228" s="18"/>
      <c r="E228" s="18"/>
      <c r="F228" s="18"/>
      <c r="G228" s="19"/>
      <c r="H228" s="20"/>
      <c r="I228" s="18"/>
      <c r="J228" s="20"/>
      <c r="K228" s="18"/>
    </row>
    <row r="229" customFormat="false" ht="15.75" hidden="false" customHeight="true" outlineLevel="0" collapsed="false">
      <c r="A229" s="18"/>
      <c r="B229" s="20"/>
      <c r="C229" s="18"/>
      <c r="D229" s="18"/>
      <c r="E229" s="18"/>
      <c r="F229" s="18"/>
      <c r="G229" s="19"/>
      <c r="H229" s="20"/>
      <c r="I229" s="18"/>
      <c r="J229" s="20"/>
      <c r="K229" s="18"/>
    </row>
    <row r="230" customFormat="false" ht="15.75" hidden="false" customHeight="true" outlineLevel="0" collapsed="false">
      <c r="A230" s="18"/>
      <c r="B230" s="20"/>
      <c r="C230" s="18"/>
      <c r="D230" s="18"/>
      <c r="E230" s="18"/>
      <c r="F230" s="18"/>
      <c r="G230" s="19"/>
      <c r="H230" s="20"/>
      <c r="I230" s="18"/>
      <c r="J230" s="20"/>
      <c r="K230" s="18"/>
    </row>
    <row r="231" customFormat="false" ht="15.75" hidden="false" customHeight="true" outlineLevel="0" collapsed="false">
      <c r="A231" s="18"/>
      <c r="B231" s="20"/>
      <c r="C231" s="18"/>
      <c r="D231" s="18"/>
      <c r="E231" s="18"/>
      <c r="F231" s="18"/>
      <c r="G231" s="19"/>
      <c r="H231" s="20"/>
      <c r="I231" s="18"/>
      <c r="J231" s="20"/>
      <c r="K231" s="18"/>
    </row>
    <row r="232" customFormat="false" ht="15.75" hidden="false" customHeight="true" outlineLevel="0" collapsed="false">
      <c r="A232" s="18"/>
      <c r="B232" s="20"/>
      <c r="C232" s="18"/>
      <c r="D232" s="18"/>
      <c r="E232" s="18"/>
      <c r="F232" s="18"/>
      <c r="G232" s="19"/>
      <c r="H232" s="20"/>
      <c r="I232" s="18"/>
      <c r="J232" s="20"/>
      <c r="K232" s="18"/>
    </row>
    <row r="233" customFormat="false" ht="15.75" hidden="false" customHeight="true" outlineLevel="0" collapsed="false">
      <c r="A233" s="18"/>
      <c r="B233" s="20"/>
      <c r="C233" s="18"/>
      <c r="D233" s="18"/>
      <c r="E233" s="18"/>
      <c r="F233" s="18"/>
      <c r="G233" s="19"/>
      <c r="H233" s="20"/>
      <c r="I233" s="18"/>
      <c r="J233" s="20"/>
      <c r="K233" s="18"/>
    </row>
    <row r="234" customFormat="false" ht="15.75" hidden="false" customHeight="true" outlineLevel="0" collapsed="false">
      <c r="A234" s="18"/>
      <c r="B234" s="20"/>
      <c r="C234" s="18"/>
      <c r="D234" s="18"/>
      <c r="E234" s="18"/>
      <c r="F234" s="18"/>
      <c r="G234" s="19"/>
      <c r="H234" s="20"/>
      <c r="I234" s="18"/>
      <c r="J234" s="20"/>
      <c r="K234" s="18"/>
    </row>
    <row r="235" customFormat="false" ht="15.75" hidden="false" customHeight="true" outlineLevel="0" collapsed="false">
      <c r="A235" s="18"/>
      <c r="B235" s="20"/>
      <c r="C235" s="18"/>
      <c r="D235" s="18"/>
      <c r="E235" s="18"/>
      <c r="F235" s="18"/>
      <c r="G235" s="19"/>
      <c r="H235" s="20"/>
      <c r="I235" s="18"/>
      <c r="J235" s="20"/>
      <c r="K235" s="18"/>
    </row>
    <row r="236" customFormat="false" ht="15.75" hidden="false" customHeight="true" outlineLevel="0" collapsed="false">
      <c r="A236" s="18"/>
      <c r="B236" s="20"/>
      <c r="C236" s="18"/>
      <c r="D236" s="18"/>
      <c r="E236" s="18"/>
      <c r="F236" s="18"/>
      <c r="G236" s="19"/>
      <c r="H236" s="20"/>
      <c r="I236" s="18"/>
      <c r="J236" s="20"/>
      <c r="K236" s="18"/>
    </row>
    <row r="237" customFormat="false" ht="15.75" hidden="false" customHeight="true" outlineLevel="0" collapsed="false">
      <c r="A237" s="18"/>
      <c r="B237" s="20"/>
      <c r="C237" s="18"/>
      <c r="D237" s="18"/>
      <c r="E237" s="18"/>
      <c r="F237" s="18"/>
      <c r="G237" s="19"/>
      <c r="H237" s="20"/>
      <c r="I237" s="18"/>
      <c r="J237" s="20"/>
      <c r="K237" s="18"/>
    </row>
    <row r="238" customFormat="false" ht="15.75" hidden="false" customHeight="true" outlineLevel="0" collapsed="false">
      <c r="A238" s="18"/>
      <c r="B238" s="20"/>
      <c r="C238" s="18"/>
      <c r="D238" s="18"/>
      <c r="E238" s="18"/>
      <c r="F238" s="18"/>
      <c r="G238" s="19"/>
      <c r="H238" s="20"/>
      <c r="I238" s="18"/>
      <c r="J238" s="20"/>
      <c r="K238" s="18"/>
    </row>
    <row r="239" customFormat="false" ht="15.75" hidden="false" customHeight="true" outlineLevel="0" collapsed="false">
      <c r="A239" s="18"/>
      <c r="B239" s="20"/>
      <c r="C239" s="18"/>
      <c r="D239" s="18"/>
      <c r="E239" s="18"/>
      <c r="F239" s="18"/>
      <c r="G239" s="19"/>
      <c r="H239" s="20"/>
      <c r="I239" s="18"/>
      <c r="J239" s="20"/>
      <c r="K239" s="18"/>
    </row>
    <row r="240" customFormat="false" ht="15.75" hidden="false" customHeight="true" outlineLevel="0" collapsed="false">
      <c r="A240" s="18"/>
      <c r="B240" s="20"/>
      <c r="C240" s="18"/>
      <c r="D240" s="18"/>
      <c r="E240" s="18"/>
      <c r="F240" s="18"/>
      <c r="G240" s="19"/>
      <c r="H240" s="20"/>
      <c r="I240" s="18"/>
      <c r="J240" s="20"/>
      <c r="K240" s="18"/>
    </row>
    <row r="241" customFormat="false" ht="15.75" hidden="false" customHeight="true" outlineLevel="0" collapsed="false">
      <c r="A241" s="18"/>
      <c r="B241" s="20"/>
      <c r="C241" s="18"/>
      <c r="D241" s="18"/>
      <c r="E241" s="18"/>
      <c r="F241" s="18"/>
      <c r="G241" s="19"/>
      <c r="H241" s="20"/>
      <c r="I241" s="18"/>
      <c r="J241" s="20"/>
      <c r="K241" s="18"/>
    </row>
    <row r="242" customFormat="false" ht="15.75" hidden="false" customHeight="true" outlineLevel="0" collapsed="false">
      <c r="A242" s="18"/>
      <c r="B242" s="20"/>
      <c r="C242" s="18"/>
      <c r="D242" s="18"/>
      <c r="E242" s="18"/>
      <c r="F242" s="18"/>
      <c r="G242" s="19"/>
      <c r="H242" s="20"/>
      <c r="I242" s="18"/>
      <c r="J242" s="20"/>
      <c r="K242" s="18"/>
    </row>
    <row r="243" customFormat="false" ht="15.75" hidden="false" customHeight="true" outlineLevel="0" collapsed="false">
      <c r="A243" s="18"/>
      <c r="B243" s="20"/>
      <c r="C243" s="18"/>
      <c r="D243" s="18"/>
      <c r="E243" s="18"/>
      <c r="F243" s="18"/>
      <c r="G243" s="19"/>
      <c r="H243" s="20"/>
      <c r="I243" s="18"/>
      <c r="J243" s="20"/>
      <c r="K243" s="18"/>
    </row>
    <row r="244" customFormat="false" ht="15.75" hidden="false" customHeight="true" outlineLevel="0" collapsed="false">
      <c r="A244" s="18"/>
      <c r="B244" s="20"/>
      <c r="C244" s="18"/>
      <c r="D244" s="18"/>
      <c r="E244" s="18"/>
      <c r="F244" s="18"/>
      <c r="G244" s="19"/>
      <c r="H244" s="20"/>
      <c r="I244" s="18"/>
      <c r="J244" s="20"/>
      <c r="K244" s="18"/>
    </row>
    <row r="245" customFormat="false" ht="15.75" hidden="false" customHeight="true" outlineLevel="0" collapsed="false">
      <c r="A245" s="18"/>
      <c r="B245" s="20"/>
      <c r="C245" s="18"/>
      <c r="D245" s="18"/>
      <c r="E245" s="18"/>
      <c r="F245" s="18"/>
      <c r="G245" s="19"/>
      <c r="H245" s="20"/>
      <c r="I245" s="18"/>
      <c r="J245" s="20"/>
      <c r="K245" s="18"/>
    </row>
    <row r="246" customFormat="false" ht="15.75" hidden="false" customHeight="true" outlineLevel="0" collapsed="false">
      <c r="A246" s="18"/>
      <c r="B246" s="20"/>
      <c r="C246" s="18"/>
      <c r="D246" s="18"/>
      <c r="E246" s="18"/>
      <c r="F246" s="18"/>
      <c r="G246" s="19"/>
      <c r="H246" s="20"/>
      <c r="I246" s="18"/>
      <c r="J246" s="20"/>
      <c r="K246" s="18"/>
    </row>
    <row r="247" customFormat="false" ht="15.75" hidden="false" customHeight="true" outlineLevel="0" collapsed="false">
      <c r="A247" s="18"/>
      <c r="B247" s="20"/>
      <c r="C247" s="18"/>
      <c r="D247" s="18"/>
      <c r="E247" s="18"/>
      <c r="F247" s="18"/>
      <c r="G247" s="19"/>
      <c r="H247" s="20"/>
      <c r="I247" s="18"/>
      <c r="J247" s="20"/>
      <c r="K247" s="18"/>
    </row>
    <row r="248" customFormat="false" ht="15.75" hidden="false" customHeight="true" outlineLevel="0" collapsed="false">
      <c r="A248" s="18"/>
      <c r="B248" s="20"/>
      <c r="C248" s="18"/>
      <c r="D248" s="18"/>
      <c r="E248" s="18"/>
      <c r="F248" s="18"/>
      <c r="G248" s="19"/>
      <c r="H248" s="20"/>
      <c r="I248" s="18"/>
      <c r="J248" s="20"/>
      <c r="K248" s="18"/>
    </row>
    <row r="249" customFormat="false" ht="15.75" hidden="false" customHeight="true" outlineLevel="0" collapsed="false">
      <c r="A249" s="18"/>
      <c r="B249" s="20"/>
      <c r="C249" s="18"/>
      <c r="D249" s="18"/>
      <c r="E249" s="18"/>
      <c r="F249" s="18"/>
      <c r="G249" s="19"/>
      <c r="H249" s="20"/>
      <c r="I249" s="18"/>
      <c r="J249" s="20"/>
      <c r="K249" s="18"/>
    </row>
    <row r="250" customFormat="false" ht="15.75" hidden="false" customHeight="true" outlineLevel="0" collapsed="false">
      <c r="A250" s="18"/>
      <c r="B250" s="20"/>
      <c r="C250" s="18"/>
      <c r="D250" s="18"/>
      <c r="E250" s="18"/>
      <c r="F250" s="18"/>
      <c r="G250" s="19"/>
      <c r="H250" s="20"/>
      <c r="I250" s="18"/>
      <c r="J250" s="20"/>
      <c r="K250" s="18"/>
    </row>
    <row r="251" customFormat="false" ht="15.75" hidden="false" customHeight="true" outlineLevel="0" collapsed="false">
      <c r="A251" s="18"/>
      <c r="B251" s="20"/>
      <c r="C251" s="18"/>
      <c r="D251" s="18"/>
      <c r="E251" s="18"/>
      <c r="F251" s="18"/>
      <c r="G251" s="19"/>
      <c r="H251" s="20"/>
      <c r="I251" s="18"/>
      <c r="J251" s="20"/>
      <c r="K251" s="18"/>
    </row>
    <row r="252" customFormat="false" ht="15.75" hidden="false" customHeight="true" outlineLevel="0" collapsed="false">
      <c r="A252" s="18"/>
      <c r="B252" s="20"/>
      <c r="C252" s="18"/>
      <c r="D252" s="18"/>
      <c r="E252" s="18"/>
      <c r="F252" s="18"/>
      <c r="G252" s="19"/>
      <c r="H252" s="20"/>
      <c r="I252" s="18"/>
      <c r="J252" s="20"/>
      <c r="K252" s="18"/>
    </row>
    <row r="253" customFormat="false" ht="15.75" hidden="false" customHeight="true" outlineLevel="0" collapsed="false">
      <c r="A253" s="18"/>
      <c r="B253" s="20"/>
      <c r="C253" s="18"/>
      <c r="D253" s="18"/>
      <c r="E253" s="18"/>
      <c r="F253" s="18"/>
      <c r="G253" s="19"/>
      <c r="H253" s="20"/>
      <c r="I253" s="18"/>
      <c r="J253" s="20"/>
      <c r="K253" s="18"/>
    </row>
    <row r="254" customFormat="false" ht="15.75" hidden="false" customHeight="true" outlineLevel="0" collapsed="false">
      <c r="A254" s="18"/>
      <c r="B254" s="20"/>
      <c r="C254" s="18"/>
      <c r="D254" s="18"/>
      <c r="E254" s="18"/>
      <c r="F254" s="18"/>
      <c r="G254" s="19"/>
      <c r="H254" s="20"/>
      <c r="I254" s="18"/>
      <c r="J254" s="20"/>
      <c r="K254" s="18"/>
    </row>
    <row r="255" customFormat="false" ht="15.75" hidden="false" customHeight="true" outlineLevel="0" collapsed="false">
      <c r="A255" s="18"/>
      <c r="B255" s="20"/>
      <c r="C255" s="18"/>
      <c r="D255" s="18"/>
      <c r="E255" s="18"/>
      <c r="F255" s="18"/>
      <c r="G255" s="19"/>
      <c r="H255" s="20"/>
      <c r="I255" s="18"/>
      <c r="J255" s="20"/>
      <c r="K255" s="18"/>
    </row>
    <row r="256" customFormat="false" ht="15.75" hidden="false" customHeight="true" outlineLevel="0" collapsed="false">
      <c r="A256" s="18"/>
      <c r="B256" s="20"/>
      <c r="C256" s="18"/>
      <c r="D256" s="18"/>
      <c r="E256" s="18"/>
      <c r="F256" s="18"/>
      <c r="G256" s="19"/>
      <c r="H256" s="20"/>
      <c r="I256" s="18"/>
      <c r="J256" s="20"/>
      <c r="K256" s="18"/>
    </row>
    <row r="257" customFormat="false" ht="15.75" hidden="false" customHeight="true" outlineLevel="0" collapsed="false">
      <c r="A257" s="18"/>
      <c r="B257" s="20"/>
      <c r="C257" s="18"/>
      <c r="D257" s="18"/>
      <c r="E257" s="18"/>
      <c r="F257" s="18"/>
      <c r="G257" s="19"/>
      <c r="H257" s="20"/>
      <c r="I257" s="18"/>
      <c r="J257" s="20"/>
      <c r="K257" s="18"/>
    </row>
    <row r="258" customFormat="false" ht="15.75" hidden="false" customHeight="true" outlineLevel="0" collapsed="false">
      <c r="A258" s="18"/>
      <c r="B258" s="20"/>
      <c r="C258" s="18"/>
      <c r="D258" s="18"/>
      <c r="E258" s="18"/>
      <c r="F258" s="18"/>
      <c r="G258" s="19"/>
      <c r="H258" s="20"/>
      <c r="I258" s="18"/>
      <c r="J258" s="20"/>
      <c r="K258" s="18"/>
    </row>
    <row r="259" customFormat="false" ht="15.75" hidden="false" customHeight="true" outlineLevel="0" collapsed="false">
      <c r="A259" s="18"/>
      <c r="B259" s="20"/>
      <c r="C259" s="18"/>
      <c r="D259" s="18"/>
      <c r="E259" s="18"/>
      <c r="F259" s="18"/>
      <c r="G259" s="19"/>
      <c r="H259" s="20"/>
      <c r="I259" s="18"/>
      <c r="J259" s="20"/>
      <c r="K259" s="18"/>
    </row>
    <row r="260" customFormat="false" ht="15.75" hidden="false" customHeight="true" outlineLevel="0" collapsed="false">
      <c r="A260" s="18"/>
      <c r="B260" s="20"/>
      <c r="C260" s="18"/>
      <c r="D260" s="18"/>
      <c r="E260" s="18"/>
      <c r="F260" s="18"/>
      <c r="G260" s="19"/>
      <c r="H260" s="20"/>
      <c r="I260" s="18"/>
      <c r="J260" s="20"/>
      <c r="K260" s="18"/>
    </row>
    <row r="261" customFormat="false" ht="15.75" hidden="false" customHeight="true" outlineLevel="0" collapsed="false">
      <c r="A261" s="18"/>
      <c r="B261" s="20"/>
      <c r="C261" s="18"/>
      <c r="D261" s="18"/>
      <c r="E261" s="18"/>
      <c r="F261" s="18"/>
      <c r="G261" s="19"/>
      <c r="H261" s="20"/>
      <c r="I261" s="18"/>
      <c r="J261" s="20"/>
      <c r="K261" s="18"/>
    </row>
    <row r="262" customFormat="false" ht="15.75" hidden="false" customHeight="true" outlineLevel="0" collapsed="false">
      <c r="A262" s="18"/>
      <c r="B262" s="20"/>
      <c r="C262" s="18"/>
      <c r="D262" s="18"/>
      <c r="E262" s="18"/>
      <c r="F262" s="18"/>
      <c r="G262" s="19"/>
      <c r="H262" s="20"/>
      <c r="I262" s="18"/>
      <c r="J262" s="20"/>
      <c r="K262" s="18"/>
    </row>
    <row r="263" customFormat="false" ht="15.75" hidden="false" customHeight="true" outlineLevel="0" collapsed="false">
      <c r="A263" s="18"/>
      <c r="B263" s="20"/>
      <c r="C263" s="18"/>
      <c r="D263" s="18"/>
      <c r="E263" s="18"/>
      <c r="F263" s="18"/>
      <c r="G263" s="19"/>
      <c r="H263" s="20"/>
      <c r="I263" s="18"/>
      <c r="J263" s="20"/>
      <c r="K263" s="18"/>
    </row>
    <row r="264" customFormat="false" ht="15.75" hidden="false" customHeight="true" outlineLevel="0" collapsed="false">
      <c r="A264" s="18"/>
      <c r="B264" s="20"/>
      <c r="C264" s="18"/>
      <c r="D264" s="18"/>
      <c r="E264" s="18"/>
      <c r="F264" s="18"/>
      <c r="G264" s="19"/>
      <c r="H264" s="20"/>
      <c r="I264" s="18"/>
      <c r="J264" s="20"/>
      <c r="K264" s="18"/>
    </row>
    <row r="265" customFormat="false" ht="15.75" hidden="false" customHeight="true" outlineLevel="0" collapsed="false">
      <c r="A265" s="18"/>
      <c r="B265" s="20"/>
      <c r="C265" s="18"/>
      <c r="D265" s="18"/>
      <c r="E265" s="18"/>
      <c r="F265" s="18"/>
      <c r="G265" s="19"/>
      <c r="H265" s="20"/>
      <c r="I265" s="18"/>
      <c r="J265" s="20"/>
      <c r="K265" s="18"/>
    </row>
    <row r="266" customFormat="false" ht="15.75" hidden="false" customHeight="true" outlineLevel="0" collapsed="false">
      <c r="A266" s="18"/>
      <c r="B266" s="20"/>
      <c r="C266" s="18"/>
      <c r="D266" s="18"/>
      <c r="E266" s="18"/>
      <c r="F266" s="18"/>
      <c r="G266" s="19"/>
      <c r="H266" s="20"/>
      <c r="I266" s="18"/>
      <c r="J266" s="20"/>
      <c r="K266" s="18"/>
    </row>
    <row r="267" customFormat="false" ht="15.75" hidden="false" customHeight="true" outlineLevel="0" collapsed="false">
      <c r="A267" s="18"/>
      <c r="B267" s="20"/>
      <c r="C267" s="18"/>
      <c r="D267" s="18"/>
      <c r="E267" s="18"/>
      <c r="F267" s="18"/>
      <c r="G267" s="19"/>
      <c r="H267" s="20"/>
      <c r="I267" s="18"/>
      <c r="J267" s="20"/>
      <c r="K267" s="18"/>
    </row>
    <row r="268" customFormat="false" ht="15.75" hidden="false" customHeight="true" outlineLevel="0" collapsed="false">
      <c r="A268" s="18"/>
      <c r="B268" s="20"/>
      <c r="C268" s="18"/>
      <c r="D268" s="18"/>
      <c r="E268" s="18"/>
      <c r="F268" s="18"/>
      <c r="G268" s="19"/>
      <c r="H268" s="20"/>
      <c r="I268" s="18"/>
      <c r="J268" s="20"/>
      <c r="K268" s="18"/>
    </row>
    <row r="269" customFormat="false" ht="15.75" hidden="false" customHeight="true" outlineLevel="0" collapsed="false">
      <c r="A269" s="18"/>
      <c r="B269" s="20"/>
      <c r="C269" s="18"/>
      <c r="D269" s="18"/>
      <c r="E269" s="18"/>
      <c r="F269" s="18"/>
      <c r="G269" s="19"/>
      <c r="H269" s="20"/>
      <c r="I269" s="18"/>
      <c r="J269" s="20"/>
      <c r="K269" s="18"/>
    </row>
    <row r="270" customFormat="false" ht="15.75" hidden="false" customHeight="true" outlineLevel="0" collapsed="false">
      <c r="A270" s="18"/>
      <c r="B270" s="20"/>
      <c r="C270" s="18"/>
      <c r="D270" s="18"/>
      <c r="E270" s="18"/>
      <c r="F270" s="18"/>
      <c r="G270" s="19"/>
      <c r="H270" s="20"/>
      <c r="I270" s="18"/>
      <c r="J270" s="20"/>
      <c r="K270" s="18"/>
    </row>
    <row r="271" customFormat="false" ht="15.75" hidden="false" customHeight="true" outlineLevel="0" collapsed="false">
      <c r="A271" s="18"/>
      <c r="B271" s="20"/>
      <c r="C271" s="18"/>
      <c r="D271" s="18"/>
      <c r="E271" s="18"/>
      <c r="F271" s="18"/>
      <c r="G271" s="19"/>
      <c r="H271" s="20"/>
      <c r="I271" s="18"/>
      <c r="J271" s="20"/>
      <c r="K271" s="18"/>
    </row>
    <row r="272" customFormat="false" ht="15.75" hidden="false" customHeight="true" outlineLevel="0" collapsed="false">
      <c r="A272" s="18"/>
      <c r="B272" s="20"/>
      <c r="C272" s="18"/>
      <c r="D272" s="18"/>
      <c r="E272" s="18"/>
      <c r="F272" s="18"/>
      <c r="G272" s="19"/>
      <c r="H272" s="20"/>
      <c r="I272" s="18"/>
      <c r="J272" s="20"/>
      <c r="K272" s="18"/>
    </row>
    <row r="273" customFormat="false" ht="15.75" hidden="false" customHeight="true" outlineLevel="0" collapsed="false">
      <c r="A273" s="18"/>
      <c r="B273" s="20"/>
      <c r="C273" s="18"/>
      <c r="D273" s="18"/>
      <c r="E273" s="18"/>
      <c r="F273" s="18"/>
      <c r="G273" s="19"/>
      <c r="H273" s="20"/>
      <c r="I273" s="18"/>
      <c r="J273" s="20"/>
      <c r="K273" s="18"/>
    </row>
    <row r="274" customFormat="false" ht="15.75" hidden="false" customHeight="true" outlineLevel="0" collapsed="false">
      <c r="A274" s="18"/>
      <c r="B274" s="20"/>
      <c r="C274" s="18"/>
      <c r="D274" s="18"/>
      <c r="E274" s="18"/>
      <c r="F274" s="18"/>
      <c r="G274" s="19"/>
      <c r="H274" s="20"/>
      <c r="I274" s="18"/>
      <c r="J274" s="20"/>
      <c r="K274" s="18"/>
    </row>
    <row r="275" customFormat="false" ht="15.75" hidden="false" customHeight="true" outlineLevel="0" collapsed="false">
      <c r="A275" s="18"/>
      <c r="B275" s="20"/>
      <c r="C275" s="18"/>
      <c r="D275" s="18"/>
      <c r="E275" s="18"/>
      <c r="F275" s="18"/>
      <c r="G275" s="19"/>
      <c r="H275" s="20"/>
      <c r="I275" s="18"/>
      <c r="J275" s="20"/>
      <c r="K275" s="18"/>
    </row>
    <row r="276" customFormat="false" ht="15.75" hidden="false" customHeight="true" outlineLevel="0" collapsed="false">
      <c r="A276" s="18"/>
      <c r="B276" s="20"/>
      <c r="C276" s="18"/>
      <c r="D276" s="18"/>
      <c r="E276" s="18"/>
      <c r="F276" s="18"/>
      <c r="G276" s="19"/>
      <c r="H276" s="20"/>
      <c r="I276" s="18"/>
      <c r="J276" s="20"/>
      <c r="K276" s="18"/>
    </row>
    <row r="277" customFormat="false" ht="15.75" hidden="false" customHeight="true" outlineLevel="0" collapsed="false">
      <c r="A277" s="18"/>
      <c r="B277" s="20"/>
      <c r="C277" s="18"/>
      <c r="D277" s="18"/>
      <c r="E277" s="18"/>
      <c r="F277" s="18"/>
      <c r="G277" s="19"/>
      <c r="H277" s="20"/>
      <c r="I277" s="18"/>
      <c r="J277" s="20"/>
      <c r="K277" s="18"/>
    </row>
    <row r="278" customFormat="false" ht="15.75" hidden="false" customHeight="true" outlineLevel="0" collapsed="false">
      <c r="A278" s="18"/>
      <c r="B278" s="20"/>
      <c r="C278" s="18"/>
      <c r="D278" s="18"/>
      <c r="E278" s="18"/>
      <c r="F278" s="18"/>
      <c r="G278" s="19"/>
      <c r="H278" s="20"/>
      <c r="I278" s="18"/>
      <c r="J278" s="20"/>
      <c r="K278" s="18"/>
    </row>
    <row r="279" customFormat="false" ht="15.75" hidden="false" customHeight="true" outlineLevel="0" collapsed="false">
      <c r="A279" s="18"/>
      <c r="B279" s="20"/>
      <c r="C279" s="18"/>
      <c r="D279" s="18"/>
      <c r="E279" s="18"/>
      <c r="F279" s="18"/>
      <c r="G279" s="19"/>
      <c r="H279" s="20"/>
      <c r="I279" s="18"/>
      <c r="J279" s="20"/>
      <c r="K279" s="18"/>
    </row>
    <row r="280" customFormat="false" ht="15.75" hidden="false" customHeight="true" outlineLevel="0" collapsed="false">
      <c r="A280" s="18"/>
      <c r="B280" s="20"/>
      <c r="C280" s="18"/>
      <c r="D280" s="18"/>
      <c r="E280" s="18"/>
      <c r="F280" s="18"/>
      <c r="G280" s="19"/>
      <c r="H280" s="20"/>
      <c r="I280" s="18"/>
      <c r="J280" s="20"/>
      <c r="K280" s="18"/>
    </row>
    <row r="281" customFormat="false" ht="15.75" hidden="false" customHeight="true" outlineLevel="0" collapsed="false">
      <c r="A281" s="18"/>
      <c r="B281" s="20"/>
      <c r="C281" s="18"/>
      <c r="D281" s="18"/>
      <c r="E281" s="18"/>
      <c r="F281" s="18"/>
      <c r="G281" s="19"/>
      <c r="H281" s="20"/>
      <c r="I281" s="18"/>
      <c r="J281" s="20"/>
      <c r="K281" s="18"/>
    </row>
    <row r="282" customFormat="false" ht="15.75" hidden="false" customHeight="true" outlineLevel="0" collapsed="false">
      <c r="A282" s="18"/>
      <c r="B282" s="20"/>
      <c r="C282" s="18"/>
      <c r="D282" s="18"/>
      <c r="E282" s="18"/>
      <c r="F282" s="18"/>
      <c r="G282" s="19"/>
      <c r="H282" s="20"/>
      <c r="I282" s="18"/>
      <c r="J282" s="20"/>
      <c r="K282" s="18"/>
    </row>
    <row r="283" customFormat="false" ht="15.75" hidden="false" customHeight="true" outlineLevel="0" collapsed="false">
      <c r="A283" s="18"/>
      <c r="B283" s="20"/>
      <c r="C283" s="18"/>
      <c r="D283" s="18"/>
      <c r="E283" s="18"/>
      <c r="F283" s="18"/>
      <c r="G283" s="19"/>
      <c r="H283" s="20"/>
      <c r="I283" s="18"/>
      <c r="J283" s="20"/>
      <c r="K283" s="18"/>
    </row>
    <row r="284" customFormat="false" ht="15.75" hidden="false" customHeight="true" outlineLevel="0" collapsed="false">
      <c r="A284" s="18"/>
      <c r="B284" s="20"/>
      <c r="C284" s="18"/>
      <c r="D284" s="18"/>
      <c r="E284" s="18"/>
      <c r="F284" s="18"/>
      <c r="G284" s="19"/>
      <c r="H284" s="20"/>
      <c r="I284" s="18"/>
      <c r="J284" s="20"/>
      <c r="K284" s="18"/>
    </row>
    <row r="285" customFormat="false" ht="15.75" hidden="false" customHeight="true" outlineLevel="0" collapsed="false">
      <c r="A285" s="18"/>
      <c r="B285" s="20"/>
      <c r="C285" s="18"/>
      <c r="D285" s="18"/>
      <c r="E285" s="18"/>
      <c r="F285" s="18"/>
      <c r="G285" s="19"/>
      <c r="H285" s="20"/>
      <c r="I285" s="18"/>
      <c r="J285" s="20"/>
      <c r="K285" s="18"/>
    </row>
    <row r="286" customFormat="false" ht="15.75" hidden="false" customHeight="true" outlineLevel="0" collapsed="false">
      <c r="A286" s="18"/>
      <c r="B286" s="20"/>
      <c r="C286" s="18"/>
      <c r="D286" s="18"/>
      <c r="E286" s="18"/>
      <c r="F286" s="18"/>
      <c r="G286" s="19"/>
      <c r="H286" s="20"/>
      <c r="I286" s="18"/>
      <c r="J286" s="20"/>
      <c r="K286" s="18"/>
    </row>
    <row r="287" customFormat="false" ht="15.75" hidden="false" customHeight="true" outlineLevel="0" collapsed="false">
      <c r="A287" s="18"/>
      <c r="B287" s="20"/>
      <c r="C287" s="18"/>
      <c r="D287" s="18"/>
      <c r="E287" s="18"/>
      <c r="F287" s="18"/>
      <c r="G287" s="19"/>
      <c r="H287" s="20"/>
      <c r="I287" s="18"/>
      <c r="J287" s="20"/>
      <c r="K287" s="18"/>
    </row>
    <row r="288" customFormat="false" ht="15.75" hidden="false" customHeight="true" outlineLevel="0" collapsed="false">
      <c r="A288" s="18"/>
      <c r="B288" s="20"/>
      <c r="C288" s="18"/>
      <c r="D288" s="18"/>
      <c r="E288" s="18"/>
      <c r="F288" s="18"/>
      <c r="G288" s="19"/>
      <c r="H288" s="20"/>
      <c r="I288" s="18"/>
      <c r="J288" s="20"/>
      <c r="K288" s="18"/>
    </row>
    <row r="289" customFormat="false" ht="15.75" hidden="false" customHeight="true" outlineLevel="0" collapsed="false">
      <c r="A289" s="18"/>
      <c r="B289" s="20"/>
      <c r="C289" s="18"/>
      <c r="D289" s="18"/>
      <c r="E289" s="18"/>
      <c r="F289" s="18"/>
      <c r="G289" s="19"/>
      <c r="H289" s="20"/>
      <c r="I289" s="18"/>
      <c r="J289" s="20"/>
      <c r="K289" s="18"/>
    </row>
    <row r="290" customFormat="false" ht="15.75" hidden="false" customHeight="true" outlineLevel="0" collapsed="false">
      <c r="A290" s="18"/>
      <c r="B290" s="20"/>
      <c r="C290" s="18"/>
      <c r="D290" s="18"/>
      <c r="E290" s="18"/>
      <c r="F290" s="18"/>
      <c r="G290" s="19"/>
      <c r="H290" s="20"/>
      <c r="I290" s="18"/>
      <c r="J290" s="20"/>
      <c r="K290" s="18"/>
    </row>
    <row r="291" customFormat="false" ht="15.75" hidden="false" customHeight="true" outlineLevel="0" collapsed="false">
      <c r="A291" s="18"/>
      <c r="B291" s="20"/>
      <c r="C291" s="18"/>
      <c r="D291" s="18"/>
      <c r="E291" s="18"/>
      <c r="F291" s="18"/>
      <c r="G291" s="19"/>
      <c r="H291" s="20"/>
      <c r="I291" s="18"/>
      <c r="J291" s="20"/>
      <c r="K291" s="18"/>
    </row>
    <row r="292" customFormat="false" ht="15.75" hidden="false" customHeight="true" outlineLevel="0" collapsed="false">
      <c r="A292" s="18"/>
      <c r="B292" s="20"/>
      <c r="C292" s="18"/>
      <c r="D292" s="18"/>
      <c r="E292" s="18"/>
      <c r="F292" s="18"/>
      <c r="G292" s="19"/>
      <c r="H292" s="20"/>
      <c r="I292" s="18"/>
      <c r="J292" s="20"/>
      <c r="K292" s="18"/>
    </row>
    <row r="293" customFormat="false" ht="15.75" hidden="false" customHeight="true" outlineLevel="0" collapsed="false">
      <c r="A293" s="18"/>
      <c r="B293" s="20"/>
      <c r="C293" s="18"/>
      <c r="D293" s="18"/>
      <c r="E293" s="18"/>
      <c r="F293" s="18"/>
      <c r="G293" s="19"/>
      <c r="H293" s="20"/>
      <c r="I293" s="18"/>
      <c r="J293" s="20"/>
      <c r="K293" s="18"/>
    </row>
    <row r="294" customFormat="false" ht="15.75" hidden="false" customHeight="true" outlineLevel="0" collapsed="false">
      <c r="A294" s="18"/>
      <c r="B294" s="20"/>
      <c r="C294" s="18"/>
      <c r="D294" s="18"/>
      <c r="E294" s="18"/>
      <c r="F294" s="18"/>
      <c r="G294" s="19"/>
      <c r="H294" s="20"/>
      <c r="I294" s="18"/>
      <c r="J294" s="20"/>
      <c r="K294" s="18"/>
    </row>
    <row r="295" customFormat="false" ht="15.75" hidden="false" customHeight="true" outlineLevel="0" collapsed="false">
      <c r="A295" s="18"/>
      <c r="B295" s="20"/>
      <c r="C295" s="18"/>
      <c r="D295" s="18"/>
      <c r="E295" s="18"/>
      <c r="F295" s="18"/>
      <c r="G295" s="19"/>
      <c r="H295" s="20"/>
      <c r="I295" s="18"/>
      <c r="J295" s="20"/>
      <c r="K295" s="18"/>
    </row>
    <row r="296" customFormat="false" ht="15.75" hidden="false" customHeight="true" outlineLevel="0" collapsed="false">
      <c r="A296" s="18"/>
      <c r="B296" s="20"/>
      <c r="C296" s="18"/>
      <c r="D296" s="18"/>
      <c r="E296" s="18"/>
      <c r="F296" s="18"/>
      <c r="G296" s="19"/>
      <c r="H296" s="20"/>
      <c r="I296" s="18"/>
      <c r="J296" s="20"/>
      <c r="K296" s="18"/>
    </row>
    <row r="297" customFormat="false" ht="15.75" hidden="false" customHeight="true" outlineLevel="0" collapsed="false">
      <c r="A297" s="18"/>
      <c r="B297" s="20"/>
      <c r="C297" s="18"/>
      <c r="D297" s="18"/>
      <c r="E297" s="18"/>
      <c r="F297" s="18"/>
      <c r="G297" s="19"/>
      <c r="H297" s="20"/>
      <c r="I297" s="18"/>
      <c r="J297" s="20"/>
      <c r="K297" s="18"/>
    </row>
    <row r="298" customFormat="false" ht="15.75" hidden="false" customHeight="true" outlineLevel="0" collapsed="false">
      <c r="A298" s="18"/>
      <c r="B298" s="20"/>
      <c r="C298" s="18"/>
      <c r="D298" s="18"/>
      <c r="E298" s="18"/>
      <c r="F298" s="18"/>
      <c r="G298" s="19"/>
      <c r="H298" s="20"/>
      <c r="I298" s="18"/>
      <c r="J298" s="20"/>
      <c r="K298" s="18"/>
    </row>
    <row r="299" customFormat="false" ht="15.75" hidden="false" customHeight="true" outlineLevel="0" collapsed="false">
      <c r="A299" s="18"/>
      <c r="B299" s="20"/>
      <c r="C299" s="18"/>
      <c r="D299" s="18"/>
      <c r="E299" s="18"/>
      <c r="F299" s="18"/>
      <c r="G299" s="19"/>
      <c r="H299" s="20"/>
      <c r="I299" s="18"/>
      <c r="J299" s="20"/>
      <c r="K299" s="18"/>
    </row>
    <row r="300" customFormat="false" ht="15.75" hidden="false" customHeight="true" outlineLevel="0" collapsed="false">
      <c r="A300" s="18"/>
      <c r="B300" s="20"/>
      <c r="C300" s="18"/>
      <c r="D300" s="18"/>
      <c r="E300" s="18"/>
      <c r="F300" s="18"/>
      <c r="G300" s="19"/>
      <c r="H300" s="20"/>
      <c r="I300" s="18"/>
      <c r="J300" s="20"/>
      <c r="K300" s="18"/>
    </row>
    <row r="301" customFormat="false" ht="15.75" hidden="false" customHeight="true" outlineLevel="0" collapsed="false">
      <c r="A301" s="18"/>
      <c r="B301" s="20"/>
      <c r="C301" s="18"/>
      <c r="D301" s="18"/>
      <c r="E301" s="18"/>
      <c r="F301" s="18"/>
      <c r="G301" s="19"/>
      <c r="H301" s="20"/>
      <c r="I301" s="18"/>
      <c r="J301" s="20"/>
      <c r="K301" s="18"/>
    </row>
    <row r="302" customFormat="false" ht="15.75" hidden="false" customHeight="true" outlineLevel="0" collapsed="false">
      <c r="A302" s="18"/>
      <c r="B302" s="20"/>
      <c r="C302" s="18"/>
      <c r="D302" s="18"/>
      <c r="E302" s="18"/>
      <c r="F302" s="18"/>
      <c r="G302" s="19"/>
      <c r="H302" s="20"/>
      <c r="I302" s="18"/>
      <c r="J302" s="20"/>
      <c r="K302" s="18"/>
    </row>
    <row r="303" customFormat="false" ht="15.75" hidden="false" customHeight="true" outlineLevel="0" collapsed="false">
      <c r="A303" s="18"/>
      <c r="B303" s="20"/>
      <c r="C303" s="18"/>
      <c r="D303" s="18"/>
      <c r="E303" s="18"/>
      <c r="F303" s="18"/>
      <c r="G303" s="19"/>
      <c r="H303" s="20"/>
      <c r="I303" s="18"/>
      <c r="J303" s="20"/>
      <c r="K303" s="18"/>
    </row>
    <row r="304" customFormat="false" ht="15.75" hidden="false" customHeight="true" outlineLevel="0" collapsed="false">
      <c r="A304" s="18"/>
      <c r="B304" s="20"/>
      <c r="C304" s="18"/>
      <c r="D304" s="18"/>
      <c r="E304" s="18"/>
      <c r="F304" s="18"/>
      <c r="G304" s="19"/>
      <c r="H304" s="20"/>
      <c r="I304" s="18"/>
      <c r="J304" s="20"/>
      <c r="K304" s="18"/>
    </row>
    <row r="305" customFormat="false" ht="15.75" hidden="false" customHeight="true" outlineLevel="0" collapsed="false">
      <c r="A305" s="18"/>
      <c r="B305" s="20"/>
      <c r="C305" s="18"/>
      <c r="D305" s="18"/>
      <c r="E305" s="18"/>
      <c r="F305" s="18"/>
      <c r="G305" s="19"/>
      <c r="H305" s="20"/>
      <c r="I305" s="18"/>
      <c r="J305" s="20"/>
      <c r="K305" s="18"/>
    </row>
    <row r="306" customFormat="false" ht="15.75" hidden="false" customHeight="true" outlineLevel="0" collapsed="false">
      <c r="A306" s="18"/>
      <c r="B306" s="20"/>
      <c r="C306" s="18"/>
      <c r="D306" s="18"/>
      <c r="E306" s="18"/>
      <c r="F306" s="18"/>
      <c r="G306" s="19"/>
      <c r="H306" s="20"/>
      <c r="I306" s="18"/>
      <c r="J306" s="20"/>
      <c r="K306" s="18"/>
    </row>
    <row r="307" customFormat="false" ht="15.75" hidden="false" customHeight="true" outlineLevel="0" collapsed="false">
      <c r="A307" s="18"/>
      <c r="B307" s="20"/>
      <c r="C307" s="18"/>
      <c r="D307" s="18"/>
      <c r="E307" s="18"/>
      <c r="F307" s="18"/>
      <c r="G307" s="19"/>
      <c r="H307" s="20"/>
      <c r="I307" s="18"/>
      <c r="J307" s="20"/>
      <c r="K307" s="18"/>
    </row>
    <row r="308" customFormat="false" ht="15.75" hidden="false" customHeight="true" outlineLevel="0" collapsed="false">
      <c r="A308" s="18"/>
      <c r="B308" s="20"/>
      <c r="C308" s="18"/>
      <c r="D308" s="18"/>
      <c r="E308" s="18"/>
      <c r="F308" s="18"/>
      <c r="G308" s="19"/>
      <c r="H308" s="20"/>
      <c r="I308" s="18"/>
      <c r="J308" s="20"/>
      <c r="K308" s="18"/>
    </row>
    <row r="309" customFormat="false" ht="15.75" hidden="false" customHeight="true" outlineLevel="0" collapsed="false">
      <c r="A309" s="18"/>
      <c r="B309" s="20"/>
      <c r="C309" s="18"/>
      <c r="D309" s="18"/>
      <c r="E309" s="18"/>
      <c r="F309" s="18"/>
      <c r="G309" s="19"/>
      <c r="H309" s="20"/>
      <c r="I309" s="18"/>
      <c r="J309" s="20"/>
      <c r="K309" s="18"/>
    </row>
    <row r="310" customFormat="false" ht="15.75" hidden="false" customHeight="true" outlineLevel="0" collapsed="false">
      <c r="A310" s="18"/>
      <c r="B310" s="20"/>
      <c r="C310" s="18"/>
      <c r="D310" s="18"/>
      <c r="E310" s="18"/>
      <c r="F310" s="18"/>
      <c r="G310" s="19"/>
      <c r="H310" s="20"/>
      <c r="I310" s="18"/>
      <c r="J310" s="20"/>
      <c r="K310" s="18"/>
    </row>
    <row r="311" customFormat="false" ht="15.75" hidden="false" customHeight="true" outlineLevel="0" collapsed="false">
      <c r="A311" s="18"/>
      <c r="B311" s="20"/>
      <c r="C311" s="18"/>
      <c r="D311" s="18"/>
      <c r="E311" s="18"/>
      <c r="F311" s="18"/>
      <c r="G311" s="19"/>
      <c r="H311" s="20"/>
      <c r="I311" s="18"/>
      <c r="J311" s="20"/>
      <c r="K311" s="18"/>
    </row>
    <row r="312" customFormat="false" ht="15.75" hidden="false" customHeight="true" outlineLevel="0" collapsed="false">
      <c r="A312" s="18"/>
      <c r="B312" s="20"/>
      <c r="C312" s="18"/>
      <c r="D312" s="18"/>
      <c r="E312" s="18"/>
      <c r="F312" s="18"/>
      <c r="G312" s="19"/>
      <c r="H312" s="20"/>
      <c r="I312" s="18"/>
      <c r="J312" s="20"/>
      <c r="K312" s="18"/>
    </row>
    <row r="313" customFormat="false" ht="15.75" hidden="false" customHeight="true" outlineLevel="0" collapsed="false">
      <c r="A313" s="18"/>
      <c r="B313" s="20"/>
      <c r="C313" s="18"/>
      <c r="D313" s="18"/>
      <c r="E313" s="18"/>
      <c r="F313" s="18"/>
      <c r="G313" s="19"/>
      <c r="H313" s="20"/>
      <c r="I313" s="18"/>
      <c r="J313" s="20"/>
      <c r="K313" s="18"/>
    </row>
    <row r="314" customFormat="false" ht="15.75" hidden="false" customHeight="true" outlineLevel="0" collapsed="false">
      <c r="A314" s="18"/>
      <c r="B314" s="20"/>
      <c r="C314" s="18"/>
      <c r="D314" s="18"/>
      <c r="E314" s="18"/>
      <c r="F314" s="18"/>
      <c r="G314" s="19"/>
      <c r="H314" s="20"/>
      <c r="I314" s="18"/>
      <c r="J314" s="20"/>
      <c r="K314" s="18"/>
    </row>
    <row r="315" customFormat="false" ht="15.75" hidden="false" customHeight="true" outlineLevel="0" collapsed="false">
      <c r="A315" s="18"/>
      <c r="B315" s="20"/>
      <c r="C315" s="18"/>
      <c r="D315" s="18"/>
      <c r="E315" s="18"/>
      <c r="F315" s="18"/>
      <c r="G315" s="19"/>
      <c r="H315" s="20"/>
      <c r="I315" s="18"/>
      <c r="J315" s="20"/>
      <c r="K315" s="18"/>
    </row>
    <row r="316" customFormat="false" ht="15.75" hidden="false" customHeight="true" outlineLevel="0" collapsed="false">
      <c r="A316" s="18"/>
      <c r="B316" s="20"/>
      <c r="C316" s="18"/>
      <c r="D316" s="18"/>
      <c r="E316" s="18"/>
      <c r="F316" s="18"/>
      <c r="G316" s="19"/>
      <c r="H316" s="20"/>
      <c r="I316" s="18"/>
      <c r="J316" s="20"/>
      <c r="K316" s="18"/>
    </row>
    <row r="317" customFormat="false" ht="15.75" hidden="false" customHeight="true" outlineLevel="0" collapsed="false">
      <c r="A317" s="18"/>
      <c r="B317" s="20"/>
      <c r="C317" s="18"/>
      <c r="D317" s="18"/>
      <c r="E317" s="18"/>
      <c r="F317" s="18"/>
      <c r="G317" s="19"/>
      <c r="H317" s="20"/>
      <c r="I317" s="18"/>
      <c r="J317" s="20"/>
      <c r="K317" s="18"/>
    </row>
    <row r="318" customFormat="false" ht="15.75" hidden="false" customHeight="true" outlineLevel="0" collapsed="false">
      <c r="A318" s="18"/>
      <c r="B318" s="20"/>
      <c r="C318" s="18"/>
      <c r="D318" s="18"/>
      <c r="E318" s="18"/>
      <c r="F318" s="18"/>
      <c r="G318" s="19"/>
      <c r="H318" s="20"/>
      <c r="I318" s="18"/>
      <c r="J318" s="20"/>
      <c r="K318" s="18"/>
    </row>
    <row r="319" customFormat="false" ht="15.75" hidden="false" customHeight="true" outlineLevel="0" collapsed="false">
      <c r="A319" s="18"/>
      <c r="B319" s="20"/>
      <c r="C319" s="18"/>
      <c r="D319" s="18"/>
      <c r="E319" s="18"/>
      <c r="F319" s="18"/>
      <c r="G319" s="19"/>
      <c r="H319" s="20"/>
      <c r="I319" s="18"/>
      <c r="J319" s="20"/>
      <c r="K319" s="18"/>
    </row>
    <row r="320" customFormat="false" ht="15.75" hidden="false" customHeight="true" outlineLevel="0" collapsed="false">
      <c r="A320" s="18"/>
      <c r="B320" s="20"/>
      <c r="C320" s="18"/>
      <c r="D320" s="18"/>
      <c r="E320" s="18"/>
      <c r="F320" s="18"/>
      <c r="G320" s="19"/>
      <c r="H320" s="20"/>
      <c r="I320" s="18"/>
      <c r="J320" s="20"/>
      <c r="K320" s="18"/>
    </row>
    <row r="321" customFormat="false" ht="15.75" hidden="false" customHeight="true" outlineLevel="0" collapsed="false">
      <c r="A321" s="18"/>
      <c r="B321" s="20"/>
      <c r="C321" s="18"/>
      <c r="D321" s="18"/>
      <c r="E321" s="18"/>
      <c r="F321" s="18"/>
      <c r="G321" s="19"/>
      <c r="H321" s="20"/>
      <c r="I321" s="18"/>
      <c r="J321" s="20"/>
      <c r="K321" s="18"/>
    </row>
    <row r="322" customFormat="false" ht="15.75" hidden="false" customHeight="true" outlineLevel="0" collapsed="false">
      <c r="A322" s="18"/>
      <c r="B322" s="20"/>
      <c r="C322" s="18"/>
      <c r="D322" s="18"/>
      <c r="E322" s="18"/>
      <c r="F322" s="18"/>
      <c r="G322" s="19"/>
      <c r="H322" s="20"/>
      <c r="I322" s="18"/>
      <c r="J322" s="20"/>
      <c r="K322" s="18"/>
    </row>
    <row r="323" customFormat="false" ht="15.75" hidden="false" customHeight="true" outlineLevel="0" collapsed="false">
      <c r="A323" s="18"/>
      <c r="B323" s="20"/>
      <c r="C323" s="18"/>
      <c r="D323" s="18"/>
      <c r="E323" s="18"/>
      <c r="F323" s="18"/>
      <c r="G323" s="19"/>
      <c r="H323" s="20"/>
      <c r="I323" s="18"/>
      <c r="J323" s="20"/>
      <c r="K323" s="18"/>
    </row>
    <row r="324" customFormat="false" ht="15.75" hidden="false" customHeight="true" outlineLevel="0" collapsed="false">
      <c r="A324" s="18"/>
      <c r="B324" s="20"/>
      <c r="C324" s="18"/>
      <c r="D324" s="18"/>
      <c r="E324" s="18"/>
      <c r="F324" s="18"/>
      <c r="G324" s="19"/>
      <c r="H324" s="20"/>
      <c r="I324" s="18"/>
      <c r="J324" s="20"/>
      <c r="K324" s="18"/>
    </row>
    <row r="325" customFormat="false" ht="15.75" hidden="false" customHeight="true" outlineLevel="0" collapsed="false">
      <c r="A325" s="18"/>
      <c r="B325" s="20"/>
      <c r="C325" s="18"/>
      <c r="D325" s="18"/>
      <c r="E325" s="18"/>
      <c r="F325" s="18"/>
      <c r="G325" s="19"/>
      <c r="H325" s="20"/>
      <c r="I325" s="18"/>
      <c r="J325" s="20"/>
      <c r="K325" s="18"/>
    </row>
    <row r="326" customFormat="false" ht="15.75" hidden="false" customHeight="true" outlineLevel="0" collapsed="false">
      <c r="A326" s="18"/>
      <c r="B326" s="20"/>
      <c r="C326" s="18"/>
      <c r="D326" s="18"/>
      <c r="E326" s="18"/>
      <c r="F326" s="18"/>
      <c r="G326" s="19"/>
      <c r="H326" s="20"/>
      <c r="I326" s="18"/>
      <c r="J326" s="20"/>
      <c r="K326" s="18"/>
    </row>
    <row r="327" customFormat="false" ht="15.75" hidden="false" customHeight="true" outlineLevel="0" collapsed="false">
      <c r="A327" s="18"/>
      <c r="B327" s="20"/>
      <c r="C327" s="18"/>
      <c r="D327" s="18"/>
      <c r="E327" s="18"/>
      <c r="F327" s="18"/>
      <c r="G327" s="19"/>
      <c r="H327" s="20"/>
      <c r="I327" s="18"/>
      <c r="J327" s="20"/>
      <c r="K327" s="18"/>
    </row>
    <row r="328" customFormat="false" ht="15.75" hidden="false" customHeight="true" outlineLevel="0" collapsed="false">
      <c r="A328" s="18"/>
      <c r="B328" s="20"/>
      <c r="C328" s="18"/>
      <c r="D328" s="18"/>
      <c r="E328" s="18"/>
      <c r="F328" s="18"/>
      <c r="G328" s="19"/>
      <c r="H328" s="20"/>
      <c r="I328" s="18"/>
      <c r="J328" s="20"/>
      <c r="K328" s="18"/>
    </row>
    <row r="329" customFormat="false" ht="15.75" hidden="false" customHeight="true" outlineLevel="0" collapsed="false">
      <c r="A329" s="18"/>
      <c r="B329" s="20"/>
      <c r="C329" s="18"/>
      <c r="D329" s="18"/>
      <c r="E329" s="18"/>
      <c r="F329" s="18"/>
      <c r="G329" s="19"/>
      <c r="H329" s="20"/>
      <c r="I329" s="18"/>
      <c r="J329" s="20"/>
      <c r="K329" s="18"/>
    </row>
    <row r="330" customFormat="false" ht="15.75" hidden="false" customHeight="true" outlineLevel="0" collapsed="false">
      <c r="A330" s="18"/>
      <c r="B330" s="20"/>
      <c r="C330" s="18"/>
      <c r="D330" s="18"/>
      <c r="E330" s="18"/>
      <c r="F330" s="18"/>
      <c r="G330" s="19"/>
      <c r="H330" s="20"/>
      <c r="I330" s="18"/>
      <c r="J330" s="20"/>
      <c r="K330" s="18"/>
    </row>
    <row r="331" customFormat="false" ht="15.75" hidden="false" customHeight="true" outlineLevel="0" collapsed="false">
      <c r="A331" s="18"/>
      <c r="B331" s="20"/>
      <c r="C331" s="18"/>
      <c r="D331" s="18"/>
      <c r="E331" s="18"/>
      <c r="F331" s="18"/>
      <c r="G331" s="19"/>
      <c r="H331" s="20"/>
      <c r="I331" s="18"/>
      <c r="J331" s="20"/>
      <c r="K331" s="18"/>
    </row>
    <row r="332" customFormat="false" ht="15.75" hidden="false" customHeight="true" outlineLevel="0" collapsed="false">
      <c r="A332" s="18"/>
      <c r="B332" s="20"/>
      <c r="C332" s="18"/>
      <c r="D332" s="18"/>
      <c r="E332" s="18"/>
      <c r="F332" s="18"/>
      <c r="G332" s="19"/>
      <c r="H332" s="20"/>
      <c r="I332" s="18"/>
      <c r="J332" s="20"/>
      <c r="K332" s="18"/>
    </row>
    <row r="333" customFormat="false" ht="15.75" hidden="false" customHeight="true" outlineLevel="0" collapsed="false">
      <c r="A333" s="18"/>
      <c r="B333" s="20"/>
      <c r="C333" s="18"/>
      <c r="D333" s="18"/>
      <c r="E333" s="18"/>
      <c r="F333" s="18"/>
      <c r="G333" s="19"/>
      <c r="H333" s="20"/>
      <c r="I333" s="18"/>
      <c r="J333" s="20"/>
      <c r="K333" s="18"/>
    </row>
    <row r="334" customFormat="false" ht="15.75" hidden="false" customHeight="true" outlineLevel="0" collapsed="false">
      <c r="A334" s="18"/>
      <c r="B334" s="20"/>
      <c r="C334" s="18"/>
      <c r="D334" s="18"/>
      <c r="E334" s="18"/>
      <c r="F334" s="18"/>
      <c r="G334" s="19"/>
      <c r="H334" s="20"/>
      <c r="I334" s="18"/>
      <c r="J334" s="20"/>
      <c r="K334" s="18"/>
    </row>
    <row r="335" customFormat="false" ht="15.75" hidden="false" customHeight="true" outlineLevel="0" collapsed="false">
      <c r="A335" s="18"/>
      <c r="B335" s="20"/>
      <c r="C335" s="18"/>
      <c r="D335" s="18"/>
      <c r="E335" s="18"/>
      <c r="F335" s="18"/>
      <c r="G335" s="19"/>
      <c r="H335" s="20"/>
      <c r="I335" s="18"/>
      <c r="J335" s="20"/>
      <c r="K335" s="18"/>
    </row>
    <row r="336" customFormat="false" ht="15.75" hidden="false" customHeight="true" outlineLevel="0" collapsed="false">
      <c r="A336" s="18"/>
      <c r="B336" s="20"/>
      <c r="C336" s="18"/>
      <c r="D336" s="18"/>
      <c r="E336" s="18"/>
      <c r="F336" s="18"/>
      <c r="G336" s="19"/>
      <c r="H336" s="20"/>
      <c r="I336" s="18"/>
      <c r="J336" s="20"/>
      <c r="K336" s="18"/>
    </row>
    <row r="337" customFormat="false" ht="15.75" hidden="false" customHeight="true" outlineLevel="0" collapsed="false">
      <c r="A337" s="18"/>
      <c r="B337" s="20"/>
      <c r="C337" s="18"/>
      <c r="D337" s="18"/>
      <c r="E337" s="18"/>
      <c r="F337" s="18"/>
      <c r="G337" s="19"/>
      <c r="H337" s="20"/>
      <c r="I337" s="18"/>
      <c r="J337" s="20"/>
      <c r="K337" s="18"/>
    </row>
    <row r="338" customFormat="false" ht="15.75" hidden="false" customHeight="true" outlineLevel="0" collapsed="false">
      <c r="A338" s="18"/>
      <c r="B338" s="20"/>
      <c r="C338" s="18"/>
      <c r="D338" s="18"/>
      <c r="E338" s="18"/>
      <c r="F338" s="18"/>
      <c r="G338" s="19"/>
      <c r="H338" s="20"/>
      <c r="I338" s="18"/>
      <c r="J338" s="20"/>
      <c r="K338" s="18"/>
    </row>
    <row r="339" customFormat="false" ht="15.75" hidden="false" customHeight="true" outlineLevel="0" collapsed="false">
      <c r="A339" s="18"/>
      <c r="B339" s="20"/>
      <c r="C339" s="18"/>
      <c r="D339" s="18"/>
      <c r="E339" s="18"/>
      <c r="F339" s="18"/>
      <c r="G339" s="19"/>
      <c r="H339" s="20"/>
      <c r="I339" s="18"/>
      <c r="J339" s="20"/>
      <c r="K339" s="18"/>
    </row>
    <row r="340" customFormat="false" ht="15.75" hidden="false" customHeight="true" outlineLevel="0" collapsed="false">
      <c r="A340" s="18"/>
      <c r="B340" s="20"/>
      <c r="C340" s="18"/>
      <c r="D340" s="18"/>
      <c r="E340" s="18"/>
      <c r="F340" s="18"/>
      <c r="G340" s="19"/>
      <c r="H340" s="20"/>
      <c r="I340" s="18"/>
      <c r="J340" s="20"/>
      <c r="K340" s="18"/>
    </row>
    <row r="341" customFormat="false" ht="15.75" hidden="false" customHeight="true" outlineLevel="0" collapsed="false">
      <c r="A341" s="18"/>
      <c r="B341" s="20"/>
      <c r="C341" s="18"/>
      <c r="D341" s="18"/>
      <c r="E341" s="18"/>
      <c r="F341" s="18"/>
      <c r="G341" s="19"/>
      <c r="H341" s="20"/>
      <c r="I341" s="18"/>
      <c r="J341" s="20"/>
      <c r="K341" s="18"/>
    </row>
    <row r="342" customFormat="false" ht="15.75" hidden="false" customHeight="true" outlineLevel="0" collapsed="false">
      <c r="A342" s="18"/>
      <c r="B342" s="20"/>
      <c r="C342" s="18"/>
      <c r="D342" s="18"/>
      <c r="E342" s="18"/>
      <c r="F342" s="18"/>
      <c r="G342" s="19"/>
      <c r="H342" s="20"/>
      <c r="I342" s="18"/>
      <c r="J342" s="20"/>
      <c r="K342" s="18"/>
    </row>
    <row r="343" customFormat="false" ht="15.75" hidden="false" customHeight="true" outlineLevel="0" collapsed="false">
      <c r="A343" s="18"/>
      <c r="B343" s="20"/>
      <c r="C343" s="18"/>
      <c r="D343" s="18"/>
      <c r="E343" s="18"/>
      <c r="F343" s="18"/>
      <c r="G343" s="19"/>
      <c r="H343" s="20"/>
      <c r="I343" s="18"/>
      <c r="J343" s="20"/>
      <c r="K343" s="18"/>
    </row>
    <row r="344" customFormat="false" ht="15.75" hidden="false" customHeight="true" outlineLevel="0" collapsed="false">
      <c r="A344" s="18"/>
      <c r="B344" s="20"/>
      <c r="C344" s="18"/>
      <c r="D344" s="18"/>
      <c r="E344" s="18"/>
      <c r="F344" s="18"/>
      <c r="G344" s="19"/>
      <c r="H344" s="20"/>
      <c r="I344" s="18"/>
      <c r="J344" s="20"/>
      <c r="K344" s="18"/>
    </row>
    <row r="345" customFormat="false" ht="15.75" hidden="false" customHeight="true" outlineLevel="0" collapsed="false">
      <c r="A345" s="18"/>
      <c r="B345" s="20"/>
      <c r="C345" s="18"/>
      <c r="D345" s="18"/>
      <c r="E345" s="18"/>
      <c r="F345" s="18"/>
      <c r="G345" s="19"/>
      <c r="H345" s="20"/>
      <c r="I345" s="18"/>
      <c r="J345" s="20"/>
      <c r="K345" s="18"/>
    </row>
    <row r="346" customFormat="false" ht="15.75" hidden="false" customHeight="true" outlineLevel="0" collapsed="false">
      <c r="A346" s="18"/>
      <c r="B346" s="20"/>
      <c r="C346" s="18"/>
      <c r="D346" s="18"/>
      <c r="E346" s="18"/>
      <c r="F346" s="18"/>
      <c r="G346" s="19"/>
      <c r="H346" s="20"/>
      <c r="I346" s="18"/>
      <c r="J346" s="20"/>
      <c r="K346" s="18"/>
    </row>
    <row r="347" customFormat="false" ht="15.75" hidden="false" customHeight="true" outlineLevel="0" collapsed="false">
      <c r="A347" s="18"/>
      <c r="B347" s="20"/>
      <c r="C347" s="18"/>
      <c r="D347" s="18"/>
      <c r="E347" s="18"/>
      <c r="F347" s="18"/>
      <c r="G347" s="19"/>
      <c r="H347" s="20"/>
      <c r="I347" s="18"/>
      <c r="J347" s="20"/>
      <c r="K347" s="18"/>
    </row>
    <row r="348" customFormat="false" ht="15.75" hidden="false" customHeight="true" outlineLevel="0" collapsed="false">
      <c r="A348" s="18"/>
      <c r="B348" s="20"/>
      <c r="C348" s="18"/>
      <c r="D348" s="18"/>
      <c r="E348" s="18"/>
      <c r="F348" s="18"/>
      <c r="G348" s="19"/>
      <c r="H348" s="20"/>
      <c r="I348" s="18"/>
      <c r="J348" s="20"/>
      <c r="K348" s="18"/>
    </row>
    <row r="349" customFormat="false" ht="15.75" hidden="false" customHeight="true" outlineLevel="0" collapsed="false">
      <c r="A349" s="18"/>
      <c r="B349" s="20"/>
      <c r="C349" s="18"/>
      <c r="D349" s="18"/>
      <c r="E349" s="18"/>
      <c r="F349" s="18"/>
      <c r="G349" s="19"/>
      <c r="H349" s="20"/>
      <c r="I349" s="18"/>
      <c r="J349" s="20"/>
      <c r="K349" s="18"/>
    </row>
    <row r="350" customFormat="false" ht="15.75" hidden="false" customHeight="true" outlineLevel="0" collapsed="false">
      <c r="A350" s="18"/>
      <c r="B350" s="20"/>
      <c r="C350" s="18"/>
      <c r="D350" s="18"/>
      <c r="E350" s="18"/>
      <c r="F350" s="18"/>
      <c r="G350" s="19"/>
      <c r="H350" s="20"/>
      <c r="I350" s="18"/>
      <c r="J350" s="20"/>
      <c r="K350" s="18"/>
    </row>
    <row r="351" customFormat="false" ht="15.75" hidden="false" customHeight="true" outlineLevel="0" collapsed="false">
      <c r="A351" s="18"/>
      <c r="B351" s="20"/>
      <c r="C351" s="18"/>
      <c r="D351" s="18"/>
      <c r="E351" s="18"/>
      <c r="F351" s="18"/>
      <c r="G351" s="19"/>
      <c r="H351" s="20"/>
      <c r="I351" s="18"/>
      <c r="J351" s="20"/>
      <c r="K351" s="18"/>
    </row>
    <row r="352" customFormat="false" ht="15.75" hidden="false" customHeight="true" outlineLevel="0" collapsed="false">
      <c r="A352" s="18"/>
      <c r="B352" s="20"/>
      <c r="C352" s="18"/>
      <c r="D352" s="18"/>
      <c r="E352" s="18"/>
      <c r="F352" s="18"/>
      <c r="G352" s="19"/>
      <c r="H352" s="20"/>
      <c r="I352" s="18"/>
      <c r="J352" s="20"/>
      <c r="K352" s="18"/>
    </row>
    <row r="353" customFormat="false" ht="15.75" hidden="false" customHeight="true" outlineLevel="0" collapsed="false">
      <c r="A353" s="18"/>
      <c r="B353" s="20"/>
      <c r="C353" s="18"/>
      <c r="D353" s="18"/>
      <c r="E353" s="18"/>
      <c r="F353" s="18"/>
      <c r="G353" s="19"/>
      <c r="H353" s="20"/>
      <c r="I353" s="18"/>
      <c r="J353" s="20"/>
      <c r="K353" s="18"/>
    </row>
    <row r="354" customFormat="false" ht="15.75" hidden="false" customHeight="true" outlineLevel="0" collapsed="false">
      <c r="A354" s="18"/>
      <c r="B354" s="20"/>
      <c r="C354" s="18"/>
      <c r="D354" s="18"/>
      <c r="E354" s="18"/>
      <c r="F354" s="18"/>
      <c r="G354" s="19"/>
      <c r="H354" s="20"/>
      <c r="I354" s="18"/>
      <c r="J354" s="20"/>
      <c r="K354" s="18"/>
    </row>
    <row r="355" customFormat="false" ht="15.75" hidden="false" customHeight="true" outlineLevel="0" collapsed="false">
      <c r="A355" s="18"/>
      <c r="B355" s="20"/>
      <c r="C355" s="18"/>
      <c r="D355" s="18"/>
      <c r="E355" s="18"/>
      <c r="F355" s="18"/>
      <c r="G355" s="19"/>
      <c r="H355" s="20"/>
      <c r="I355" s="18"/>
      <c r="J355" s="20"/>
      <c r="K355" s="18"/>
    </row>
    <row r="356" customFormat="false" ht="15.75" hidden="false" customHeight="true" outlineLevel="0" collapsed="false">
      <c r="A356" s="18"/>
      <c r="B356" s="20"/>
      <c r="C356" s="18"/>
      <c r="D356" s="18"/>
      <c r="E356" s="18"/>
      <c r="F356" s="18"/>
      <c r="G356" s="19"/>
      <c r="H356" s="20"/>
      <c r="I356" s="18"/>
      <c r="J356" s="20"/>
      <c r="K356" s="18"/>
    </row>
    <row r="357" customFormat="false" ht="15.75" hidden="false" customHeight="true" outlineLevel="0" collapsed="false">
      <c r="A357" s="18"/>
      <c r="B357" s="20"/>
      <c r="C357" s="18"/>
      <c r="D357" s="18"/>
      <c r="E357" s="18"/>
      <c r="F357" s="18"/>
      <c r="G357" s="19"/>
      <c r="H357" s="20"/>
      <c r="I357" s="18"/>
      <c r="J357" s="20"/>
      <c r="K357" s="18"/>
    </row>
    <row r="358" customFormat="false" ht="15.75" hidden="false" customHeight="true" outlineLevel="0" collapsed="false">
      <c r="A358" s="18"/>
      <c r="B358" s="20"/>
      <c r="C358" s="18"/>
      <c r="D358" s="18"/>
      <c r="E358" s="18"/>
      <c r="F358" s="18"/>
      <c r="G358" s="19"/>
      <c r="H358" s="20"/>
      <c r="I358" s="18"/>
      <c r="J358" s="20"/>
      <c r="K358" s="18"/>
    </row>
    <row r="359" customFormat="false" ht="15.75" hidden="false" customHeight="true" outlineLevel="0" collapsed="false">
      <c r="A359" s="18"/>
      <c r="B359" s="20"/>
      <c r="C359" s="18"/>
      <c r="D359" s="18"/>
      <c r="E359" s="18"/>
      <c r="F359" s="18"/>
      <c r="G359" s="19"/>
      <c r="H359" s="20"/>
      <c r="I359" s="18"/>
      <c r="J359" s="20"/>
      <c r="K359" s="18"/>
    </row>
    <row r="360" customFormat="false" ht="15.75" hidden="false" customHeight="true" outlineLevel="0" collapsed="false">
      <c r="A360" s="18"/>
      <c r="B360" s="20"/>
      <c r="C360" s="18"/>
      <c r="D360" s="18"/>
      <c r="E360" s="18"/>
      <c r="F360" s="18"/>
      <c r="G360" s="19"/>
      <c r="H360" s="20"/>
      <c r="I360" s="18"/>
      <c r="J360" s="20"/>
      <c r="K360" s="18"/>
    </row>
    <row r="361" customFormat="false" ht="15.75" hidden="false" customHeight="true" outlineLevel="0" collapsed="false">
      <c r="A361" s="18"/>
      <c r="B361" s="20"/>
      <c r="C361" s="18"/>
      <c r="D361" s="18"/>
      <c r="E361" s="18"/>
      <c r="F361" s="18"/>
      <c r="G361" s="19"/>
      <c r="H361" s="20"/>
      <c r="I361" s="18"/>
      <c r="J361" s="20"/>
      <c r="K361" s="18"/>
    </row>
    <row r="362" customFormat="false" ht="15.75" hidden="false" customHeight="true" outlineLevel="0" collapsed="false">
      <c r="A362" s="18"/>
      <c r="B362" s="20"/>
      <c r="C362" s="18"/>
      <c r="D362" s="18"/>
      <c r="E362" s="18"/>
      <c r="F362" s="18"/>
      <c r="G362" s="19"/>
      <c r="H362" s="20"/>
      <c r="I362" s="18"/>
      <c r="J362" s="20"/>
      <c r="K362" s="18"/>
    </row>
    <row r="363" customFormat="false" ht="15.75" hidden="false" customHeight="true" outlineLevel="0" collapsed="false">
      <c r="A363" s="18"/>
      <c r="B363" s="20"/>
      <c r="C363" s="18"/>
      <c r="D363" s="18"/>
      <c r="E363" s="18"/>
      <c r="F363" s="18"/>
      <c r="G363" s="19"/>
      <c r="H363" s="20"/>
      <c r="I363" s="18"/>
      <c r="J363" s="20"/>
      <c r="K363" s="18"/>
    </row>
    <row r="364" customFormat="false" ht="15.75" hidden="false" customHeight="true" outlineLevel="0" collapsed="false">
      <c r="A364" s="18"/>
      <c r="B364" s="20"/>
      <c r="C364" s="18"/>
      <c r="D364" s="18"/>
      <c r="E364" s="18"/>
      <c r="F364" s="18"/>
      <c r="G364" s="19"/>
      <c r="H364" s="20"/>
      <c r="I364" s="18"/>
      <c r="J364" s="20"/>
      <c r="K364" s="18"/>
    </row>
    <row r="365" customFormat="false" ht="15.75" hidden="false" customHeight="true" outlineLevel="0" collapsed="false">
      <c r="A365" s="18"/>
      <c r="B365" s="20"/>
      <c r="C365" s="18"/>
      <c r="D365" s="18"/>
      <c r="E365" s="18"/>
      <c r="F365" s="18"/>
      <c r="G365" s="19"/>
      <c r="H365" s="20"/>
      <c r="I365" s="18"/>
      <c r="J365" s="20"/>
      <c r="K365" s="18"/>
    </row>
    <row r="366" customFormat="false" ht="15.75" hidden="false" customHeight="true" outlineLevel="0" collapsed="false">
      <c r="A366" s="18"/>
      <c r="B366" s="20"/>
      <c r="C366" s="18"/>
      <c r="D366" s="18"/>
      <c r="E366" s="18"/>
      <c r="F366" s="18"/>
      <c r="G366" s="19"/>
      <c r="H366" s="20"/>
      <c r="I366" s="18"/>
      <c r="J366" s="20"/>
      <c r="K366" s="18"/>
    </row>
    <row r="367" customFormat="false" ht="15.75" hidden="false" customHeight="true" outlineLevel="0" collapsed="false">
      <c r="A367" s="18"/>
      <c r="B367" s="20"/>
      <c r="C367" s="18"/>
      <c r="D367" s="18"/>
      <c r="E367" s="18"/>
      <c r="F367" s="18"/>
      <c r="G367" s="19"/>
      <c r="H367" s="20"/>
      <c r="I367" s="18"/>
      <c r="J367" s="20"/>
      <c r="K367" s="18"/>
    </row>
    <row r="368" customFormat="false" ht="15.75" hidden="false" customHeight="true" outlineLevel="0" collapsed="false">
      <c r="A368" s="18"/>
      <c r="B368" s="20"/>
      <c r="C368" s="18"/>
      <c r="D368" s="18"/>
      <c r="E368" s="18"/>
      <c r="F368" s="18"/>
      <c r="G368" s="19"/>
      <c r="H368" s="20"/>
      <c r="I368" s="18"/>
      <c r="J368" s="20"/>
      <c r="K368" s="18"/>
    </row>
    <row r="369" customFormat="false" ht="15.75" hidden="false" customHeight="true" outlineLevel="0" collapsed="false">
      <c r="A369" s="18"/>
      <c r="B369" s="20"/>
      <c r="C369" s="18"/>
      <c r="D369" s="18"/>
      <c r="E369" s="18"/>
      <c r="F369" s="18"/>
      <c r="G369" s="19"/>
      <c r="H369" s="20"/>
      <c r="I369" s="18"/>
      <c r="J369" s="20"/>
      <c r="K369" s="18"/>
    </row>
    <row r="370" customFormat="false" ht="15.75" hidden="false" customHeight="true" outlineLevel="0" collapsed="false">
      <c r="A370" s="18"/>
      <c r="B370" s="20"/>
      <c r="C370" s="18"/>
      <c r="D370" s="18"/>
      <c r="E370" s="18"/>
      <c r="F370" s="18"/>
      <c r="G370" s="19"/>
      <c r="H370" s="20"/>
      <c r="I370" s="18"/>
      <c r="J370" s="20"/>
      <c r="K370" s="18"/>
    </row>
    <row r="371" customFormat="false" ht="15.75" hidden="false" customHeight="true" outlineLevel="0" collapsed="false">
      <c r="A371" s="18"/>
      <c r="B371" s="20"/>
      <c r="C371" s="18"/>
      <c r="D371" s="18"/>
      <c r="E371" s="18"/>
      <c r="F371" s="18"/>
      <c r="G371" s="19"/>
      <c r="H371" s="20"/>
      <c r="I371" s="18"/>
      <c r="J371" s="20"/>
      <c r="K371" s="18"/>
    </row>
    <row r="372" customFormat="false" ht="15.75" hidden="false" customHeight="true" outlineLevel="0" collapsed="false">
      <c r="A372" s="18"/>
      <c r="B372" s="20"/>
      <c r="C372" s="18"/>
      <c r="D372" s="18"/>
      <c r="E372" s="18"/>
      <c r="F372" s="18"/>
      <c r="G372" s="19"/>
      <c r="H372" s="20"/>
      <c r="I372" s="18"/>
      <c r="J372" s="20"/>
      <c r="K372" s="18"/>
    </row>
    <row r="373" customFormat="false" ht="15.75" hidden="false" customHeight="true" outlineLevel="0" collapsed="false">
      <c r="A373" s="18"/>
      <c r="B373" s="20"/>
      <c r="C373" s="18"/>
      <c r="D373" s="18"/>
      <c r="E373" s="18"/>
      <c r="F373" s="18"/>
      <c r="G373" s="19"/>
      <c r="H373" s="20"/>
      <c r="I373" s="18"/>
      <c r="J373" s="20"/>
      <c r="K373" s="18"/>
    </row>
    <row r="374" customFormat="false" ht="15.75" hidden="false" customHeight="true" outlineLevel="0" collapsed="false">
      <c r="A374" s="18"/>
      <c r="B374" s="20"/>
      <c r="C374" s="18"/>
      <c r="D374" s="18"/>
      <c r="E374" s="18"/>
      <c r="F374" s="18"/>
      <c r="G374" s="19"/>
      <c r="H374" s="20"/>
      <c r="I374" s="18"/>
      <c r="J374" s="20"/>
      <c r="K374" s="18"/>
    </row>
    <row r="375" customFormat="false" ht="15.75" hidden="false" customHeight="true" outlineLevel="0" collapsed="false">
      <c r="A375" s="18"/>
      <c r="B375" s="20"/>
      <c r="C375" s="18"/>
      <c r="D375" s="18"/>
      <c r="E375" s="18"/>
      <c r="F375" s="18"/>
      <c r="G375" s="19"/>
      <c r="H375" s="20"/>
      <c r="I375" s="18"/>
      <c r="J375" s="20"/>
      <c r="K375" s="18"/>
    </row>
    <row r="376" customFormat="false" ht="15.75" hidden="false" customHeight="true" outlineLevel="0" collapsed="false">
      <c r="A376" s="18"/>
      <c r="B376" s="20"/>
      <c r="C376" s="18"/>
      <c r="D376" s="18"/>
      <c r="E376" s="18"/>
      <c r="F376" s="18"/>
      <c r="G376" s="19"/>
      <c r="H376" s="20"/>
      <c r="I376" s="18"/>
      <c r="J376" s="20"/>
      <c r="K376" s="18"/>
    </row>
    <row r="377" customFormat="false" ht="15.75" hidden="false" customHeight="true" outlineLevel="0" collapsed="false">
      <c r="A377" s="18"/>
      <c r="B377" s="20"/>
      <c r="C377" s="18"/>
      <c r="D377" s="18"/>
      <c r="E377" s="18"/>
      <c r="F377" s="18"/>
      <c r="G377" s="19"/>
      <c r="H377" s="20"/>
      <c r="I377" s="18"/>
      <c r="J377" s="20"/>
      <c r="K377" s="18"/>
    </row>
    <row r="378" customFormat="false" ht="15.75" hidden="false" customHeight="true" outlineLevel="0" collapsed="false">
      <c r="A378" s="18"/>
      <c r="B378" s="20"/>
      <c r="C378" s="18"/>
      <c r="D378" s="18"/>
      <c r="E378" s="18"/>
      <c r="F378" s="18"/>
      <c r="G378" s="19"/>
      <c r="H378" s="20"/>
      <c r="I378" s="18"/>
      <c r="J378" s="20"/>
      <c r="K378" s="18"/>
    </row>
    <row r="379" customFormat="false" ht="15.75" hidden="false" customHeight="true" outlineLevel="0" collapsed="false">
      <c r="A379" s="18"/>
      <c r="B379" s="20"/>
      <c r="C379" s="18"/>
      <c r="D379" s="18"/>
      <c r="E379" s="18"/>
      <c r="F379" s="18"/>
      <c r="G379" s="19"/>
      <c r="H379" s="20"/>
      <c r="I379" s="18"/>
      <c r="J379" s="20"/>
      <c r="K379" s="18"/>
    </row>
    <row r="380" customFormat="false" ht="15.75" hidden="false" customHeight="true" outlineLevel="0" collapsed="false">
      <c r="A380" s="18"/>
      <c r="B380" s="20"/>
      <c r="C380" s="18"/>
      <c r="D380" s="18"/>
      <c r="E380" s="18"/>
      <c r="F380" s="18"/>
      <c r="G380" s="19"/>
      <c r="H380" s="20"/>
      <c r="I380" s="18"/>
      <c r="J380" s="20"/>
      <c r="K380" s="18"/>
    </row>
    <row r="381" customFormat="false" ht="15.75" hidden="false" customHeight="true" outlineLevel="0" collapsed="false">
      <c r="A381" s="18"/>
      <c r="B381" s="20"/>
      <c r="C381" s="18"/>
      <c r="D381" s="18"/>
      <c r="E381" s="18"/>
      <c r="F381" s="18"/>
      <c r="G381" s="19"/>
      <c r="H381" s="20"/>
      <c r="I381" s="18"/>
      <c r="J381" s="20"/>
      <c r="K381" s="18"/>
    </row>
    <row r="382" customFormat="false" ht="15.75" hidden="false" customHeight="true" outlineLevel="0" collapsed="false">
      <c r="A382" s="18"/>
      <c r="B382" s="20"/>
      <c r="C382" s="18"/>
      <c r="D382" s="18"/>
      <c r="E382" s="18"/>
      <c r="F382" s="18"/>
      <c r="G382" s="19"/>
      <c r="H382" s="20"/>
      <c r="I382" s="18"/>
      <c r="J382" s="20"/>
      <c r="K382" s="18"/>
    </row>
    <row r="383" customFormat="false" ht="15.75" hidden="false" customHeight="true" outlineLevel="0" collapsed="false">
      <c r="A383" s="18"/>
      <c r="B383" s="20"/>
      <c r="C383" s="18"/>
      <c r="D383" s="18"/>
      <c r="E383" s="18"/>
      <c r="F383" s="18"/>
      <c r="G383" s="19"/>
      <c r="H383" s="20"/>
      <c r="I383" s="18"/>
      <c r="J383" s="20"/>
      <c r="K383" s="18"/>
    </row>
    <row r="384" customFormat="false" ht="15.75" hidden="false" customHeight="true" outlineLevel="0" collapsed="false">
      <c r="A384" s="18"/>
      <c r="B384" s="20"/>
      <c r="C384" s="18"/>
      <c r="D384" s="18"/>
      <c r="E384" s="18"/>
      <c r="F384" s="18"/>
      <c r="G384" s="19"/>
      <c r="H384" s="20"/>
      <c r="I384" s="18"/>
      <c r="J384" s="20"/>
      <c r="K384" s="18"/>
    </row>
    <row r="385" customFormat="false" ht="15.75" hidden="false" customHeight="true" outlineLevel="0" collapsed="false">
      <c r="A385" s="18"/>
      <c r="B385" s="20"/>
      <c r="C385" s="18"/>
      <c r="D385" s="18"/>
      <c r="E385" s="18"/>
      <c r="F385" s="18"/>
      <c r="G385" s="19"/>
      <c r="H385" s="20"/>
      <c r="I385" s="18"/>
      <c r="J385" s="20"/>
      <c r="K385" s="18"/>
    </row>
    <row r="386" customFormat="false" ht="15.75" hidden="false" customHeight="true" outlineLevel="0" collapsed="false">
      <c r="A386" s="18"/>
      <c r="B386" s="20"/>
      <c r="C386" s="18"/>
      <c r="D386" s="18"/>
      <c r="E386" s="18"/>
      <c r="F386" s="18"/>
      <c r="G386" s="19"/>
      <c r="H386" s="20"/>
      <c r="I386" s="18"/>
      <c r="J386" s="20"/>
      <c r="K386" s="18"/>
    </row>
    <row r="387" customFormat="false" ht="15.75" hidden="false" customHeight="true" outlineLevel="0" collapsed="false">
      <c r="A387" s="18"/>
      <c r="B387" s="20"/>
      <c r="C387" s="18"/>
      <c r="D387" s="18"/>
      <c r="E387" s="18"/>
      <c r="F387" s="18"/>
      <c r="G387" s="19"/>
      <c r="H387" s="20"/>
      <c r="I387" s="18"/>
      <c r="J387" s="20"/>
      <c r="K387" s="18"/>
    </row>
    <row r="388" customFormat="false" ht="15.75" hidden="false" customHeight="true" outlineLevel="0" collapsed="false">
      <c r="A388" s="18"/>
      <c r="B388" s="20"/>
      <c r="C388" s="18"/>
      <c r="D388" s="18"/>
      <c r="E388" s="18"/>
      <c r="F388" s="18"/>
      <c r="G388" s="19"/>
      <c r="H388" s="20"/>
      <c r="I388" s="18"/>
      <c r="J388" s="20"/>
      <c r="K388" s="18"/>
    </row>
    <row r="389" customFormat="false" ht="15.75" hidden="false" customHeight="true" outlineLevel="0" collapsed="false">
      <c r="A389" s="18"/>
      <c r="B389" s="20"/>
      <c r="C389" s="18"/>
      <c r="D389" s="18"/>
      <c r="E389" s="18"/>
      <c r="F389" s="18"/>
      <c r="G389" s="19"/>
      <c r="H389" s="20"/>
      <c r="I389" s="18"/>
      <c r="J389" s="20"/>
      <c r="K389" s="18"/>
    </row>
    <row r="390" customFormat="false" ht="15.75" hidden="false" customHeight="true" outlineLevel="0" collapsed="false">
      <c r="A390" s="18"/>
      <c r="B390" s="20"/>
      <c r="C390" s="18"/>
      <c r="D390" s="18"/>
      <c r="E390" s="18"/>
      <c r="F390" s="18"/>
      <c r="G390" s="19"/>
      <c r="H390" s="20"/>
      <c r="I390" s="18"/>
      <c r="J390" s="20"/>
      <c r="K390" s="18"/>
    </row>
    <row r="391" customFormat="false" ht="15.75" hidden="false" customHeight="true" outlineLevel="0" collapsed="false">
      <c r="A391" s="18"/>
      <c r="B391" s="20"/>
      <c r="C391" s="18"/>
      <c r="D391" s="18"/>
      <c r="E391" s="18"/>
      <c r="F391" s="18"/>
      <c r="G391" s="19"/>
      <c r="H391" s="20"/>
      <c r="I391" s="18"/>
      <c r="J391" s="20"/>
      <c r="K391" s="18"/>
    </row>
    <row r="392" customFormat="false" ht="15.75" hidden="false" customHeight="true" outlineLevel="0" collapsed="false">
      <c r="A392" s="18"/>
      <c r="B392" s="20"/>
      <c r="C392" s="18"/>
      <c r="D392" s="18"/>
      <c r="E392" s="18"/>
      <c r="F392" s="18"/>
      <c r="G392" s="19"/>
      <c r="H392" s="20"/>
      <c r="I392" s="18"/>
      <c r="J392" s="20"/>
      <c r="K392" s="18"/>
    </row>
    <row r="393" customFormat="false" ht="15.75" hidden="false" customHeight="true" outlineLevel="0" collapsed="false">
      <c r="A393" s="18"/>
      <c r="B393" s="20"/>
      <c r="C393" s="18"/>
      <c r="D393" s="18"/>
      <c r="E393" s="18"/>
      <c r="F393" s="18"/>
      <c r="G393" s="19"/>
      <c r="H393" s="20"/>
      <c r="I393" s="18"/>
      <c r="J393" s="20"/>
      <c r="K393" s="18"/>
    </row>
    <row r="394" customFormat="false" ht="15.75" hidden="false" customHeight="true" outlineLevel="0" collapsed="false">
      <c r="A394" s="18"/>
      <c r="B394" s="20"/>
      <c r="C394" s="18"/>
      <c r="D394" s="18"/>
      <c r="E394" s="18"/>
      <c r="F394" s="18"/>
      <c r="G394" s="19"/>
      <c r="H394" s="20"/>
      <c r="I394" s="18"/>
      <c r="J394" s="20"/>
      <c r="K394" s="18"/>
    </row>
    <row r="395" customFormat="false" ht="15.75" hidden="false" customHeight="true" outlineLevel="0" collapsed="false">
      <c r="A395" s="18"/>
      <c r="B395" s="20"/>
      <c r="C395" s="18"/>
      <c r="D395" s="18"/>
      <c r="E395" s="18"/>
      <c r="F395" s="18"/>
      <c r="G395" s="19"/>
      <c r="H395" s="20"/>
      <c r="I395" s="18"/>
      <c r="J395" s="20"/>
      <c r="K395" s="18"/>
    </row>
    <row r="396" customFormat="false" ht="15.75" hidden="false" customHeight="true" outlineLevel="0" collapsed="false">
      <c r="A396" s="18"/>
      <c r="B396" s="20"/>
      <c r="C396" s="18"/>
      <c r="D396" s="18"/>
      <c r="E396" s="18"/>
      <c r="F396" s="18"/>
      <c r="G396" s="19"/>
      <c r="H396" s="20"/>
      <c r="I396" s="18"/>
      <c r="J396" s="20"/>
      <c r="K396" s="18"/>
    </row>
    <row r="397" customFormat="false" ht="15.75" hidden="false" customHeight="true" outlineLevel="0" collapsed="false">
      <c r="A397" s="18"/>
      <c r="B397" s="20"/>
      <c r="C397" s="18"/>
      <c r="D397" s="18"/>
      <c r="E397" s="18"/>
      <c r="F397" s="18"/>
      <c r="G397" s="19"/>
      <c r="H397" s="20"/>
      <c r="I397" s="18"/>
      <c r="J397" s="20"/>
      <c r="K397" s="18"/>
    </row>
    <row r="398" customFormat="false" ht="15.75" hidden="false" customHeight="true" outlineLevel="0" collapsed="false">
      <c r="A398" s="18"/>
      <c r="B398" s="20"/>
      <c r="C398" s="18"/>
      <c r="D398" s="18"/>
      <c r="E398" s="18"/>
      <c r="F398" s="18"/>
      <c r="G398" s="19"/>
      <c r="H398" s="20"/>
      <c r="I398" s="18"/>
      <c r="J398" s="20"/>
      <c r="K398" s="18"/>
    </row>
    <row r="399" customFormat="false" ht="15.75" hidden="false" customHeight="true" outlineLevel="0" collapsed="false">
      <c r="A399" s="18"/>
      <c r="B399" s="20"/>
      <c r="C399" s="18"/>
      <c r="D399" s="18"/>
      <c r="E399" s="18"/>
      <c r="F399" s="18"/>
      <c r="G399" s="19"/>
      <c r="H399" s="20"/>
      <c r="I399" s="18"/>
      <c r="J399" s="20"/>
      <c r="K399" s="18"/>
    </row>
    <row r="400" customFormat="false" ht="15.75" hidden="false" customHeight="true" outlineLevel="0" collapsed="false">
      <c r="A400" s="18"/>
      <c r="B400" s="20"/>
      <c r="C400" s="18"/>
      <c r="D400" s="18"/>
      <c r="E400" s="18"/>
      <c r="F400" s="18"/>
      <c r="G400" s="19"/>
      <c r="H400" s="20"/>
      <c r="I400" s="18"/>
      <c r="J400" s="20"/>
      <c r="K400" s="18"/>
    </row>
    <row r="401" customFormat="false" ht="15.75" hidden="false" customHeight="true" outlineLevel="0" collapsed="false">
      <c r="A401" s="18"/>
      <c r="B401" s="20"/>
      <c r="C401" s="18"/>
      <c r="D401" s="18"/>
      <c r="E401" s="18"/>
      <c r="F401" s="18"/>
      <c r="G401" s="19"/>
      <c r="H401" s="20"/>
      <c r="I401" s="18"/>
      <c r="J401" s="20"/>
      <c r="K401" s="18"/>
    </row>
    <row r="402" customFormat="false" ht="15.75" hidden="false" customHeight="true" outlineLevel="0" collapsed="false">
      <c r="A402" s="18"/>
      <c r="B402" s="20"/>
      <c r="C402" s="18"/>
      <c r="D402" s="18"/>
      <c r="E402" s="18"/>
      <c r="F402" s="18"/>
      <c r="G402" s="19"/>
      <c r="H402" s="20"/>
      <c r="I402" s="18"/>
      <c r="J402" s="20"/>
      <c r="K402" s="18"/>
    </row>
    <row r="403" customFormat="false" ht="15.75" hidden="false" customHeight="true" outlineLevel="0" collapsed="false">
      <c r="A403" s="18"/>
      <c r="B403" s="20"/>
      <c r="C403" s="18"/>
      <c r="D403" s="18"/>
      <c r="E403" s="18"/>
      <c r="F403" s="18"/>
      <c r="G403" s="19"/>
      <c r="H403" s="20"/>
      <c r="I403" s="18"/>
      <c r="J403" s="20"/>
      <c r="K403" s="18"/>
    </row>
    <row r="404" customFormat="false" ht="15.75" hidden="false" customHeight="true" outlineLevel="0" collapsed="false">
      <c r="A404" s="18"/>
      <c r="B404" s="20"/>
      <c r="C404" s="18"/>
      <c r="D404" s="18"/>
      <c r="E404" s="18"/>
      <c r="F404" s="18"/>
      <c r="G404" s="19"/>
      <c r="H404" s="20"/>
      <c r="I404" s="18"/>
      <c r="J404" s="20"/>
      <c r="K404" s="18"/>
    </row>
    <row r="405" customFormat="false" ht="15.75" hidden="false" customHeight="true" outlineLevel="0" collapsed="false">
      <c r="A405" s="18"/>
      <c r="B405" s="20"/>
      <c r="C405" s="18"/>
      <c r="D405" s="18"/>
      <c r="E405" s="18"/>
      <c r="F405" s="18"/>
      <c r="G405" s="19"/>
      <c r="H405" s="20"/>
      <c r="I405" s="18"/>
      <c r="J405" s="20"/>
      <c r="K405" s="18"/>
    </row>
    <row r="406" customFormat="false" ht="15.75" hidden="false" customHeight="true" outlineLevel="0" collapsed="false">
      <c r="A406" s="18"/>
      <c r="B406" s="20"/>
      <c r="C406" s="18"/>
      <c r="D406" s="18"/>
      <c r="E406" s="18"/>
      <c r="F406" s="18"/>
      <c r="G406" s="19"/>
      <c r="H406" s="20"/>
      <c r="I406" s="18"/>
      <c r="J406" s="20"/>
      <c r="K406" s="18"/>
    </row>
    <row r="407" customFormat="false" ht="15.75" hidden="false" customHeight="true" outlineLevel="0" collapsed="false">
      <c r="A407" s="18"/>
      <c r="B407" s="20"/>
      <c r="C407" s="18"/>
      <c r="D407" s="18"/>
      <c r="E407" s="18"/>
      <c r="F407" s="18"/>
      <c r="G407" s="19"/>
      <c r="H407" s="20"/>
      <c r="I407" s="18"/>
      <c r="J407" s="20"/>
      <c r="K407" s="18"/>
    </row>
    <row r="408" customFormat="false" ht="15.75" hidden="false" customHeight="true" outlineLevel="0" collapsed="false">
      <c r="A408" s="18"/>
      <c r="B408" s="20"/>
      <c r="C408" s="18"/>
      <c r="D408" s="18"/>
      <c r="E408" s="18"/>
      <c r="F408" s="18"/>
      <c r="G408" s="19"/>
      <c r="H408" s="20"/>
      <c r="I408" s="18"/>
      <c r="J408" s="20"/>
      <c r="K408" s="18"/>
    </row>
    <row r="409" customFormat="false" ht="15.75" hidden="false" customHeight="true" outlineLevel="0" collapsed="false">
      <c r="A409" s="18"/>
      <c r="B409" s="20"/>
      <c r="C409" s="18"/>
      <c r="D409" s="18"/>
      <c r="E409" s="18"/>
      <c r="F409" s="18"/>
      <c r="G409" s="19"/>
      <c r="H409" s="20"/>
      <c r="I409" s="18"/>
      <c r="J409" s="20"/>
      <c r="K409" s="18"/>
    </row>
    <row r="410" customFormat="false" ht="15.75" hidden="false" customHeight="true" outlineLevel="0" collapsed="false">
      <c r="A410" s="18"/>
      <c r="B410" s="20"/>
      <c r="C410" s="18"/>
      <c r="D410" s="18"/>
      <c r="E410" s="18"/>
      <c r="F410" s="18"/>
      <c r="G410" s="19"/>
      <c r="H410" s="20"/>
      <c r="I410" s="18"/>
      <c r="J410" s="20"/>
      <c r="K410" s="18"/>
    </row>
    <row r="411" customFormat="false" ht="15.75" hidden="false" customHeight="true" outlineLevel="0" collapsed="false">
      <c r="A411" s="18"/>
      <c r="B411" s="20"/>
      <c r="C411" s="18"/>
      <c r="D411" s="18"/>
      <c r="E411" s="18"/>
      <c r="F411" s="18"/>
      <c r="G411" s="19"/>
      <c r="H411" s="20"/>
      <c r="I411" s="18"/>
      <c r="J411" s="20"/>
      <c r="K411" s="18"/>
    </row>
    <row r="412" customFormat="false" ht="15.75" hidden="false" customHeight="true" outlineLevel="0" collapsed="false">
      <c r="A412" s="18"/>
      <c r="B412" s="20"/>
      <c r="C412" s="18"/>
      <c r="D412" s="18"/>
      <c r="E412" s="18"/>
      <c r="F412" s="18"/>
      <c r="G412" s="19"/>
      <c r="H412" s="20"/>
      <c r="I412" s="18"/>
      <c r="J412" s="20"/>
      <c r="K412" s="18"/>
    </row>
    <row r="413" customFormat="false" ht="15.75" hidden="false" customHeight="true" outlineLevel="0" collapsed="false">
      <c r="A413" s="18"/>
      <c r="B413" s="20"/>
      <c r="C413" s="18"/>
      <c r="D413" s="18"/>
      <c r="E413" s="18"/>
      <c r="F413" s="18"/>
      <c r="G413" s="19"/>
      <c r="H413" s="20"/>
      <c r="I413" s="18"/>
      <c r="J413" s="20"/>
      <c r="K413" s="18"/>
    </row>
    <row r="414" customFormat="false" ht="15.75" hidden="false" customHeight="true" outlineLevel="0" collapsed="false">
      <c r="A414" s="18"/>
      <c r="B414" s="20"/>
      <c r="C414" s="18"/>
      <c r="D414" s="18"/>
      <c r="E414" s="18"/>
      <c r="F414" s="18"/>
      <c r="G414" s="19"/>
      <c r="H414" s="20"/>
      <c r="I414" s="18"/>
      <c r="J414" s="20"/>
      <c r="K414" s="18"/>
    </row>
    <row r="415" customFormat="false" ht="15.75" hidden="false" customHeight="true" outlineLevel="0" collapsed="false">
      <c r="A415" s="18"/>
      <c r="B415" s="20"/>
      <c r="C415" s="18"/>
      <c r="D415" s="18"/>
      <c r="E415" s="18"/>
      <c r="F415" s="18"/>
      <c r="G415" s="19"/>
      <c r="H415" s="20"/>
      <c r="I415" s="18"/>
      <c r="J415" s="20"/>
      <c r="K415" s="18"/>
    </row>
    <row r="416" customFormat="false" ht="15.75" hidden="false" customHeight="true" outlineLevel="0" collapsed="false">
      <c r="A416" s="18"/>
      <c r="B416" s="20"/>
      <c r="C416" s="18"/>
      <c r="D416" s="18"/>
      <c r="E416" s="18"/>
      <c r="F416" s="18"/>
      <c r="G416" s="19"/>
      <c r="H416" s="20"/>
      <c r="I416" s="18"/>
      <c r="J416" s="20"/>
      <c r="K416" s="18"/>
    </row>
    <row r="417" customFormat="false" ht="15.75" hidden="false" customHeight="true" outlineLevel="0" collapsed="false">
      <c r="A417" s="18"/>
      <c r="B417" s="20"/>
      <c r="C417" s="18"/>
      <c r="D417" s="18"/>
      <c r="E417" s="18"/>
      <c r="F417" s="18"/>
      <c r="G417" s="19"/>
      <c r="H417" s="20"/>
      <c r="I417" s="18"/>
      <c r="J417" s="20"/>
      <c r="K417" s="18"/>
    </row>
    <row r="418" customFormat="false" ht="15.75" hidden="false" customHeight="true" outlineLevel="0" collapsed="false">
      <c r="A418" s="18"/>
      <c r="B418" s="20"/>
      <c r="C418" s="18"/>
      <c r="D418" s="18"/>
      <c r="E418" s="18"/>
      <c r="F418" s="18"/>
      <c r="G418" s="19"/>
      <c r="H418" s="20"/>
      <c r="I418" s="18"/>
      <c r="J418" s="20"/>
      <c r="K418" s="18"/>
    </row>
    <row r="419" customFormat="false" ht="15.75" hidden="false" customHeight="true" outlineLevel="0" collapsed="false">
      <c r="A419" s="18"/>
      <c r="B419" s="20"/>
      <c r="C419" s="18"/>
      <c r="D419" s="18"/>
      <c r="E419" s="18"/>
      <c r="F419" s="18"/>
      <c r="G419" s="19"/>
      <c r="H419" s="20"/>
      <c r="I419" s="18"/>
      <c r="J419" s="20"/>
      <c r="K419" s="18"/>
    </row>
    <row r="420" customFormat="false" ht="15.75" hidden="false" customHeight="true" outlineLevel="0" collapsed="false">
      <c r="A420" s="18"/>
      <c r="B420" s="20"/>
      <c r="C420" s="18"/>
      <c r="D420" s="18"/>
      <c r="E420" s="18"/>
      <c r="F420" s="18"/>
      <c r="G420" s="19"/>
      <c r="H420" s="20"/>
      <c r="I420" s="18"/>
      <c r="J420" s="20"/>
      <c r="K420" s="18"/>
    </row>
    <row r="421" customFormat="false" ht="15.75" hidden="false" customHeight="true" outlineLevel="0" collapsed="false">
      <c r="A421" s="18"/>
      <c r="B421" s="20"/>
      <c r="C421" s="18"/>
      <c r="D421" s="18"/>
      <c r="E421" s="18"/>
      <c r="F421" s="18"/>
      <c r="G421" s="19"/>
      <c r="H421" s="20"/>
      <c r="I421" s="18"/>
      <c r="J421" s="20"/>
      <c r="K421" s="18"/>
    </row>
    <row r="422" customFormat="false" ht="15.75" hidden="false" customHeight="true" outlineLevel="0" collapsed="false">
      <c r="A422" s="18"/>
      <c r="B422" s="20"/>
      <c r="C422" s="18"/>
      <c r="D422" s="18"/>
      <c r="E422" s="18"/>
      <c r="F422" s="18"/>
      <c r="G422" s="19"/>
      <c r="H422" s="20"/>
      <c r="I422" s="18"/>
      <c r="J422" s="20"/>
      <c r="K422" s="18"/>
    </row>
    <row r="423" customFormat="false" ht="15.75" hidden="false" customHeight="true" outlineLevel="0" collapsed="false">
      <c r="A423" s="18"/>
      <c r="B423" s="20"/>
      <c r="C423" s="18"/>
      <c r="D423" s="18"/>
      <c r="E423" s="18"/>
      <c r="F423" s="18"/>
      <c r="G423" s="19"/>
      <c r="H423" s="20"/>
      <c r="I423" s="18"/>
      <c r="J423" s="20"/>
      <c r="K423" s="18"/>
    </row>
    <row r="424" customFormat="false" ht="15.75" hidden="false" customHeight="true" outlineLevel="0" collapsed="false">
      <c r="A424" s="18"/>
      <c r="B424" s="20"/>
      <c r="C424" s="18"/>
      <c r="D424" s="18"/>
      <c r="E424" s="18"/>
      <c r="F424" s="18"/>
      <c r="G424" s="19"/>
      <c r="H424" s="20"/>
      <c r="I424" s="18"/>
      <c r="J424" s="20"/>
      <c r="K424" s="18"/>
    </row>
    <row r="425" customFormat="false" ht="15.75" hidden="false" customHeight="true" outlineLevel="0" collapsed="false">
      <c r="A425" s="18"/>
      <c r="B425" s="20"/>
      <c r="C425" s="18"/>
      <c r="D425" s="18"/>
      <c r="E425" s="18"/>
      <c r="F425" s="18"/>
      <c r="G425" s="19"/>
      <c r="H425" s="20"/>
      <c r="I425" s="18"/>
      <c r="J425" s="20"/>
      <c r="K425" s="18"/>
    </row>
    <row r="426" customFormat="false" ht="15.75" hidden="false" customHeight="true" outlineLevel="0" collapsed="false">
      <c r="A426" s="18"/>
      <c r="B426" s="20"/>
      <c r="C426" s="18"/>
      <c r="D426" s="18"/>
      <c r="E426" s="18"/>
      <c r="F426" s="18"/>
      <c r="G426" s="19"/>
      <c r="H426" s="20"/>
      <c r="I426" s="18"/>
      <c r="J426" s="20"/>
      <c r="K426" s="18"/>
    </row>
    <row r="427" customFormat="false" ht="15.75" hidden="false" customHeight="true" outlineLevel="0" collapsed="false">
      <c r="A427" s="18"/>
      <c r="B427" s="20"/>
      <c r="C427" s="18"/>
      <c r="D427" s="18"/>
      <c r="E427" s="18"/>
      <c r="F427" s="18"/>
      <c r="G427" s="19"/>
      <c r="H427" s="20"/>
      <c r="I427" s="18"/>
      <c r="J427" s="20"/>
      <c r="K427" s="18"/>
    </row>
    <row r="428" customFormat="false" ht="15.75" hidden="false" customHeight="true" outlineLevel="0" collapsed="false">
      <c r="A428" s="18"/>
      <c r="B428" s="20"/>
      <c r="C428" s="18"/>
      <c r="D428" s="18"/>
      <c r="E428" s="18"/>
      <c r="F428" s="18"/>
      <c r="G428" s="19"/>
      <c r="H428" s="20"/>
      <c r="I428" s="18"/>
      <c r="J428" s="20"/>
      <c r="K428" s="18"/>
    </row>
    <row r="429" customFormat="false" ht="15.75" hidden="false" customHeight="true" outlineLevel="0" collapsed="false">
      <c r="A429" s="18"/>
      <c r="B429" s="20"/>
      <c r="C429" s="18"/>
      <c r="D429" s="18"/>
      <c r="E429" s="18"/>
      <c r="F429" s="18"/>
      <c r="G429" s="19"/>
      <c r="H429" s="20"/>
      <c r="I429" s="18"/>
      <c r="J429" s="20"/>
      <c r="K429" s="18"/>
    </row>
    <row r="430" customFormat="false" ht="15.75" hidden="false" customHeight="true" outlineLevel="0" collapsed="false">
      <c r="A430" s="18"/>
      <c r="B430" s="20"/>
      <c r="C430" s="18"/>
      <c r="D430" s="18"/>
      <c r="E430" s="18"/>
      <c r="F430" s="18"/>
      <c r="G430" s="19"/>
      <c r="H430" s="20"/>
      <c r="I430" s="18"/>
      <c r="J430" s="20"/>
      <c r="K430" s="18"/>
    </row>
    <row r="431" customFormat="false" ht="15.75" hidden="false" customHeight="true" outlineLevel="0" collapsed="false">
      <c r="A431" s="18"/>
      <c r="B431" s="20"/>
      <c r="C431" s="18"/>
      <c r="D431" s="18"/>
      <c r="E431" s="18"/>
      <c r="F431" s="18"/>
      <c r="G431" s="19"/>
      <c r="H431" s="20"/>
      <c r="I431" s="18"/>
      <c r="J431" s="20"/>
      <c r="K431" s="18"/>
    </row>
    <row r="432" customFormat="false" ht="15.75" hidden="false" customHeight="true" outlineLevel="0" collapsed="false">
      <c r="A432" s="18"/>
      <c r="B432" s="20"/>
      <c r="C432" s="18"/>
      <c r="D432" s="18"/>
      <c r="E432" s="18"/>
      <c r="F432" s="18"/>
      <c r="G432" s="19"/>
      <c r="H432" s="20"/>
      <c r="I432" s="18"/>
      <c r="J432" s="20"/>
      <c r="K432" s="18"/>
    </row>
    <row r="433" customFormat="false" ht="15.75" hidden="false" customHeight="true" outlineLevel="0" collapsed="false">
      <c r="A433" s="18"/>
      <c r="B433" s="20"/>
      <c r="C433" s="18"/>
      <c r="D433" s="18"/>
      <c r="E433" s="18"/>
      <c r="F433" s="18"/>
      <c r="G433" s="19"/>
      <c r="H433" s="20"/>
      <c r="I433" s="18"/>
      <c r="J433" s="20"/>
      <c r="K433" s="18"/>
    </row>
    <row r="434" customFormat="false" ht="15.75" hidden="false" customHeight="true" outlineLevel="0" collapsed="false">
      <c r="A434" s="18"/>
      <c r="B434" s="20"/>
      <c r="C434" s="18"/>
      <c r="D434" s="18"/>
      <c r="E434" s="18"/>
      <c r="F434" s="18"/>
      <c r="G434" s="19"/>
      <c r="H434" s="20"/>
      <c r="I434" s="18"/>
      <c r="J434" s="20"/>
      <c r="K434" s="18"/>
    </row>
    <row r="435" customFormat="false" ht="15.75" hidden="false" customHeight="true" outlineLevel="0" collapsed="false">
      <c r="A435" s="18"/>
      <c r="B435" s="20"/>
      <c r="C435" s="18"/>
      <c r="D435" s="18"/>
      <c r="E435" s="18"/>
      <c r="F435" s="18"/>
      <c r="G435" s="19"/>
      <c r="H435" s="20"/>
      <c r="I435" s="18"/>
      <c r="J435" s="20"/>
      <c r="K435" s="18"/>
    </row>
    <row r="436" customFormat="false" ht="15.75" hidden="false" customHeight="true" outlineLevel="0" collapsed="false">
      <c r="A436" s="18"/>
      <c r="B436" s="20"/>
      <c r="C436" s="18"/>
      <c r="D436" s="18"/>
      <c r="E436" s="18"/>
      <c r="F436" s="18"/>
      <c r="G436" s="19"/>
      <c r="H436" s="20"/>
      <c r="I436" s="18"/>
      <c r="J436" s="20"/>
      <c r="K436" s="18"/>
    </row>
    <row r="437" customFormat="false" ht="15.75" hidden="false" customHeight="true" outlineLevel="0" collapsed="false">
      <c r="A437" s="18"/>
      <c r="B437" s="20"/>
      <c r="C437" s="18"/>
      <c r="D437" s="18"/>
      <c r="E437" s="18"/>
      <c r="F437" s="18"/>
      <c r="G437" s="19"/>
      <c r="H437" s="20"/>
      <c r="I437" s="18"/>
      <c r="J437" s="20"/>
      <c r="K437" s="18"/>
    </row>
    <row r="438" customFormat="false" ht="15.75" hidden="false" customHeight="true" outlineLevel="0" collapsed="false">
      <c r="A438" s="18"/>
      <c r="B438" s="20"/>
      <c r="C438" s="18"/>
      <c r="D438" s="18"/>
      <c r="E438" s="18"/>
      <c r="F438" s="18"/>
      <c r="G438" s="19"/>
      <c r="H438" s="20"/>
      <c r="I438" s="18"/>
      <c r="J438" s="20"/>
      <c r="K438" s="18"/>
    </row>
    <row r="439" customFormat="false" ht="15.75" hidden="false" customHeight="true" outlineLevel="0" collapsed="false">
      <c r="A439" s="18"/>
      <c r="B439" s="20"/>
      <c r="C439" s="18"/>
      <c r="D439" s="18"/>
      <c r="E439" s="18"/>
      <c r="F439" s="18"/>
      <c r="G439" s="19"/>
      <c r="H439" s="20"/>
      <c r="I439" s="18"/>
      <c r="J439" s="20"/>
      <c r="K439" s="18"/>
    </row>
    <row r="440" customFormat="false" ht="15.75" hidden="false" customHeight="true" outlineLevel="0" collapsed="false">
      <c r="A440" s="18"/>
      <c r="B440" s="20"/>
      <c r="C440" s="18"/>
      <c r="D440" s="18"/>
      <c r="E440" s="18"/>
      <c r="F440" s="18"/>
      <c r="G440" s="19"/>
      <c r="H440" s="20"/>
      <c r="I440" s="18"/>
      <c r="J440" s="20"/>
      <c r="K440" s="18"/>
    </row>
    <row r="441" customFormat="false" ht="15.75" hidden="false" customHeight="true" outlineLevel="0" collapsed="false">
      <c r="A441" s="18"/>
      <c r="B441" s="20"/>
      <c r="C441" s="18"/>
      <c r="D441" s="18"/>
      <c r="E441" s="18"/>
      <c r="F441" s="18"/>
      <c r="G441" s="19"/>
      <c r="H441" s="20"/>
      <c r="I441" s="18"/>
      <c r="J441" s="20"/>
      <c r="K441" s="18"/>
    </row>
    <row r="442" customFormat="false" ht="15.75" hidden="false" customHeight="true" outlineLevel="0" collapsed="false">
      <c r="A442" s="18"/>
      <c r="B442" s="20"/>
      <c r="C442" s="18"/>
      <c r="D442" s="18"/>
      <c r="E442" s="18"/>
      <c r="F442" s="18"/>
      <c r="G442" s="19"/>
      <c r="H442" s="20"/>
      <c r="I442" s="18"/>
      <c r="J442" s="20"/>
      <c r="K442" s="18"/>
    </row>
    <row r="443" customFormat="false" ht="15.75" hidden="false" customHeight="true" outlineLevel="0" collapsed="false">
      <c r="A443" s="18"/>
      <c r="B443" s="20"/>
      <c r="C443" s="18"/>
      <c r="D443" s="18"/>
      <c r="E443" s="18"/>
      <c r="F443" s="18"/>
      <c r="G443" s="19"/>
      <c r="H443" s="20"/>
      <c r="I443" s="18"/>
      <c r="J443" s="20"/>
      <c r="K443" s="18"/>
    </row>
    <row r="444" customFormat="false" ht="15.75" hidden="false" customHeight="true" outlineLevel="0" collapsed="false">
      <c r="A444" s="18"/>
      <c r="B444" s="20"/>
      <c r="C444" s="18"/>
      <c r="D444" s="18"/>
      <c r="E444" s="18"/>
      <c r="F444" s="18"/>
      <c r="G444" s="19"/>
      <c r="H444" s="20"/>
      <c r="I444" s="18"/>
      <c r="J444" s="20"/>
      <c r="K444" s="18"/>
    </row>
    <row r="445" customFormat="false" ht="15.75" hidden="false" customHeight="true" outlineLevel="0" collapsed="false">
      <c r="A445" s="18"/>
      <c r="B445" s="20"/>
      <c r="C445" s="18"/>
      <c r="D445" s="18"/>
      <c r="E445" s="18"/>
      <c r="F445" s="18"/>
      <c r="G445" s="19"/>
      <c r="H445" s="20"/>
      <c r="I445" s="18"/>
      <c r="J445" s="20"/>
      <c r="K445" s="18"/>
    </row>
    <row r="446" customFormat="false" ht="15.75" hidden="false" customHeight="true" outlineLevel="0" collapsed="false">
      <c r="A446" s="18"/>
      <c r="B446" s="20"/>
      <c r="C446" s="18"/>
      <c r="D446" s="18"/>
      <c r="E446" s="18"/>
      <c r="F446" s="18"/>
      <c r="G446" s="19"/>
      <c r="H446" s="20"/>
      <c r="I446" s="18"/>
      <c r="J446" s="20"/>
      <c r="K446" s="18"/>
    </row>
    <row r="447" customFormat="false" ht="15.75" hidden="false" customHeight="true" outlineLevel="0" collapsed="false">
      <c r="A447" s="18"/>
      <c r="B447" s="20"/>
      <c r="C447" s="18"/>
      <c r="D447" s="18"/>
      <c r="E447" s="18"/>
      <c r="F447" s="18"/>
      <c r="G447" s="19"/>
      <c r="H447" s="20"/>
      <c r="I447" s="18"/>
      <c r="J447" s="20"/>
      <c r="K447" s="18"/>
    </row>
    <row r="448" customFormat="false" ht="15.75" hidden="false" customHeight="true" outlineLevel="0" collapsed="false">
      <c r="A448" s="18"/>
      <c r="B448" s="20"/>
      <c r="C448" s="18"/>
      <c r="D448" s="18"/>
      <c r="E448" s="18"/>
      <c r="F448" s="18"/>
      <c r="G448" s="19"/>
      <c r="H448" s="20"/>
      <c r="I448" s="18"/>
      <c r="J448" s="20"/>
      <c r="K448" s="18"/>
    </row>
    <row r="449" customFormat="false" ht="15.75" hidden="false" customHeight="true" outlineLevel="0" collapsed="false">
      <c r="A449" s="18"/>
      <c r="B449" s="20"/>
      <c r="C449" s="18"/>
      <c r="D449" s="18"/>
      <c r="E449" s="18"/>
      <c r="F449" s="18"/>
      <c r="G449" s="19"/>
      <c r="H449" s="20"/>
      <c r="I449" s="18"/>
      <c r="J449" s="20"/>
      <c r="K449" s="18"/>
    </row>
    <row r="450" customFormat="false" ht="15.75" hidden="false" customHeight="true" outlineLevel="0" collapsed="false">
      <c r="A450" s="18"/>
      <c r="B450" s="20"/>
      <c r="C450" s="18"/>
      <c r="D450" s="18"/>
      <c r="E450" s="18"/>
      <c r="F450" s="18"/>
      <c r="G450" s="19"/>
      <c r="H450" s="20"/>
      <c r="I450" s="18"/>
      <c r="J450" s="20"/>
      <c r="K450" s="18"/>
    </row>
    <row r="451" customFormat="false" ht="15.75" hidden="false" customHeight="true" outlineLevel="0" collapsed="false">
      <c r="A451" s="18"/>
      <c r="B451" s="20"/>
      <c r="C451" s="18"/>
      <c r="D451" s="18"/>
      <c r="E451" s="18"/>
      <c r="F451" s="18"/>
      <c r="G451" s="19"/>
      <c r="H451" s="20"/>
      <c r="I451" s="18"/>
      <c r="J451" s="20"/>
      <c r="K451" s="18"/>
    </row>
    <row r="452" customFormat="false" ht="15.75" hidden="false" customHeight="true" outlineLevel="0" collapsed="false">
      <c r="A452" s="18"/>
      <c r="B452" s="20"/>
      <c r="C452" s="18"/>
      <c r="D452" s="18"/>
      <c r="E452" s="18"/>
      <c r="F452" s="18"/>
      <c r="G452" s="19"/>
      <c r="H452" s="20"/>
      <c r="I452" s="18"/>
      <c r="J452" s="20"/>
      <c r="K452" s="18"/>
    </row>
    <row r="453" customFormat="false" ht="15.75" hidden="false" customHeight="true" outlineLevel="0" collapsed="false">
      <c r="A453" s="18"/>
      <c r="B453" s="20"/>
      <c r="C453" s="18"/>
      <c r="D453" s="18"/>
      <c r="E453" s="18"/>
      <c r="F453" s="18"/>
      <c r="G453" s="19"/>
      <c r="H453" s="20"/>
      <c r="I453" s="18"/>
      <c r="J453" s="20"/>
      <c r="K453" s="18"/>
    </row>
    <row r="454" customFormat="false" ht="15.75" hidden="false" customHeight="true" outlineLevel="0" collapsed="false">
      <c r="A454" s="18"/>
      <c r="B454" s="20"/>
      <c r="C454" s="18"/>
      <c r="D454" s="18"/>
      <c r="E454" s="18"/>
      <c r="F454" s="18"/>
      <c r="G454" s="19"/>
      <c r="H454" s="20"/>
      <c r="I454" s="18"/>
      <c r="J454" s="20"/>
      <c r="K454" s="18"/>
    </row>
    <row r="455" customFormat="false" ht="15.75" hidden="false" customHeight="true" outlineLevel="0" collapsed="false">
      <c r="A455" s="18"/>
      <c r="B455" s="20"/>
      <c r="C455" s="18"/>
      <c r="D455" s="18"/>
      <c r="E455" s="18"/>
      <c r="F455" s="18"/>
      <c r="G455" s="19"/>
      <c r="H455" s="20"/>
      <c r="I455" s="18"/>
      <c r="J455" s="20"/>
      <c r="K455" s="18"/>
    </row>
    <row r="456" customFormat="false" ht="15.75" hidden="false" customHeight="true" outlineLevel="0" collapsed="false">
      <c r="A456" s="18"/>
      <c r="B456" s="20"/>
      <c r="C456" s="18"/>
      <c r="D456" s="18"/>
      <c r="E456" s="18"/>
      <c r="F456" s="18"/>
      <c r="G456" s="19"/>
      <c r="H456" s="20"/>
      <c r="I456" s="18"/>
      <c r="J456" s="20"/>
      <c r="K456" s="18"/>
    </row>
    <row r="457" customFormat="false" ht="15.75" hidden="false" customHeight="true" outlineLevel="0" collapsed="false">
      <c r="A457" s="18"/>
      <c r="B457" s="20"/>
      <c r="C457" s="18"/>
      <c r="D457" s="18"/>
      <c r="E457" s="18"/>
      <c r="F457" s="18"/>
      <c r="G457" s="19"/>
      <c r="H457" s="20"/>
      <c r="I457" s="18"/>
      <c r="J457" s="20"/>
      <c r="K457" s="18"/>
    </row>
    <row r="458" customFormat="false" ht="15.75" hidden="false" customHeight="true" outlineLevel="0" collapsed="false">
      <c r="A458" s="18"/>
      <c r="B458" s="20"/>
      <c r="C458" s="18"/>
      <c r="D458" s="18"/>
      <c r="E458" s="18"/>
      <c r="F458" s="18"/>
      <c r="G458" s="19"/>
      <c r="H458" s="20"/>
      <c r="I458" s="18"/>
      <c r="J458" s="20"/>
      <c r="K458" s="18"/>
    </row>
    <row r="459" customFormat="false" ht="15.75" hidden="false" customHeight="true" outlineLevel="0" collapsed="false">
      <c r="A459" s="18"/>
      <c r="B459" s="20"/>
      <c r="C459" s="18"/>
      <c r="D459" s="18"/>
      <c r="E459" s="18"/>
      <c r="F459" s="18"/>
      <c r="G459" s="19"/>
      <c r="H459" s="20"/>
      <c r="I459" s="18"/>
      <c r="J459" s="20"/>
      <c r="K459" s="18"/>
    </row>
    <row r="460" customFormat="false" ht="15.75" hidden="false" customHeight="true" outlineLevel="0" collapsed="false">
      <c r="A460" s="18"/>
      <c r="B460" s="20"/>
      <c r="C460" s="18"/>
      <c r="D460" s="18"/>
      <c r="E460" s="18"/>
      <c r="F460" s="18"/>
      <c r="G460" s="19"/>
      <c r="H460" s="20"/>
      <c r="I460" s="18"/>
      <c r="J460" s="20"/>
      <c r="K460" s="18"/>
    </row>
    <row r="461" customFormat="false" ht="15.75" hidden="false" customHeight="true" outlineLevel="0" collapsed="false">
      <c r="A461" s="18"/>
      <c r="B461" s="20"/>
      <c r="C461" s="18"/>
      <c r="D461" s="18"/>
      <c r="E461" s="18"/>
      <c r="F461" s="18"/>
      <c r="G461" s="19"/>
      <c r="H461" s="20"/>
      <c r="I461" s="18"/>
      <c r="J461" s="20"/>
      <c r="K461" s="18"/>
    </row>
    <row r="462" customFormat="false" ht="15.75" hidden="false" customHeight="true" outlineLevel="0" collapsed="false">
      <c r="A462" s="18"/>
      <c r="B462" s="20"/>
      <c r="C462" s="18"/>
      <c r="D462" s="18"/>
      <c r="E462" s="18"/>
      <c r="F462" s="18"/>
      <c r="G462" s="19"/>
      <c r="H462" s="20"/>
      <c r="I462" s="18"/>
      <c r="J462" s="20"/>
      <c r="K462" s="18"/>
    </row>
    <row r="463" customFormat="false" ht="15.75" hidden="false" customHeight="true" outlineLevel="0" collapsed="false">
      <c r="A463" s="18"/>
      <c r="B463" s="20"/>
      <c r="C463" s="18"/>
      <c r="D463" s="18"/>
      <c r="E463" s="18"/>
      <c r="F463" s="18"/>
      <c r="G463" s="19"/>
      <c r="H463" s="20"/>
      <c r="I463" s="18"/>
      <c r="J463" s="20"/>
      <c r="K463" s="18"/>
    </row>
    <row r="464" customFormat="false" ht="15.75" hidden="false" customHeight="true" outlineLevel="0" collapsed="false">
      <c r="A464" s="18"/>
      <c r="B464" s="20"/>
      <c r="C464" s="18"/>
      <c r="D464" s="18"/>
      <c r="E464" s="18"/>
      <c r="F464" s="18"/>
      <c r="G464" s="19"/>
      <c r="H464" s="20"/>
      <c r="I464" s="18"/>
      <c r="J464" s="20"/>
      <c r="K464" s="18"/>
    </row>
    <row r="465" customFormat="false" ht="15.75" hidden="false" customHeight="true" outlineLevel="0" collapsed="false">
      <c r="A465" s="18"/>
      <c r="B465" s="20"/>
      <c r="C465" s="18"/>
      <c r="D465" s="18"/>
      <c r="E465" s="18"/>
      <c r="F465" s="18"/>
      <c r="G465" s="19"/>
      <c r="H465" s="20"/>
      <c r="I465" s="18"/>
      <c r="J465" s="20"/>
      <c r="K465" s="18"/>
    </row>
    <row r="466" customFormat="false" ht="15.75" hidden="false" customHeight="true" outlineLevel="0" collapsed="false">
      <c r="A466" s="18"/>
      <c r="B466" s="20"/>
      <c r="C466" s="18"/>
      <c r="D466" s="18"/>
      <c r="E466" s="18"/>
      <c r="F466" s="18"/>
      <c r="G466" s="19"/>
      <c r="H466" s="20"/>
      <c r="I466" s="18"/>
      <c r="J466" s="20"/>
      <c r="K466" s="18"/>
    </row>
    <row r="467" customFormat="false" ht="15.75" hidden="false" customHeight="true" outlineLevel="0" collapsed="false">
      <c r="A467" s="18"/>
      <c r="B467" s="20"/>
      <c r="C467" s="18"/>
      <c r="D467" s="18"/>
      <c r="E467" s="18"/>
      <c r="F467" s="18"/>
      <c r="G467" s="19"/>
      <c r="H467" s="20"/>
      <c r="I467" s="18"/>
      <c r="J467" s="20"/>
      <c r="K467" s="18"/>
    </row>
    <row r="468" customFormat="false" ht="15.75" hidden="false" customHeight="true" outlineLevel="0" collapsed="false">
      <c r="A468" s="18"/>
      <c r="B468" s="20"/>
      <c r="C468" s="18"/>
      <c r="D468" s="18"/>
      <c r="E468" s="18"/>
      <c r="F468" s="18"/>
      <c r="G468" s="19"/>
      <c r="H468" s="20"/>
      <c r="I468" s="18"/>
      <c r="J468" s="20"/>
      <c r="K468" s="18"/>
    </row>
    <row r="469" customFormat="false" ht="15.75" hidden="false" customHeight="true" outlineLevel="0" collapsed="false">
      <c r="A469" s="18"/>
      <c r="B469" s="20"/>
      <c r="C469" s="18"/>
      <c r="D469" s="18"/>
      <c r="E469" s="18"/>
      <c r="F469" s="18"/>
      <c r="G469" s="19"/>
      <c r="H469" s="20"/>
      <c r="I469" s="18"/>
      <c r="J469" s="20"/>
      <c r="K469" s="18"/>
    </row>
    <row r="470" customFormat="false" ht="15.75" hidden="false" customHeight="true" outlineLevel="0" collapsed="false">
      <c r="A470" s="18"/>
      <c r="B470" s="20"/>
      <c r="C470" s="18"/>
      <c r="D470" s="18"/>
      <c r="E470" s="18"/>
      <c r="F470" s="18"/>
      <c r="G470" s="19"/>
      <c r="H470" s="20"/>
      <c r="I470" s="18"/>
      <c r="J470" s="20"/>
      <c r="K470" s="18"/>
    </row>
    <row r="471" customFormat="false" ht="15.75" hidden="false" customHeight="true" outlineLevel="0" collapsed="false">
      <c r="A471" s="18"/>
      <c r="B471" s="20"/>
      <c r="C471" s="18"/>
      <c r="D471" s="18"/>
      <c r="E471" s="18"/>
      <c r="F471" s="18"/>
      <c r="G471" s="19"/>
      <c r="H471" s="20"/>
      <c r="I471" s="18"/>
      <c r="J471" s="20"/>
      <c r="K471" s="18"/>
    </row>
    <row r="472" customFormat="false" ht="15.75" hidden="false" customHeight="true" outlineLevel="0" collapsed="false">
      <c r="A472" s="18"/>
      <c r="B472" s="20"/>
      <c r="C472" s="18"/>
      <c r="D472" s="18"/>
      <c r="E472" s="18"/>
      <c r="F472" s="18"/>
      <c r="G472" s="19"/>
      <c r="H472" s="20"/>
      <c r="I472" s="18"/>
      <c r="J472" s="20"/>
      <c r="K472" s="18"/>
    </row>
    <row r="473" customFormat="false" ht="15.75" hidden="false" customHeight="true" outlineLevel="0" collapsed="false">
      <c r="A473" s="18"/>
      <c r="B473" s="20"/>
      <c r="C473" s="18"/>
      <c r="D473" s="18"/>
      <c r="E473" s="18"/>
      <c r="F473" s="18"/>
      <c r="G473" s="19"/>
      <c r="H473" s="20"/>
      <c r="I473" s="18"/>
      <c r="J473" s="20"/>
      <c r="K473" s="18"/>
    </row>
    <row r="474" customFormat="false" ht="15.75" hidden="false" customHeight="true" outlineLevel="0" collapsed="false">
      <c r="A474" s="18"/>
      <c r="B474" s="20"/>
      <c r="C474" s="18"/>
      <c r="D474" s="18"/>
      <c r="E474" s="18"/>
      <c r="F474" s="18"/>
      <c r="G474" s="19"/>
      <c r="H474" s="20"/>
      <c r="I474" s="18"/>
      <c r="J474" s="20"/>
      <c r="K474" s="18"/>
    </row>
    <row r="475" customFormat="false" ht="15.75" hidden="false" customHeight="true" outlineLevel="0" collapsed="false">
      <c r="A475" s="18"/>
      <c r="B475" s="20"/>
      <c r="C475" s="18"/>
      <c r="D475" s="18"/>
      <c r="E475" s="18"/>
      <c r="F475" s="18"/>
      <c r="G475" s="19"/>
      <c r="H475" s="20"/>
      <c r="I475" s="18"/>
      <c r="J475" s="20"/>
      <c r="K475" s="18"/>
    </row>
    <row r="476" customFormat="false" ht="15.75" hidden="false" customHeight="true" outlineLevel="0" collapsed="false">
      <c r="A476" s="18"/>
      <c r="B476" s="20"/>
      <c r="C476" s="18"/>
      <c r="D476" s="18"/>
      <c r="E476" s="18"/>
      <c r="F476" s="18"/>
      <c r="G476" s="19"/>
      <c r="H476" s="20"/>
      <c r="I476" s="18"/>
      <c r="J476" s="20"/>
      <c r="K476" s="18"/>
    </row>
    <row r="477" customFormat="false" ht="15.75" hidden="false" customHeight="true" outlineLevel="0" collapsed="false">
      <c r="A477" s="18"/>
      <c r="B477" s="20"/>
      <c r="C477" s="18"/>
      <c r="D477" s="18"/>
      <c r="E477" s="18"/>
      <c r="F477" s="18"/>
      <c r="G477" s="19"/>
      <c r="H477" s="20"/>
      <c r="I477" s="18"/>
      <c r="J477" s="20"/>
      <c r="K477" s="18"/>
    </row>
    <row r="478" customFormat="false" ht="15.75" hidden="false" customHeight="true" outlineLevel="0" collapsed="false">
      <c r="A478" s="18"/>
      <c r="B478" s="20"/>
      <c r="C478" s="18"/>
      <c r="D478" s="18"/>
      <c r="E478" s="18"/>
      <c r="F478" s="18"/>
      <c r="G478" s="19"/>
      <c r="H478" s="20"/>
      <c r="I478" s="18"/>
      <c r="J478" s="20"/>
      <c r="K478" s="18"/>
    </row>
    <row r="479" customFormat="false" ht="15.75" hidden="false" customHeight="true" outlineLevel="0" collapsed="false">
      <c r="A479" s="18"/>
      <c r="B479" s="20"/>
      <c r="C479" s="18"/>
      <c r="D479" s="18"/>
      <c r="E479" s="18"/>
      <c r="F479" s="18"/>
      <c r="G479" s="19"/>
      <c r="H479" s="20"/>
      <c r="I479" s="18"/>
      <c r="J479" s="20"/>
      <c r="K479" s="18"/>
    </row>
    <row r="480" customFormat="false" ht="15.75" hidden="false" customHeight="true" outlineLevel="0" collapsed="false">
      <c r="A480" s="18"/>
      <c r="B480" s="20"/>
      <c r="C480" s="18"/>
      <c r="D480" s="18"/>
      <c r="E480" s="18"/>
      <c r="F480" s="18"/>
      <c r="G480" s="19"/>
      <c r="H480" s="20"/>
      <c r="I480" s="18"/>
      <c r="J480" s="20"/>
      <c r="K480" s="18"/>
    </row>
    <row r="481" customFormat="false" ht="15.75" hidden="false" customHeight="true" outlineLevel="0" collapsed="false">
      <c r="A481" s="18"/>
      <c r="B481" s="20"/>
      <c r="C481" s="18"/>
      <c r="D481" s="18"/>
      <c r="E481" s="18"/>
      <c r="F481" s="18"/>
      <c r="G481" s="19"/>
      <c r="H481" s="20"/>
      <c r="I481" s="18"/>
      <c r="J481" s="20"/>
      <c r="K481" s="18"/>
    </row>
    <row r="482" customFormat="false" ht="15.75" hidden="false" customHeight="true" outlineLevel="0" collapsed="false">
      <c r="A482" s="18"/>
      <c r="B482" s="20"/>
      <c r="C482" s="18"/>
      <c r="D482" s="18"/>
      <c r="E482" s="18"/>
      <c r="F482" s="18"/>
      <c r="G482" s="19"/>
      <c r="H482" s="20"/>
      <c r="I482" s="18"/>
      <c r="J482" s="20"/>
      <c r="K482" s="18"/>
    </row>
    <row r="483" customFormat="false" ht="15.75" hidden="false" customHeight="true" outlineLevel="0" collapsed="false">
      <c r="A483" s="18"/>
      <c r="B483" s="20"/>
      <c r="C483" s="18"/>
      <c r="D483" s="18"/>
      <c r="E483" s="18"/>
      <c r="F483" s="18"/>
      <c r="G483" s="19"/>
      <c r="H483" s="20"/>
      <c r="I483" s="18"/>
      <c r="J483" s="20"/>
      <c r="K483" s="18"/>
    </row>
    <row r="484" customFormat="false" ht="15.75" hidden="false" customHeight="true" outlineLevel="0" collapsed="false">
      <c r="A484" s="18"/>
      <c r="B484" s="20"/>
      <c r="C484" s="18"/>
      <c r="D484" s="18"/>
      <c r="E484" s="18"/>
      <c r="F484" s="18"/>
      <c r="G484" s="19"/>
      <c r="H484" s="20"/>
      <c r="I484" s="18"/>
      <c r="J484" s="20"/>
      <c r="K484" s="18"/>
    </row>
    <row r="485" customFormat="false" ht="15.75" hidden="false" customHeight="true" outlineLevel="0" collapsed="false">
      <c r="A485" s="18"/>
      <c r="B485" s="20"/>
      <c r="C485" s="18"/>
      <c r="D485" s="18"/>
      <c r="E485" s="18"/>
      <c r="F485" s="18"/>
      <c r="G485" s="19"/>
      <c r="H485" s="20"/>
      <c r="I485" s="18"/>
      <c r="J485" s="20"/>
      <c r="K485" s="18"/>
    </row>
    <row r="486" customFormat="false" ht="15.75" hidden="false" customHeight="true" outlineLevel="0" collapsed="false">
      <c r="A486" s="18"/>
      <c r="B486" s="20"/>
      <c r="C486" s="18"/>
      <c r="D486" s="18"/>
      <c r="E486" s="18"/>
      <c r="F486" s="18"/>
      <c r="G486" s="19"/>
      <c r="H486" s="20"/>
      <c r="I486" s="18"/>
      <c r="J486" s="20"/>
      <c r="K486" s="18"/>
    </row>
    <row r="487" customFormat="false" ht="15.75" hidden="false" customHeight="true" outlineLevel="0" collapsed="false">
      <c r="A487" s="18"/>
      <c r="B487" s="20"/>
      <c r="C487" s="18"/>
      <c r="D487" s="18"/>
      <c r="E487" s="18"/>
      <c r="F487" s="18"/>
      <c r="G487" s="19"/>
      <c r="H487" s="20"/>
      <c r="I487" s="18"/>
      <c r="J487" s="20"/>
      <c r="K487" s="18"/>
    </row>
    <row r="488" customFormat="false" ht="15.75" hidden="false" customHeight="true" outlineLevel="0" collapsed="false">
      <c r="A488" s="18"/>
      <c r="B488" s="20"/>
      <c r="C488" s="18"/>
      <c r="D488" s="18"/>
      <c r="E488" s="18"/>
      <c r="F488" s="18"/>
      <c r="G488" s="19"/>
      <c r="H488" s="20"/>
      <c r="I488" s="18"/>
      <c r="J488" s="20"/>
      <c r="K488" s="18"/>
    </row>
    <row r="489" customFormat="false" ht="15.75" hidden="false" customHeight="true" outlineLevel="0" collapsed="false">
      <c r="A489" s="18"/>
      <c r="B489" s="20"/>
      <c r="C489" s="18"/>
      <c r="D489" s="18"/>
      <c r="E489" s="18"/>
      <c r="F489" s="18"/>
      <c r="G489" s="19"/>
      <c r="H489" s="20"/>
      <c r="I489" s="18"/>
      <c r="J489" s="20"/>
      <c r="K489" s="18"/>
    </row>
    <row r="490" customFormat="false" ht="15.75" hidden="false" customHeight="true" outlineLevel="0" collapsed="false">
      <c r="A490" s="18"/>
      <c r="B490" s="20"/>
      <c r="C490" s="18"/>
      <c r="D490" s="18"/>
      <c r="E490" s="18"/>
      <c r="F490" s="18"/>
      <c r="G490" s="19"/>
      <c r="H490" s="20"/>
      <c r="I490" s="18"/>
      <c r="J490" s="20"/>
      <c r="K490" s="18"/>
    </row>
    <row r="491" customFormat="false" ht="15.75" hidden="false" customHeight="true" outlineLevel="0" collapsed="false">
      <c r="A491" s="18"/>
      <c r="B491" s="20"/>
      <c r="C491" s="18"/>
      <c r="D491" s="18"/>
      <c r="E491" s="18"/>
      <c r="F491" s="18"/>
      <c r="G491" s="19"/>
      <c r="H491" s="20"/>
      <c r="I491" s="18"/>
      <c r="J491" s="20"/>
      <c r="K491" s="18"/>
    </row>
    <row r="492" customFormat="false" ht="15.75" hidden="false" customHeight="true" outlineLevel="0" collapsed="false">
      <c r="A492" s="18"/>
      <c r="B492" s="20"/>
      <c r="C492" s="18"/>
      <c r="D492" s="18"/>
      <c r="E492" s="18"/>
      <c r="F492" s="18"/>
      <c r="G492" s="19"/>
      <c r="H492" s="20"/>
      <c r="I492" s="18"/>
      <c r="J492" s="20"/>
      <c r="K492" s="18"/>
    </row>
    <row r="493" customFormat="false" ht="15.75" hidden="false" customHeight="true" outlineLevel="0" collapsed="false">
      <c r="A493" s="18"/>
      <c r="B493" s="20"/>
      <c r="C493" s="18"/>
      <c r="D493" s="18"/>
      <c r="E493" s="18"/>
      <c r="F493" s="18"/>
      <c r="G493" s="19"/>
      <c r="H493" s="20"/>
      <c r="I493" s="18"/>
      <c r="J493" s="20"/>
      <c r="K493" s="18"/>
    </row>
    <row r="494" customFormat="false" ht="15.75" hidden="false" customHeight="true" outlineLevel="0" collapsed="false">
      <c r="A494" s="18"/>
      <c r="B494" s="20"/>
      <c r="C494" s="18"/>
      <c r="D494" s="18"/>
      <c r="E494" s="18"/>
      <c r="F494" s="18"/>
      <c r="G494" s="19"/>
      <c r="H494" s="20"/>
      <c r="I494" s="18"/>
      <c r="J494" s="20"/>
      <c r="K494" s="18"/>
    </row>
    <row r="495" customFormat="false" ht="15.75" hidden="false" customHeight="true" outlineLevel="0" collapsed="false">
      <c r="A495" s="18"/>
      <c r="B495" s="20"/>
      <c r="C495" s="18"/>
      <c r="D495" s="18"/>
      <c r="E495" s="18"/>
      <c r="F495" s="18"/>
      <c r="G495" s="19"/>
      <c r="H495" s="20"/>
      <c r="I495" s="18"/>
      <c r="J495" s="20"/>
      <c r="K495" s="18"/>
    </row>
    <row r="496" customFormat="false" ht="15.75" hidden="false" customHeight="true" outlineLevel="0" collapsed="false">
      <c r="A496" s="18"/>
      <c r="B496" s="20"/>
      <c r="C496" s="18"/>
      <c r="D496" s="18"/>
      <c r="E496" s="18"/>
      <c r="F496" s="18"/>
      <c r="G496" s="19"/>
      <c r="H496" s="20"/>
      <c r="I496" s="18"/>
      <c r="J496" s="20"/>
      <c r="K496" s="18"/>
    </row>
    <row r="497" customFormat="false" ht="15.75" hidden="false" customHeight="true" outlineLevel="0" collapsed="false">
      <c r="A497" s="18"/>
      <c r="B497" s="20"/>
      <c r="C497" s="18"/>
      <c r="D497" s="18"/>
      <c r="E497" s="18"/>
      <c r="F497" s="18"/>
      <c r="G497" s="19"/>
      <c r="H497" s="20"/>
      <c r="I497" s="18"/>
      <c r="J497" s="20"/>
      <c r="K497" s="18"/>
    </row>
    <row r="498" customFormat="false" ht="15.75" hidden="false" customHeight="true" outlineLevel="0" collapsed="false">
      <c r="A498" s="18"/>
      <c r="B498" s="20"/>
      <c r="C498" s="18"/>
      <c r="D498" s="18"/>
      <c r="E498" s="18"/>
      <c r="F498" s="18"/>
      <c r="G498" s="19"/>
      <c r="H498" s="20"/>
      <c r="I498" s="18"/>
      <c r="J498" s="20"/>
      <c r="K498" s="18"/>
    </row>
    <row r="499" customFormat="false" ht="15.75" hidden="false" customHeight="true" outlineLevel="0" collapsed="false">
      <c r="A499" s="18"/>
      <c r="B499" s="20"/>
      <c r="C499" s="18"/>
      <c r="D499" s="18"/>
      <c r="E499" s="18"/>
      <c r="F499" s="18"/>
      <c r="G499" s="19"/>
      <c r="H499" s="20"/>
      <c r="I499" s="18"/>
      <c r="J499" s="20"/>
      <c r="K499" s="18"/>
    </row>
    <row r="500" customFormat="false" ht="15.75" hidden="false" customHeight="true" outlineLevel="0" collapsed="false">
      <c r="A500" s="18"/>
      <c r="B500" s="20"/>
      <c r="C500" s="18"/>
      <c r="D500" s="18"/>
      <c r="E500" s="18"/>
      <c r="F500" s="18"/>
      <c r="G500" s="19"/>
      <c r="H500" s="20"/>
      <c r="I500" s="18"/>
      <c r="J500" s="20"/>
      <c r="K500" s="18"/>
    </row>
    <row r="501" customFormat="false" ht="15.75" hidden="false" customHeight="true" outlineLevel="0" collapsed="false">
      <c r="A501" s="18"/>
      <c r="B501" s="20"/>
      <c r="C501" s="18"/>
      <c r="D501" s="18"/>
      <c r="E501" s="18"/>
      <c r="F501" s="18"/>
      <c r="G501" s="19"/>
      <c r="H501" s="20"/>
      <c r="I501" s="18"/>
      <c r="J501" s="20"/>
      <c r="K501" s="18"/>
    </row>
    <row r="502" customFormat="false" ht="15.75" hidden="false" customHeight="true" outlineLevel="0" collapsed="false">
      <c r="A502" s="18"/>
      <c r="B502" s="20"/>
      <c r="C502" s="18"/>
      <c r="D502" s="18"/>
      <c r="E502" s="18"/>
      <c r="F502" s="18"/>
      <c r="G502" s="19"/>
      <c r="H502" s="20"/>
      <c r="I502" s="18"/>
      <c r="J502" s="20"/>
      <c r="K502" s="18"/>
    </row>
    <row r="503" customFormat="false" ht="15.75" hidden="false" customHeight="true" outlineLevel="0" collapsed="false">
      <c r="A503" s="18"/>
      <c r="B503" s="20"/>
      <c r="C503" s="18"/>
      <c r="D503" s="18"/>
      <c r="E503" s="18"/>
      <c r="F503" s="18"/>
      <c r="G503" s="19"/>
      <c r="H503" s="20"/>
      <c r="I503" s="18"/>
      <c r="J503" s="20"/>
      <c r="K503" s="18"/>
    </row>
    <row r="504" customFormat="false" ht="15.75" hidden="false" customHeight="true" outlineLevel="0" collapsed="false">
      <c r="A504" s="18"/>
      <c r="B504" s="20"/>
      <c r="C504" s="18"/>
      <c r="D504" s="18"/>
      <c r="E504" s="18"/>
      <c r="F504" s="18"/>
      <c r="G504" s="19"/>
      <c r="H504" s="20"/>
      <c r="I504" s="18"/>
      <c r="J504" s="20"/>
      <c r="K504" s="18"/>
    </row>
    <row r="505" customFormat="false" ht="15.75" hidden="false" customHeight="true" outlineLevel="0" collapsed="false">
      <c r="A505" s="18"/>
      <c r="B505" s="20"/>
      <c r="C505" s="18"/>
      <c r="D505" s="18"/>
      <c r="E505" s="18"/>
      <c r="F505" s="18"/>
      <c r="G505" s="19"/>
      <c r="H505" s="20"/>
      <c r="I505" s="18"/>
      <c r="J505" s="20"/>
      <c r="K505" s="18"/>
    </row>
    <row r="506" customFormat="false" ht="15.75" hidden="false" customHeight="true" outlineLevel="0" collapsed="false">
      <c r="A506" s="18"/>
      <c r="B506" s="20"/>
      <c r="C506" s="18"/>
      <c r="D506" s="18"/>
      <c r="E506" s="18"/>
      <c r="F506" s="18"/>
      <c r="G506" s="19"/>
      <c r="H506" s="20"/>
      <c r="I506" s="18"/>
      <c r="J506" s="20"/>
      <c r="K506" s="18"/>
    </row>
  </sheetData>
  <mergeCells count="2">
    <mergeCell ref="A1:K1"/>
    <mergeCell ref="A2:K2"/>
  </mergeCells>
  <conditionalFormatting sqref="J7:J506">
    <cfRule type="cellIs" priority="2" operator="equal" aboveAverage="0" equalAverage="0" bottom="0" percent="0" rank="0" text="" dxfId="2">
      <formula>"Active"</formula>
    </cfRule>
    <cfRule type="cellIs" priority="3" operator="equal" aboveAverage="0" equalAverage="0" bottom="0" percent="0" rank="0" text="" dxfId="0">
      <formula>"Out of Service"</formula>
    </cfRule>
    <cfRule type="cellIs" priority="4" operator="equal" aboveAverage="0" equalAverage="0" bottom="0" percent="0" rank="0" text="" dxfId="3">
      <formula>"Decommissioned"</formula>
    </cfRule>
  </conditionalFormatting>
  <dataValidations count="3">
    <dataValidation allowBlank="true" errorStyle="stop" operator="between" showDropDown="false" showErrorMessage="false" showInputMessage="false" sqref="B7:B506" type="list">
      <formula1>"Eyewash Only,Emergency Shower Only,Combination Eyewash/Shower"</formula1>
      <formula2>0</formula2>
    </dataValidation>
    <dataValidation allowBlank="true" errorStyle="stop" operator="between" showDropDown="false" showErrorMessage="false" showInputMessage="false" sqref="H7:H506" type="list">
      <formula1>"Plumbed,Self-Contained,Personal Wash Unit"</formula1>
      <formula2>0</formula2>
    </dataValidation>
    <dataValidation allowBlank="true" errorStyle="stop" operator="between" showDropDown="false" showErrorMessage="false" showInputMessage="false" sqref="J7:J506" type="list">
      <formula1>"Active,Out of Service,Decommissioned"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55"/>
    <col collapsed="false" customWidth="true" hidden="false" outlineLevel="0" max="4" min="4" style="1" width="34"/>
  </cols>
  <sheetData>
    <row r="1" customFormat="false" ht="27.75" hidden="false" customHeight="true" outlineLevel="0" collapsed="false">
      <c r="A1" s="15" t="s">
        <v>62</v>
      </c>
      <c r="B1" s="15"/>
      <c r="C1" s="15"/>
      <c r="D1" s="15"/>
    </row>
    <row r="2" customFormat="false" ht="19.5" hidden="false" customHeight="true" outlineLevel="0" collapsed="false">
      <c r="A2" s="16" t="s">
        <v>63</v>
      </c>
      <c r="B2" s="16"/>
      <c r="C2" s="16"/>
      <c r="D2" s="16"/>
    </row>
    <row r="4" customFormat="false" ht="19.5" hidden="false" customHeight="true" outlineLevel="0" collapsed="false">
      <c r="A4" s="22" t="s">
        <v>64</v>
      </c>
      <c r="B4" s="22" t="s">
        <v>65</v>
      </c>
      <c r="C4" s="22" t="s">
        <v>66</v>
      </c>
      <c r="D4" s="22" t="s">
        <v>67</v>
      </c>
    </row>
    <row r="5" customFormat="false" ht="57.75" hidden="false" customHeight="true" outlineLevel="0" collapsed="false">
      <c r="A5" s="23" t="s">
        <v>68</v>
      </c>
      <c r="B5" s="24" t="s">
        <v>69</v>
      </c>
      <c r="C5" s="24" t="s">
        <v>70</v>
      </c>
      <c r="D5" s="24" t="s">
        <v>71</v>
      </c>
    </row>
    <row r="6" customFormat="false" ht="57.75" hidden="false" customHeight="true" outlineLevel="0" collapsed="false">
      <c r="A6" s="23" t="s">
        <v>72</v>
      </c>
      <c r="B6" s="24" t="s">
        <v>73</v>
      </c>
      <c r="C6" s="24" t="s">
        <v>74</v>
      </c>
      <c r="D6" s="24" t="s">
        <v>75</v>
      </c>
    </row>
    <row r="7" customFormat="false" ht="57.75" hidden="false" customHeight="true" outlineLevel="0" collapsed="false">
      <c r="A7" s="23" t="s">
        <v>76</v>
      </c>
      <c r="B7" s="24" t="s">
        <v>77</v>
      </c>
      <c r="C7" s="24" t="s">
        <v>78</v>
      </c>
      <c r="D7" s="24" t="s">
        <v>75</v>
      </c>
    </row>
    <row r="8" customFormat="false" ht="57.75" hidden="false" customHeight="true" outlineLevel="0" collapsed="false">
      <c r="A8" s="23" t="s">
        <v>79</v>
      </c>
      <c r="B8" s="24" t="s">
        <v>80</v>
      </c>
      <c r="C8" s="24" t="s">
        <v>81</v>
      </c>
      <c r="D8" s="24" t="s">
        <v>75</v>
      </c>
    </row>
    <row r="9" customFormat="false" ht="57.75" hidden="false" customHeight="true" outlineLevel="0" collapsed="false">
      <c r="A9" s="23" t="s">
        <v>82</v>
      </c>
      <c r="B9" s="24" t="s">
        <v>83</v>
      </c>
      <c r="C9" s="24" t="s">
        <v>84</v>
      </c>
      <c r="D9" s="24" t="s">
        <v>85</v>
      </c>
    </row>
    <row r="10" customFormat="false" ht="57.75" hidden="false" customHeight="true" outlineLevel="0" collapsed="false">
      <c r="A10" s="23" t="s">
        <v>86</v>
      </c>
      <c r="B10" s="24" t="s">
        <v>87</v>
      </c>
      <c r="C10" s="24" t="s">
        <v>88</v>
      </c>
      <c r="D10" s="24" t="s">
        <v>89</v>
      </c>
    </row>
    <row r="11" customFormat="false" ht="57.75" hidden="false" customHeight="true" outlineLevel="0" collapsed="false">
      <c r="A11" s="23" t="s">
        <v>90</v>
      </c>
      <c r="B11" s="24" t="s">
        <v>91</v>
      </c>
      <c r="C11" s="24" t="s">
        <v>92</v>
      </c>
      <c r="D11" s="24" t="s">
        <v>93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zeroHeight="false" outlineLevelRow="0" outlineLevelCol="0"/>
  <cols>
    <col collapsed="false" customWidth="true" hidden="false" outlineLevel="0" max="1" min="1" style="1" width="13"/>
    <col collapsed="false" customWidth="true" hidden="false" outlineLevel="0" max="2" min="2" style="1" width="18"/>
    <col collapsed="false" customWidth="true" hidden="false" outlineLevel="0" max="3" min="3" style="1" width="22"/>
    <col collapsed="false" customWidth="true" hidden="false" outlineLevel="0" max="4" min="4" style="1" width="40"/>
    <col collapsed="false" customWidth="true" hidden="false" outlineLevel="0" max="5" min="5" style="1" width="18"/>
    <col collapsed="false" customWidth="true" hidden="false" outlineLevel="0" max="6" min="6" style="1" width="24"/>
  </cols>
  <sheetData>
    <row r="1" customFormat="false" ht="27.75" hidden="false" customHeight="true" outlineLevel="0" collapsed="false">
      <c r="A1" s="15" t="s">
        <v>94</v>
      </c>
      <c r="B1" s="15"/>
      <c r="C1" s="15"/>
      <c r="D1" s="15"/>
      <c r="E1" s="15"/>
      <c r="F1" s="15"/>
    </row>
    <row r="2" customFormat="false" ht="19.5" hidden="false" customHeight="true" outlineLevel="0" collapsed="false">
      <c r="A2" s="16" t="s">
        <v>95</v>
      </c>
      <c r="B2" s="16"/>
      <c r="C2" s="16"/>
      <c r="D2" s="16"/>
      <c r="E2" s="16"/>
      <c r="F2" s="16"/>
    </row>
    <row r="4" customFormat="false" ht="19.5" hidden="false" customHeight="true" outlineLevel="0" collapsed="false">
      <c r="A4" s="22" t="s">
        <v>96</v>
      </c>
      <c r="B4" s="22" t="s">
        <v>97</v>
      </c>
      <c r="C4" s="22" t="s">
        <v>98</v>
      </c>
      <c r="D4" s="22" t="s">
        <v>99</v>
      </c>
      <c r="E4" s="22" t="s">
        <v>100</v>
      </c>
      <c r="F4" s="22" t="s">
        <v>61</v>
      </c>
    </row>
    <row r="5" customFormat="false" ht="15.75" hidden="false" customHeight="true" outlineLevel="0" collapsed="false">
      <c r="A5" s="19"/>
      <c r="B5" s="18"/>
      <c r="C5" s="18"/>
      <c r="D5" s="18"/>
      <c r="E5" s="18"/>
      <c r="F5" s="18"/>
    </row>
    <row r="6" customFormat="false" ht="15.75" hidden="false" customHeight="true" outlineLevel="0" collapsed="false">
      <c r="A6" s="19"/>
      <c r="B6" s="18"/>
      <c r="C6" s="18"/>
      <c r="D6" s="18"/>
      <c r="E6" s="18"/>
      <c r="F6" s="18"/>
    </row>
    <row r="7" customFormat="false" ht="15.75" hidden="false" customHeight="true" outlineLevel="0" collapsed="false">
      <c r="A7" s="19"/>
      <c r="B7" s="18"/>
      <c r="C7" s="18"/>
      <c r="D7" s="18"/>
      <c r="E7" s="18"/>
      <c r="F7" s="18"/>
    </row>
    <row r="8" customFormat="false" ht="15.75" hidden="false" customHeight="true" outlineLevel="0" collapsed="false">
      <c r="A8" s="19"/>
      <c r="B8" s="18"/>
      <c r="C8" s="18"/>
      <c r="D8" s="18"/>
      <c r="E8" s="18"/>
      <c r="F8" s="18"/>
    </row>
    <row r="9" customFormat="false" ht="15.75" hidden="false" customHeight="true" outlineLevel="0" collapsed="false">
      <c r="A9" s="19"/>
      <c r="B9" s="18"/>
      <c r="C9" s="18"/>
      <c r="D9" s="18"/>
      <c r="E9" s="18"/>
      <c r="F9" s="18"/>
    </row>
    <row r="10" customFormat="false" ht="15.75" hidden="false" customHeight="true" outlineLevel="0" collapsed="false">
      <c r="A10" s="19"/>
      <c r="B10" s="18"/>
      <c r="C10" s="18"/>
      <c r="D10" s="18"/>
      <c r="E10" s="18"/>
      <c r="F10" s="18"/>
    </row>
    <row r="11" customFormat="false" ht="15.75" hidden="false" customHeight="true" outlineLevel="0" collapsed="false">
      <c r="A11" s="19"/>
      <c r="B11" s="18"/>
      <c r="C11" s="18"/>
      <c r="D11" s="18"/>
      <c r="E11" s="18"/>
      <c r="F11" s="18"/>
    </row>
    <row r="12" customFormat="false" ht="15.75" hidden="false" customHeight="true" outlineLevel="0" collapsed="false">
      <c r="A12" s="19"/>
      <c r="B12" s="18"/>
      <c r="C12" s="18"/>
      <c r="D12" s="18"/>
      <c r="E12" s="18"/>
      <c r="F12" s="18"/>
    </row>
    <row r="13" customFormat="false" ht="15.75" hidden="false" customHeight="true" outlineLevel="0" collapsed="false">
      <c r="A13" s="19"/>
      <c r="B13" s="18"/>
      <c r="C13" s="18"/>
      <c r="D13" s="18"/>
      <c r="E13" s="18"/>
      <c r="F13" s="18"/>
    </row>
    <row r="14" customFormat="false" ht="15.75" hidden="false" customHeight="true" outlineLevel="0" collapsed="false">
      <c r="A14" s="19"/>
      <c r="B14" s="18"/>
      <c r="C14" s="18"/>
      <c r="D14" s="18"/>
      <c r="E14" s="18"/>
      <c r="F14" s="18"/>
    </row>
    <row r="15" customFormat="false" ht="15.75" hidden="false" customHeight="true" outlineLevel="0" collapsed="false">
      <c r="A15" s="19"/>
      <c r="B15" s="18"/>
      <c r="C15" s="18"/>
      <c r="D15" s="18"/>
      <c r="E15" s="18"/>
      <c r="F15" s="18"/>
    </row>
    <row r="16" customFormat="false" ht="15.75" hidden="false" customHeight="true" outlineLevel="0" collapsed="false">
      <c r="A16" s="19"/>
      <c r="B16" s="18"/>
      <c r="C16" s="18"/>
      <c r="D16" s="18"/>
      <c r="E16" s="18"/>
      <c r="F16" s="18"/>
    </row>
    <row r="17" customFormat="false" ht="15.75" hidden="false" customHeight="true" outlineLevel="0" collapsed="false">
      <c r="A17" s="19"/>
      <c r="B17" s="18"/>
      <c r="C17" s="18"/>
      <c r="D17" s="18"/>
      <c r="E17" s="18"/>
      <c r="F17" s="18"/>
    </row>
    <row r="18" customFormat="false" ht="15.75" hidden="false" customHeight="true" outlineLevel="0" collapsed="false">
      <c r="A18" s="19"/>
      <c r="B18" s="18"/>
      <c r="C18" s="18"/>
      <c r="D18" s="18"/>
      <c r="E18" s="18"/>
      <c r="F18" s="18"/>
    </row>
    <row r="19" customFormat="false" ht="15.75" hidden="false" customHeight="true" outlineLevel="0" collapsed="false">
      <c r="A19" s="19"/>
      <c r="B19" s="18"/>
      <c r="C19" s="18"/>
      <c r="D19" s="18"/>
      <c r="E19" s="18"/>
      <c r="F19" s="18"/>
    </row>
    <row r="20" customFormat="false" ht="15.75" hidden="false" customHeight="true" outlineLevel="0" collapsed="false">
      <c r="A20" s="19"/>
      <c r="B20" s="18"/>
      <c r="C20" s="18"/>
      <c r="D20" s="18"/>
      <c r="E20" s="18"/>
      <c r="F20" s="18"/>
    </row>
    <row r="21" customFormat="false" ht="15.75" hidden="false" customHeight="true" outlineLevel="0" collapsed="false">
      <c r="A21" s="19"/>
      <c r="B21" s="18"/>
      <c r="C21" s="18"/>
      <c r="D21" s="18"/>
      <c r="E21" s="18"/>
      <c r="F21" s="18"/>
    </row>
    <row r="22" customFormat="false" ht="15.75" hidden="false" customHeight="true" outlineLevel="0" collapsed="false">
      <c r="A22" s="19"/>
      <c r="B22" s="18"/>
      <c r="C22" s="18"/>
      <c r="D22" s="18"/>
      <c r="E22" s="18"/>
      <c r="F22" s="18"/>
    </row>
    <row r="23" customFormat="false" ht="15.75" hidden="false" customHeight="true" outlineLevel="0" collapsed="false">
      <c r="A23" s="19"/>
      <c r="B23" s="18"/>
      <c r="C23" s="18"/>
      <c r="D23" s="18"/>
      <c r="E23" s="18"/>
      <c r="F23" s="18"/>
    </row>
    <row r="24" customFormat="false" ht="15.75" hidden="false" customHeight="true" outlineLevel="0" collapsed="false">
      <c r="A24" s="19"/>
      <c r="B24" s="18"/>
      <c r="C24" s="18"/>
      <c r="D24" s="18"/>
      <c r="E24" s="18"/>
      <c r="F24" s="18"/>
    </row>
    <row r="25" customFormat="false" ht="15.75" hidden="false" customHeight="true" outlineLevel="0" collapsed="false">
      <c r="A25" s="19"/>
      <c r="B25" s="18"/>
      <c r="C25" s="18"/>
      <c r="D25" s="18"/>
      <c r="E25" s="18"/>
      <c r="F25" s="18"/>
    </row>
    <row r="26" customFormat="false" ht="15.75" hidden="false" customHeight="true" outlineLevel="0" collapsed="false">
      <c r="A26" s="19"/>
      <c r="B26" s="18"/>
      <c r="C26" s="18"/>
      <c r="D26" s="18"/>
      <c r="E26" s="18"/>
      <c r="F26" s="18"/>
    </row>
    <row r="27" customFormat="false" ht="15.75" hidden="false" customHeight="true" outlineLevel="0" collapsed="false">
      <c r="A27" s="19"/>
      <c r="B27" s="18"/>
      <c r="C27" s="18"/>
      <c r="D27" s="18"/>
      <c r="E27" s="18"/>
      <c r="F27" s="18"/>
    </row>
    <row r="28" customFormat="false" ht="15.75" hidden="false" customHeight="true" outlineLevel="0" collapsed="false">
      <c r="A28" s="19"/>
      <c r="B28" s="18"/>
      <c r="C28" s="18"/>
      <c r="D28" s="18"/>
      <c r="E28" s="18"/>
      <c r="F28" s="18"/>
    </row>
    <row r="29" customFormat="false" ht="15.75" hidden="false" customHeight="true" outlineLevel="0" collapsed="false">
      <c r="A29" s="19"/>
      <c r="B29" s="18"/>
      <c r="C29" s="18"/>
      <c r="D29" s="18"/>
      <c r="E29" s="18"/>
      <c r="F29" s="18"/>
    </row>
    <row r="30" customFormat="false" ht="15.75" hidden="false" customHeight="true" outlineLevel="0" collapsed="false">
      <c r="A30" s="19"/>
      <c r="B30" s="18"/>
      <c r="C30" s="18"/>
      <c r="D30" s="18"/>
      <c r="E30" s="18"/>
      <c r="F30" s="18"/>
    </row>
    <row r="31" customFormat="false" ht="15.75" hidden="false" customHeight="true" outlineLevel="0" collapsed="false">
      <c r="A31" s="19"/>
      <c r="B31" s="18"/>
      <c r="C31" s="18"/>
      <c r="D31" s="18"/>
      <c r="E31" s="18"/>
      <c r="F31" s="18"/>
    </row>
    <row r="32" customFormat="false" ht="15.75" hidden="false" customHeight="true" outlineLevel="0" collapsed="false">
      <c r="A32" s="19"/>
      <c r="B32" s="18"/>
      <c r="C32" s="18"/>
      <c r="D32" s="18"/>
      <c r="E32" s="18"/>
      <c r="F32" s="18"/>
    </row>
    <row r="33" customFormat="false" ht="15.75" hidden="false" customHeight="true" outlineLevel="0" collapsed="false">
      <c r="A33" s="19"/>
      <c r="B33" s="18"/>
      <c r="C33" s="18"/>
      <c r="D33" s="18"/>
      <c r="E33" s="18"/>
      <c r="F33" s="18"/>
    </row>
    <row r="34" customFormat="false" ht="15.75" hidden="false" customHeight="true" outlineLevel="0" collapsed="false">
      <c r="A34" s="19"/>
      <c r="B34" s="18"/>
      <c r="C34" s="18"/>
      <c r="D34" s="18"/>
      <c r="E34" s="18"/>
      <c r="F34" s="18"/>
    </row>
    <row r="35" customFormat="false" ht="15.75" hidden="false" customHeight="true" outlineLevel="0" collapsed="false">
      <c r="A35" s="19"/>
      <c r="B35" s="18"/>
      <c r="C35" s="18"/>
      <c r="D35" s="18"/>
      <c r="E35" s="18"/>
      <c r="F35" s="18"/>
    </row>
    <row r="36" customFormat="false" ht="15.75" hidden="false" customHeight="true" outlineLevel="0" collapsed="false">
      <c r="A36" s="19"/>
      <c r="B36" s="18"/>
      <c r="C36" s="18"/>
      <c r="D36" s="18"/>
      <c r="E36" s="18"/>
      <c r="F36" s="18"/>
    </row>
    <row r="37" customFormat="false" ht="15.75" hidden="false" customHeight="true" outlineLevel="0" collapsed="false">
      <c r="A37" s="19"/>
      <c r="B37" s="18"/>
      <c r="C37" s="18"/>
      <c r="D37" s="18"/>
      <c r="E37" s="18"/>
      <c r="F37" s="18"/>
    </row>
    <row r="38" customFormat="false" ht="15.75" hidden="false" customHeight="true" outlineLevel="0" collapsed="false">
      <c r="A38" s="19"/>
      <c r="B38" s="18"/>
      <c r="C38" s="18"/>
      <c r="D38" s="18"/>
      <c r="E38" s="18"/>
      <c r="F38" s="18"/>
    </row>
    <row r="39" customFormat="false" ht="15.75" hidden="false" customHeight="true" outlineLevel="0" collapsed="false">
      <c r="A39" s="19"/>
      <c r="B39" s="18"/>
      <c r="C39" s="18"/>
      <c r="D39" s="18"/>
      <c r="E39" s="18"/>
      <c r="F39" s="18"/>
    </row>
    <row r="40" customFormat="false" ht="15.75" hidden="false" customHeight="true" outlineLevel="0" collapsed="false">
      <c r="A40" s="19"/>
      <c r="B40" s="18"/>
      <c r="C40" s="18"/>
      <c r="D40" s="18"/>
      <c r="E40" s="18"/>
      <c r="F40" s="18"/>
    </row>
    <row r="41" customFormat="false" ht="15.75" hidden="false" customHeight="true" outlineLevel="0" collapsed="false">
      <c r="A41" s="19"/>
      <c r="B41" s="18"/>
      <c r="C41" s="18"/>
      <c r="D41" s="18"/>
      <c r="E41" s="18"/>
      <c r="F41" s="18"/>
    </row>
    <row r="42" customFormat="false" ht="15.75" hidden="false" customHeight="true" outlineLevel="0" collapsed="false">
      <c r="A42" s="19"/>
      <c r="B42" s="18"/>
      <c r="C42" s="18"/>
      <c r="D42" s="18"/>
      <c r="E42" s="18"/>
      <c r="F42" s="18"/>
    </row>
    <row r="43" customFormat="false" ht="15.75" hidden="false" customHeight="true" outlineLevel="0" collapsed="false">
      <c r="A43" s="19"/>
      <c r="B43" s="18"/>
      <c r="C43" s="18"/>
      <c r="D43" s="18"/>
      <c r="E43" s="18"/>
      <c r="F43" s="18"/>
    </row>
    <row r="44" customFormat="false" ht="15.75" hidden="false" customHeight="true" outlineLevel="0" collapsed="false">
      <c r="A44" s="19"/>
      <c r="B44" s="18"/>
      <c r="C44" s="18"/>
      <c r="D44" s="18"/>
      <c r="E44" s="18"/>
      <c r="F44" s="18"/>
    </row>
    <row r="45" customFormat="false" ht="15.75" hidden="false" customHeight="true" outlineLevel="0" collapsed="false">
      <c r="A45" s="19"/>
      <c r="B45" s="18"/>
      <c r="C45" s="18"/>
      <c r="D45" s="18"/>
      <c r="E45" s="18"/>
      <c r="F45" s="18"/>
    </row>
    <row r="46" customFormat="false" ht="15.75" hidden="false" customHeight="true" outlineLevel="0" collapsed="false">
      <c r="A46" s="19"/>
      <c r="B46" s="18"/>
      <c r="C46" s="18"/>
      <c r="D46" s="18"/>
      <c r="E46" s="18"/>
      <c r="F46" s="18"/>
    </row>
    <row r="47" customFormat="false" ht="15.75" hidden="false" customHeight="true" outlineLevel="0" collapsed="false">
      <c r="A47" s="19"/>
      <c r="B47" s="18"/>
      <c r="C47" s="18"/>
      <c r="D47" s="18"/>
      <c r="E47" s="18"/>
      <c r="F47" s="18"/>
    </row>
    <row r="48" customFormat="false" ht="15.75" hidden="false" customHeight="true" outlineLevel="0" collapsed="false">
      <c r="A48" s="19"/>
      <c r="B48" s="18"/>
      <c r="C48" s="18"/>
      <c r="D48" s="18"/>
      <c r="E48" s="18"/>
      <c r="F48" s="18"/>
    </row>
    <row r="49" customFormat="false" ht="15.75" hidden="false" customHeight="true" outlineLevel="0" collapsed="false">
      <c r="A49" s="19"/>
      <c r="B49" s="18"/>
      <c r="C49" s="18"/>
      <c r="D49" s="18"/>
      <c r="E49" s="18"/>
      <c r="F49" s="18"/>
    </row>
    <row r="50" customFormat="false" ht="15.75" hidden="false" customHeight="true" outlineLevel="0" collapsed="false">
      <c r="A50" s="19"/>
      <c r="B50" s="18"/>
      <c r="C50" s="18"/>
      <c r="D50" s="18"/>
      <c r="E50" s="18"/>
      <c r="F50" s="18"/>
    </row>
    <row r="51" customFormat="false" ht="15.75" hidden="false" customHeight="true" outlineLevel="0" collapsed="false">
      <c r="A51" s="19"/>
      <c r="B51" s="18"/>
      <c r="C51" s="18"/>
      <c r="D51" s="18"/>
      <c r="E51" s="18"/>
      <c r="F51" s="18"/>
    </row>
    <row r="52" customFormat="false" ht="15.75" hidden="false" customHeight="true" outlineLevel="0" collapsed="false">
      <c r="A52" s="19"/>
      <c r="B52" s="18"/>
      <c r="C52" s="18"/>
      <c r="D52" s="18"/>
      <c r="E52" s="18"/>
      <c r="F52" s="18"/>
    </row>
    <row r="53" customFormat="false" ht="15.75" hidden="false" customHeight="true" outlineLevel="0" collapsed="false">
      <c r="A53" s="19"/>
      <c r="B53" s="18"/>
      <c r="C53" s="18"/>
      <c r="D53" s="18"/>
      <c r="E53" s="18"/>
      <c r="F53" s="18"/>
    </row>
    <row r="54" customFormat="false" ht="15.75" hidden="false" customHeight="true" outlineLevel="0" collapsed="false">
      <c r="A54" s="19"/>
      <c r="B54" s="18"/>
      <c r="C54" s="18"/>
      <c r="D54" s="18"/>
      <c r="E54" s="18"/>
      <c r="F54" s="18"/>
    </row>
    <row r="55" customFormat="false" ht="15.75" hidden="false" customHeight="true" outlineLevel="0" collapsed="false">
      <c r="A55" s="19"/>
      <c r="B55" s="18"/>
      <c r="C55" s="18"/>
      <c r="D55" s="18"/>
      <c r="E55" s="18"/>
      <c r="F55" s="18"/>
    </row>
    <row r="56" customFormat="false" ht="15.75" hidden="false" customHeight="true" outlineLevel="0" collapsed="false">
      <c r="A56" s="19"/>
      <c r="B56" s="18"/>
      <c r="C56" s="18"/>
      <c r="D56" s="18"/>
      <c r="E56" s="18"/>
      <c r="F56" s="18"/>
    </row>
    <row r="57" customFormat="false" ht="15.75" hidden="false" customHeight="true" outlineLevel="0" collapsed="false">
      <c r="A57" s="19"/>
      <c r="B57" s="18"/>
      <c r="C57" s="18"/>
      <c r="D57" s="18"/>
      <c r="E57" s="18"/>
      <c r="F57" s="18"/>
    </row>
    <row r="58" customFormat="false" ht="15.75" hidden="false" customHeight="true" outlineLevel="0" collapsed="false">
      <c r="A58" s="19"/>
      <c r="B58" s="18"/>
      <c r="C58" s="18"/>
      <c r="D58" s="18"/>
      <c r="E58" s="18"/>
      <c r="F58" s="18"/>
    </row>
    <row r="59" customFormat="false" ht="15.75" hidden="false" customHeight="true" outlineLevel="0" collapsed="false">
      <c r="A59" s="19"/>
      <c r="B59" s="18"/>
      <c r="C59" s="18"/>
      <c r="D59" s="18"/>
      <c r="E59" s="18"/>
      <c r="F59" s="18"/>
    </row>
    <row r="60" customFormat="false" ht="15.75" hidden="false" customHeight="true" outlineLevel="0" collapsed="false">
      <c r="A60" s="19"/>
      <c r="B60" s="18"/>
      <c r="C60" s="18"/>
      <c r="D60" s="18"/>
      <c r="E60" s="18"/>
      <c r="F60" s="18"/>
    </row>
    <row r="61" customFormat="false" ht="15.75" hidden="false" customHeight="true" outlineLevel="0" collapsed="false">
      <c r="A61" s="19"/>
      <c r="B61" s="18"/>
      <c r="C61" s="18"/>
      <c r="D61" s="18"/>
      <c r="E61" s="18"/>
      <c r="F61" s="18"/>
    </row>
    <row r="62" customFormat="false" ht="15.75" hidden="false" customHeight="true" outlineLevel="0" collapsed="false">
      <c r="A62" s="19"/>
      <c r="B62" s="18"/>
      <c r="C62" s="18"/>
      <c r="D62" s="18"/>
      <c r="E62" s="18"/>
      <c r="F62" s="18"/>
    </row>
    <row r="63" customFormat="false" ht="15.75" hidden="false" customHeight="true" outlineLevel="0" collapsed="false">
      <c r="A63" s="19"/>
      <c r="B63" s="18"/>
      <c r="C63" s="18"/>
      <c r="D63" s="18"/>
      <c r="E63" s="18"/>
      <c r="F63" s="18"/>
    </row>
    <row r="64" customFormat="false" ht="15.75" hidden="false" customHeight="true" outlineLevel="0" collapsed="false">
      <c r="A64" s="19"/>
      <c r="B64" s="18"/>
      <c r="C64" s="18"/>
      <c r="D64" s="18"/>
      <c r="E64" s="18"/>
      <c r="F64" s="18"/>
    </row>
    <row r="65" customFormat="false" ht="15.75" hidden="false" customHeight="true" outlineLevel="0" collapsed="false">
      <c r="A65" s="19"/>
      <c r="B65" s="18"/>
      <c r="C65" s="18"/>
      <c r="D65" s="18"/>
      <c r="E65" s="18"/>
      <c r="F65" s="18"/>
    </row>
    <row r="66" customFormat="false" ht="15.75" hidden="false" customHeight="true" outlineLevel="0" collapsed="false">
      <c r="A66" s="19"/>
      <c r="B66" s="18"/>
      <c r="C66" s="18"/>
      <c r="D66" s="18"/>
      <c r="E66" s="18"/>
      <c r="F66" s="18"/>
    </row>
    <row r="67" customFormat="false" ht="15.75" hidden="false" customHeight="true" outlineLevel="0" collapsed="false">
      <c r="A67" s="19"/>
      <c r="B67" s="18"/>
      <c r="C67" s="18"/>
      <c r="D67" s="18"/>
      <c r="E67" s="18"/>
      <c r="F67" s="18"/>
    </row>
    <row r="68" customFormat="false" ht="15.75" hidden="false" customHeight="true" outlineLevel="0" collapsed="false">
      <c r="A68" s="19"/>
      <c r="B68" s="18"/>
      <c r="C68" s="18"/>
      <c r="D68" s="18"/>
      <c r="E68" s="18"/>
      <c r="F68" s="18"/>
    </row>
    <row r="69" customFormat="false" ht="15.75" hidden="false" customHeight="true" outlineLevel="0" collapsed="false">
      <c r="A69" s="19"/>
      <c r="B69" s="18"/>
      <c r="C69" s="18"/>
      <c r="D69" s="18"/>
      <c r="E69" s="18"/>
      <c r="F69" s="18"/>
    </row>
    <row r="70" customFormat="false" ht="15.75" hidden="false" customHeight="true" outlineLevel="0" collapsed="false">
      <c r="A70" s="19"/>
      <c r="B70" s="18"/>
      <c r="C70" s="18"/>
      <c r="D70" s="18"/>
      <c r="E70" s="18"/>
      <c r="F70" s="18"/>
    </row>
    <row r="71" customFormat="false" ht="15.75" hidden="false" customHeight="true" outlineLevel="0" collapsed="false">
      <c r="A71" s="19"/>
      <c r="B71" s="18"/>
      <c r="C71" s="18"/>
      <c r="D71" s="18"/>
      <c r="E71" s="18"/>
      <c r="F71" s="18"/>
    </row>
    <row r="72" customFormat="false" ht="15.75" hidden="false" customHeight="true" outlineLevel="0" collapsed="false">
      <c r="A72" s="19"/>
      <c r="B72" s="18"/>
      <c r="C72" s="18"/>
      <c r="D72" s="18"/>
      <c r="E72" s="18"/>
      <c r="F72" s="18"/>
    </row>
    <row r="73" customFormat="false" ht="15.75" hidden="false" customHeight="true" outlineLevel="0" collapsed="false">
      <c r="A73" s="19"/>
      <c r="B73" s="18"/>
      <c r="C73" s="18"/>
      <c r="D73" s="18"/>
      <c r="E73" s="18"/>
      <c r="F73" s="18"/>
    </row>
    <row r="74" customFormat="false" ht="15.75" hidden="false" customHeight="true" outlineLevel="0" collapsed="false">
      <c r="A74" s="19"/>
      <c r="B74" s="18"/>
      <c r="C74" s="18"/>
      <c r="D74" s="18"/>
      <c r="E74" s="18"/>
      <c r="F74" s="18"/>
    </row>
    <row r="75" customFormat="false" ht="15.75" hidden="false" customHeight="true" outlineLevel="0" collapsed="false">
      <c r="A75" s="19"/>
      <c r="B75" s="18"/>
      <c r="C75" s="18"/>
      <c r="D75" s="18"/>
      <c r="E75" s="18"/>
      <c r="F75" s="18"/>
    </row>
    <row r="76" customFormat="false" ht="15.75" hidden="false" customHeight="true" outlineLevel="0" collapsed="false">
      <c r="A76" s="19"/>
      <c r="B76" s="18"/>
      <c r="C76" s="18"/>
      <c r="D76" s="18"/>
      <c r="E76" s="18"/>
      <c r="F76" s="18"/>
    </row>
    <row r="77" customFormat="false" ht="15.75" hidden="false" customHeight="true" outlineLevel="0" collapsed="false">
      <c r="A77" s="19"/>
      <c r="B77" s="18"/>
      <c r="C77" s="18"/>
      <c r="D77" s="18"/>
      <c r="E77" s="18"/>
      <c r="F77" s="18"/>
    </row>
    <row r="78" customFormat="false" ht="15.75" hidden="false" customHeight="true" outlineLevel="0" collapsed="false">
      <c r="A78" s="19"/>
      <c r="B78" s="18"/>
      <c r="C78" s="18"/>
      <c r="D78" s="18"/>
      <c r="E78" s="18"/>
      <c r="F78" s="18"/>
    </row>
    <row r="79" customFormat="false" ht="15.75" hidden="false" customHeight="true" outlineLevel="0" collapsed="false">
      <c r="A79" s="19"/>
      <c r="B79" s="18"/>
      <c r="C79" s="18"/>
      <c r="D79" s="18"/>
      <c r="E79" s="18"/>
      <c r="F79" s="18"/>
    </row>
    <row r="80" customFormat="false" ht="15.75" hidden="false" customHeight="true" outlineLevel="0" collapsed="false">
      <c r="A80" s="19"/>
      <c r="B80" s="18"/>
      <c r="C80" s="18"/>
      <c r="D80" s="18"/>
      <c r="E80" s="18"/>
      <c r="F80" s="18"/>
    </row>
    <row r="81" customFormat="false" ht="15.75" hidden="false" customHeight="true" outlineLevel="0" collapsed="false">
      <c r="A81" s="19"/>
      <c r="B81" s="18"/>
      <c r="C81" s="18"/>
      <c r="D81" s="18"/>
      <c r="E81" s="18"/>
      <c r="F81" s="18"/>
    </row>
    <row r="82" customFormat="false" ht="15.75" hidden="false" customHeight="true" outlineLevel="0" collapsed="false">
      <c r="A82" s="19"/>
      <c r="B82" s="18"/>
      <c r="C82" s="18"/>
      <c r="D82" s="18"/>
      <c r="E82" s="18"/>
      <c r="F82" s="18"/>
    </row>
    <row r="83" customFormat="false" ht="15.75" hidden="false" customHeight="true" outlineLevel="0" collapsed="false">
      <c r="A83" s="19"/>
      <c r="B83" s="18"/>
      <c r="C83" s="18"/>
      <c r="D83" s="18"/>
      <c r="E83" s="18"/>
      <c r="F83" s="18"/>
    </row>
    <row r="84" customFormat="false" ht="15.75" hidden="false" customHeight="true" outlineLevel="0" collapsed="false">
      <c r="A84" s="19"/>
      <c r="B84" s="18"/>
      <c r="C84" s="18"/>
      <c r="D84" s="18"/>
      <c r="E84" s="18"/>
      <c r="F84" s="18"/>
    </row>
    <row r="85" customFormat="false" ht="15.75" hidden="false" customHeight="true" outlineLevel="0" collapsed="false">
      <c r="A85" s="19"/>
      <c r="B85" s="18"/>
      <c r="C85" s="18"/>
      <c r="D85" s="18"/>
      <c r="E85" s="18"/>
      <c r="F85" s="18"/>
    </row>
    <row r="86" customFormat="false" ht="15.75" hidden="false" customHeight="true" outlineLevel="0" collapsed="false">
      <c r="A86" s="19"/>
      <c r="B86" s="18"/>
      <c r="C86" s="18"/>
      <c r="D86" s="18"/>
      <c r="E86" s="18"/>
      <c r="F86" s="18"/>
    </row>
    <row r="87" customFormat="false" ht="15.75" hidden="false" customHeight="true" outlineLevel="0" collapsed="false">
      <c r="A87" s="19"/>
      <c r="B87" s="18"/>
      <c r="C87" s="18"/>
      <c r="D87" s="18"/>
      <c r="E87" s="18"/>
      <c r="F87" s="18"/>
    </row>
    <row r="88" customFormat="false" ht="15.75" hidden="false" customHeight="true" outlineLevel="0" collapsed="false">
      <c r="A88" s="19"/>
      <c r="B88" s="18"/>
      <c r="C88" s="18"/>
      <c r="D88" s="18"/>
      <c r="E88" s="18"/>
      <c r="F88" s="18"/>
    </row>
    <row r="89" customFormat="false" ht="15.75" hidden="false" customHeight="true" outlineLevel="0" collapsed="false">
      <c r="A89" s="19"/>
      <c r="B89" s="18"/>
      <c r="C89" s="18"/>
      <c r="D89" s="18"/>
      <c r="E89" s="18"/>
      <c r="F89" s="18"/>
    </row>
    <row r="90" customFormat="false" ht="15.75" hidden="false" customHeight="true" outlineLevel="0" collapsed="false">
      <c r="A90" s="19"/>
      <c r="B90" s="18"/>
      <c r="C90" s="18"/>
      <c r="D90" s="18"/>
      <c r="E90" s="18"/>
      <c r="F90" s="18"/>
    </row>
    <row r="91" customFormat="false" ht="15.75" hidden="false" customHeight="true" outlineLevel="0" collapsed="false">
      <c r="A91" s="19"/>
      <c r="B91" s="18"/>
      <c r="C91" s="18"/>
      <c r="D91" s="18"/>
      <c r="E91" s="18"/>
      <c r="F91" s="18"/>
    </row>
    <row r="92" customFormat="false" ht="15.75" hidden="false" customHeight="true" outlineLevel="0" collapsed="false">
      <c r="A92" s="19"/>
      <c r="B92" s="18"/>
      <c r="C92" s="18"/>
      <c r="D92" s="18"/>
      <c r="E92" s="18"/>
      <c r="F92" s="18"/>
    </row>
    <row r="93" customFormat="false" ht="15.75" hidden="false" customHeight="true" outlineLevel="0" collapsed="false">
      <c r="A93" s="19"/>
      <c r="B93" s="18"/>
      <c r="C93" s="18"/>
      <c r="D93" s="18"/>
      <c r="E93" s="18"/>
      <c r="F93" s="18"/>
    </row>
    <row r="94" customFormat="false" ht="15.75" hidden="false" customHeight="true" outlineLevel="0" collapsed="false">
      <c r="A94" s="19"/>
      <c r="B94" s="18"/>
      <c r="C94" s="18"/>
      <c r="D94" s="18"/>
      <c r="E94" s="18"/>
      <c r="F94" s="18"/>
    </row>
    <row r="95" customFormat="false" ht="15.75" hidden="false" customHeight="true" outlineLevel="0" collapsed="false">
      <c r="A95" s="19"/>
      <c r="B95" s="18"/>
      <c r="C95" s="18"/>
      <c r="D95" s="18"/>
      <c r="E95" s="18"/>
      <c r="F95" s="18"/>
    </row>
    <row r="96" customFormat="false" ht="15.75" hidden="false" customHeight="true" outlineLevel="0" collapsed="false">
      <c r="A96" s="19"/>
      <c r="B96" s="18"/>
      <c r="C96" s="18"/>
      <c r="D96" s="18"/>
      <c r="E96" s="18"/>
      <c r="F96" s="18"/>
    </row>
    <row r="97" customFormat="false" ht="15.75" hidden="false" customHeight="true" outlineLevel="0" collapsed="false">
      <c r="A97" s="19"/>
      <c r="B97" s="18"/>
      <c r="C97" s="18"/>
      <c r="D97" s="18"/>
      <c r="E97" s="18"/>
      <c r="F97" s="18"/>
    </row>
    <row r="98" customFormat="false" ht="15.75" hidden="false" customHeight="true" outlineLevel="0" collapsed="false">
      <c r="A98" s="19"/>
      <c r="B98" s="18"/>
      <c r="C98" s="18"/>
      <c r="D98" s="18"/>
      <c r="E98" s="18"/>
      <c r="F98" s="18"/>
    </row>
    <row r="99" customFormat="false" ht="15.75" hidden="false" customHeight="true" outlineLevel="0" collapsed="false">
      <c r="A99" s="19"/>
      <c r="B99" s="18"/>
      <c r="C99" s="18"/>
      <c r="D99" s="18"/>
      <c r="E99" s="18"/>
      <c r="F99" s="18"/>
    </row>
    <row r="100" customFormat="false" ht="15.75" hidden="false" customHeight="true" outlineLevel="0" collapsed="false">
      <c r="A100" s="19"/>
      <c r="B100" s="18"/>
      <c r="C100" s="18"/>
      <c r="D100" s="18"/>
      <c r="E100" s="18"/>
      <c r="F100" s="18"/>
    </row>
    <row r="101" customFormat="false" ht="15.75" hidden="false" customHeight="true" outlineLevel="0" collapsed="false">
      <c r="A101" s="19"/>
      <c r="B101" s="18"/>
      <c r="C101" s="18"/>
      <c r="D101" s="18"/>
      <c r="E101" s="18"/>
      <c r="F101" s="18"/>
    </row>
    <row r="102" customFormat="false" ht="15.75" hidden="false" customHeight="true" outlineLevel="0" collapsed="false">
      <c r="A102" s="19"/>
      <c r="B102" s="18"/>
      <c r="C102" s="18"/>
      <c r="D102" s="18"/>
      <c r="E102" s="18"/>
      <c r="F102" s="18"/>
    </row>
    <row r="103" customFormat="false" ht="15.75" hidden="false" customHeight="true" outlineLevel="0" collapsed="false">
      <c r="A103" s="19"/>
      <c r="B103" s="18"/>
      <c r="C103" s="18"/>
      <c r="D103" s="18"/>
      <c r="E103" s="18"/>
      <c r="F103" s="18"/>
    </row>
    <row r="104" customFormat="false" ht="15.75" hidden="false" customHeight="true" outlineLevel="0" collapsed="false">
      <c r="A104" s="19"/>
      <c r="B104" s="18"/>
      <c r="C104" s="18"/>
      <c r="D104" s="18"/>
      <c r="E104" s="18"/>
      <c r="F104" s="18"/>
    </row>
    <row r="105" customFormat="false" ht="15.75" hidden="false" customHeight="true" outlineLevel="0" collapsed="false">
      <c r="A105" s="19"/>
      <c r="B105" s="18"/>
      <c r="C105" s="18"/>
      <c r="D105" s="18"/>
      <c r="E105" s="18"/>
      <c r="F105" s="18"/>
    </row>
    <row r="106" customFormat="false" ht="15.75" hidden="false" customHeight="true" outlineLevel="0" collapsed="false">
      <c r="A106" s="19"/>
      <c r="B106" s="18"/>
      <c r="C106" s="18"/>
      <c r="D106" s="18"/>
      <c r="E106" s="18"/>
      <c r="F106" s="18"/>
    </row>
    <row r="107" customFormat="false" ht="15.75" hidden="false" customHeight="true" outlineLevel="0" collapsed="false">
      <c r="A107" s="19"/>
      <c r="B107" s="18"/>
      <c r="C107" s="18"/>
      <c r="D107" s="18"/>
      <c r="E107" s="18"/>
      <c r="F107" s="18"/>
    </row>
    <row r="108" customFormat="false" ht="15.75" hidden="false" customHeight="true" outlineLevel="0" collapsed="false">
      <c r="A108" s="19"/>
      <c r="B108" s="18"/>
      <c r="C108" s="18"/>
      <c r="D108" s="18"/>
      <c r="E108" s="18"/>
      <c r="F108" s="18"/>
    </row>
    <row r="109" customFormat="false" ht="15.75" hidden="false" customHeight="true" outlineLevel="0" collapsed="false">
      <c r="A109" s="19"/>
      <c r="B109" s="18"/>
      <c r="C109" s="18"/>
      <c r="D109" s="18"/>
      <c r="E109" s="18"/>
      <c r="F109" s="18"/>
    </row>
    <row r="110" customFormat="false" ht="15.75" hidden="false" customHeight="true" outlineLevel="0" collapsed="false">
      <c r="A110" s="19"/>
      <c r="B110" s="18"/>
      <c r="C110" s="18"/>
      <c r="D110" s="18"/>
      <c r="E110" s="18"/>
      <c r="F110" s="18"/>
    </row>
    <row r="111" customFormat="false" ht="15.75" hidden="false" customHeight="true" outlineLevel="0" collapsed="false">
      <c r="A111" s="19"/>
      <c r="B111" s="18"/>
      <c r="C111" s="18"/>
      <c r="D111" s="18"/>
      <c r="E111" s="18"/>
      <c r="F111" s="18"/>
    </row>
    <row r="112" customFormat="false" ht="15.75" hidden="false" customHeight="true" outlineLevel="0" collapsed="false">
      <c r="A112" s="19"/>
      <c r="B112" s="18"/>
      <c r="C112" s="18"/>
      <c r="D112" s="18"/>
      <c r="E112" s="18"/>
      <c r="F112" s="18"/>
    </row>
    <row r="113" customFormat="false" ht="15.75" hidden="false" customHeight="true" outlineLevel="0" collapsed="false">
      <c r="A113" s="19"/>
      <c r="B113" s="18"/>
      <c r="C113" s="18"/>
      <c r="D113" s="18"/>
      <c r="E113" s="18"/>
      <c r="F113" s="18"/>
    </row>
    <row r="114" customFormat="false" ht="15.75" hidden="false" customHeight="true" outlineLevel="0" collapsed="false">
      <c r="A114" s="19"/>
      <c r="B114" s="18"/>
      <c r="C114" s="18"/>
      <c r="D114" s="18"/>
      <c r="E114" s="18"/>
      <c r="F114" s="18"/>
    </row>
    <row r="115" customFormat="false" ht="15.75" hidden="false" customHeight="true" outlineLevel="0" collapsed="false">
      <c r="A115" s="19"/>
      <c r="B115" s="18"/>
      <c r="C115" s="18"/>
      <c r="D115" s="18"/>
      <c r="E115" s="18"/>
      <c r="F115" s="18"/>
    </row>
    <row r="116" customFormat="false" ht="15.75" hidden="false" customHeight="true" outlineLevel="0" collapsed="false">
      <c r="A116" s="19"/>
      <c r="B116" s="18"/>
      <c r="C116" s="18"/>
      <c r="D116" s="18"/>
      <c r="E116" s="18"/>
      <c r="F116" s="18"/>
    </row>
    <row r="117" customFormat="false" ht="15.75" hidden="false" customHeight="true" outlineLevel="0" collapsed="false">
      <c r="A117" s="19"/>
      <c r="B117" s="18"/>
      <c r="C117" s="18"/>
      <c r="D117" s="18"/>
      <c r="E117" s="18"/>
      <c r="F117" s="18"/>
    </row>
    <row r="118" customFormat="false" ht="15.75" hidden="false" customHeight="true" outlineLevel="0" collapsed="false">
      <c r="A118" s="19"/>
      <c r="B118" s="18"/>
      <c r="C118" s="18"/>
      <c r="D118" s="18"/>
      <c r="E118" s="18"/>
      <c r="F118" s="18"/>
    </row>
    <row r="119" customFormat="false" ht="15.75" hidden="false" customHeight="true" outlineLevel="0" collapsed="false">
      <c r="A119" s="19"/>
      <c r="B119" s="18"/>
      <c r="C119" s="18"/>
      <c r="D119" s="18"/>
      <c r="E119" s="18"/>
      <c r="F119" s="18"/>
    </row>
    <row r="120" customFormat="false" ht="15.75" hidden="false" customHeight="true" outlineLevel="0" collapsed="false">
      <c r="A120" s="19"/>
      <c r="B120" s="18"/>
      <c r="C120" s="18"/>
      <c r="D120" s="18"/>
      <c r="E120" s="18"/>
      <c r="F120" s="18"/>
    </row>
    <row r="121" customFormat="false" ht="15.75" hidden="false" customHeight="true" outlineLevel="0" collapsed="false">
      <c r="A121" s="19"/>
      <c r="B121" s="18"/>
      <c r="C121" s="18"/>
      <c r="D121" s="18"/>
      <c r="E121" s="18"/>
      <c r="F121" s="18"/>
    </row>
    <row r="122" customFormat="false" ht="15.75" hidden="false" customHeight="true" outlineLevel="0" collapsed="false">
      <c r="A122" s="19"/>
      <c r="B122" s="18"/>
      <c r="C122" s="18"/>
      <c r="D122" s="18"/>
      <c r="E122" s="18"/>
      <c r="F122" s="18"/>
    </row>
    <row r="123" customFormat="false" ht="15.75" hidden="false" customHeight="true" outlineLevel="0" collapsed="false">
      <c r="A123" s="19"/>
      <c r="B123" s="18"/>
      <c r="C123" s="18"/>
      <c r="D123" s="18"/>
      <c r="E123" s="18"/>
      <c r="F123" s="18"/>
    </row>
    <row r="124" customFormat="false" ht="15.75" hidden="false" customHeight="true" outlineLevel="0" collapsed="false">
      <c r="A124" s="19"/>
      <c r="B124" s="18"/>
      <c r="C124" s="18"/>
      <c r="D124" s="18"/>
      <c r="E124" s="18"/>
      <c r="F124" s="18"/>
    </row>
    <row r="125" customFormat="false" ht="15.75" hidden="false" customHeight="true" outlineLevel="0" collapsed="false">
      <c r="A125" s="19"/>
      <c r="B125" s="18"/>
      <c r="C125" s="18"/>
      <c r="D125" s="18"/>
      <c r="E125" s="18"/>
      <c r="F125" s="18"/>
    </row>
    <row r="126" customFormat="false" ht="15.75" hidden="false" customHeight="true" outlineLevel="0" collapsed="false">
      <c r="A126" s="19"/>
      <c r="B126" s="18"/>
      <c r="C126" s="18"/>
      <c r="D126" s="18"/>
      <c r="E126" s="18"/>
      <c r="F126" s="18"/>
    </row>
    <row r="127" customFormat="false" ht="15.75" hidden="false" customHeight="true" outlineLevel="0" collapsed="false">
      <c r="A127" s="19"/>
      <c r="B127" s="18"/>
      <c r="C127" s="18"/>
      <c r="D127" s="18"/>
      <c r="E127" s="18"/>
      <c r="F127" s="18"/>
    </row>
    <row r="128" customFormat="false" ht="15.75" hidden="false" customHeight="true" outlineLevel="0" collapsed="false">
      <c r="A128" s="19"/>
      <c r="B128" s="18"/>
      <c r="C128" s="18"/>
      <c r="D128" s="18"/>
      <c r="E128" s="18"/>
      <c r="F128" s="18"/>
    </row>
    <row r="129" customFormat="false" ht="15.75" hidden="false" customHeight="true" outlineLevel="0" collapsed="false">
      <c r="A129" s="19"/>
      <c r="B129" s="18"/>
      <c r="C129" s="18"/>
      <c r="D129" s="18"/>
      <c r="E129" s="18"/>
      <c r="F129" s="18"/>
    </row>
    <row r="130" customFormat="false" ht="15.75" hidden="false" customHeight="true" outlineLevel="0" collapsed="false">
      <c r="A130" s="19"/>
      <c r="B130" s="18"/>
      <c r="C130" s="18"/>
      <c r="D130" s="18"/>
      <c r="E130" s="18"/>
      <c r="F130" s="18"/>
    </row>
    <row r="131" customFormat="false" ht="15.75" hidden="false" customHeight="true" outlineLevel="0" collapsed="false">
      <c r="A131" s="19"/>
      <c r="B131" s="18"/>
      <c r="C131" s="18"/>
      <c r="D131" s="18"/>
      <c r="E131" s="18"/>
      <c r="F131" s="18"/>
    </row>
    <row r="132" customFormat="false" ht="15.75" hidden="false" customHeight="true" outlineLevel="0" collapsed="false">
      <c r="A132" s="19"/>
      <c r="B132" s="18"/>
      <c r="C132" s="18"/>
      <c r="D132" s="18"/>
      <c r="E132" s="18"/>
      <c r="F132" s="18"/>
    </row>
    <row r="133" customFormat="false" ht="15.75" hidden="false" customHeight="true" outlineLevel="0" collapsed="false">
      <c r="A133" s="19"/>
      <c r="B133" s="18"/>
      <c r="C133" s="18"/>
      <c r="D133" s="18"/>
      <c r="E133" s="18"/>
      <c r="F133" s="18"/>
    </row>
    <row r="134" customFormat="false" ht="15.75" hidden="false" customHeight="true" outlineLevel="0" collapsed="false">
      <c r="A134" s="19"/>
      <c r="B134" s="18"/>
      <c r="C134" s="18"/>
      <c r="D134" s="18"/>
      <c r="E134" s="18"/>
      <c r="F134" s="18"/>
    </row>
    <row r="135" customFormat="false" ht="15.75" hidden="false" customHeight="true" outlineLevel="0" collapsed="false">
      <c r="A135" s="19"/>
      <c r="B135" s="18"/>
      <c r="C135" s="18"/>
      <c r="D135" s="18"/>
      <c r="E135" s="18"/>
      <c r="F135" s="18"/>
    </row>
    <row r="136" customFormat="false" ht="15.75" hidden="false" customHeight="true" outlineLevel="0" collapsed="false">
      <c r="A136" s="19"/>
      <c r="B136" s="18"/>
      <c r="C136" s="18"/>
      <c r="D136" s="18"/>
      <c r="E136" s="18"/>
      <c r="F136" s="18"/>
    </row>
    <row r="137" customFormat="false" ht="15.75" hidden="false" customHeight="true" outlineLevel="0" collapsed="false">
      <c r="A137" s="19"/>
      <c r="B137" s="18"/>
      <c r="C137" s="18"/>
      <c r="D137" s="18"/>
      <c r="E137" s="18"/>
      <c r="F137" s="18"/>
    </row>
    <row r="138" customFormat="false" ht="15.75" hidden="false" customHeight="true" outlineLevel="0" collapsed="false">
      <c r="A138" s="19"/>
      <c r="B138" s="18"/>
      <c r="C138" s="18"/>
      <c r="D138" s="18"/>
      <c r="E138" s="18"/>
      <c r="F138" s="18"/>
    </row>
    <row r="139" customFormat="false" ht="15.75" hidden="false" customHeight="true" outlineLevel="0" collapsed="false">
      <c r="A139" s="19"/>
      <c r="B139" s="18"/>
      <c r="C139" s="18"/>
      <c r="D139" s="18"/>
      <c r="E139" s="18"/>
      <c r="F139" s="18"/>
    </row>
    <row r="140" customFormat="false" ht="15.75" hidden="false" customHeight="true" outlineLevel="0" collapsed="false">
      <c r="A140" s="19"/>
      <c r="B140" s="18"/>
      <c r="C140" s="18"/>
      <c r="D140" s="18"/>
      <c r="E140" s="18"/>
      <c r="F140" s="18"/>
    </row>
    <row r="141" customFormat="false" ht="15.75" hidden="false" customHeight="true" outlineLevel="0" collapsed="false">
      <c r="A141" s="19"/>
      <c r="B141" s="18"/>
      <c r="C141" s="18"/>
      <c r="D141" s="18"/>
      <c r="E141" s="18"/>
      <c r="F141" s="18"/>
    </row>
    <row r="142" customFormat="false" ht="15.75" hidden="false" customHeight="true" outlineLevel="0" collapsed="false">
      <c r="A142" s="19"/>
      <c r="B142" s="18"/>
      <c r="C142" s="18"/>
      <c r="D142" s="18"/>
      <c r="E142" s="18"/>
      <c r="F142" s="18"/>
    </row>
    <row r="143" customFormat="false" ht="15.75" hidden="false" customHeight="true" outlineLevel="0" collapsed="false">
      <c r="A143" s="19"/>
      <c r="B143" s="18"/>
      <c r="C143" s="18"/>
      <c r="D143" s="18"/>
      <c r="E143" s="18"/>
      <c r="F143" s="18"/>
    </row>
    <row r="144" customFormat="false" ht="15.75" hidden="false" customHeight="true" outlineLevel="0" collapsed="false">
      <c r="A144" s="19"/>
      <c r="B144" s="18"/>
      <c r="C144" s="18"/>
      <c r="D144" s="18"/>
      <c r="E144" s="18"/>
      <c r="F144" s="18"/>
    </row>
    <row r="145" customFormat="false" ht="15.75" hidden="false" customHeight="true" outlineLevel="0" collapsed="false">
      <c r="A145" s="19"/>
      <c r="B145" s="18"/>
      <c r="C145" s="18"/>
      <c r="D145" s="18"/>
      <c r="E145" s="18"/>
      <c r="F145" s="18"/>
    </row>
    <row r="146" customFormat="false" ht="15.75" hidden="false" customHeight="true" outlineLevel="0" collapsed="false">
      <c r="A146" s="19"/>
      <c r="B146" s="18"/>
      <c r="C146" s="18"/>
      <c r="D146" s="18"/>
      <c r="E146" s="18"/>
      <c r="F146" s="18"/>
    </row>
    <row r="147" customFormat="false" ht="15.75" hidden="false" customHeight="true" outlineLevel="0" collapsed="false">
      <c r="A147" s="19"/>
      <c r="B147" s="18"/>
      <c r="C147" s="18"/>
      <c r="D147" s="18"/>
      <c r="E147" s="18"/>
      <c r="F147" s="18"/>
    </row>
    <row r="148" customFormat="false" ht="15.75" hidden="false" customHeight="true" outlineLevel="0" collapsed="false">
      <c r="A148" s="19"/>
      <c r="B148" s="18"/>
      <c r="C148" s="18"/>
      <c r="D148" s="18"/>
      <c r="E148" s="18"/>
      <c r="F148" s="18"/>
    </row>
    <row r="149" customFormat="false" ht="15.75" hidden="false" customHeight="true" outlineLevel="0" collapsed="false">
      <c r="A149" s="19"/>
      <c r="B149" s="18"/>
      <c r="C149" s="18"/>
      <c r="D149" s="18"/>
      <c r="E149" s="18"/>
      <c r="F149" s="18"/>
    </row>
    <row r="150" customFormat="false" ht="15.75" hidden="false" customHeight="true" outlineLevel="0" collapsed="false">
      <c r="A150" s="19"/>
      <c r="B150" s="18"/>
      <c r="C150" s="18"/>
      <c r="D150" s="18"/>
      <c r="E150" s="18"/>
      <c r="F150" s="18"/>
    </row>
    <row r="151" customFormat="false" ht="15.75" hidden="false" customHeight="true" outlineLevel="0" collapsed="false">
      <c r="A151" s="19"/>
      <c r="B151" s="18"/>
      <c r="C151" s="18"/>
      <c r="D151" s="18"/>
      <c r="E151" s="18"/>
      <c r="F151" s="18"/>
    </row>
    <row r="152" customFormat="false" ht="15.75" hidden="false" customHeight="true" outlineLevel="0" collapsed="false">
      <c r="A152" s="19"/>
      <c r="B152" s="18"/>
      <c r="C152" s="18"/>
      <c r="D152" s="18"/>
      <c r="E152" s="18"/>
      <c r="F152" s="18"/>
    </row>
    <row r="153" customFormat="false" ht="15.75" hidden="false" customHeight="true" outlineLevel="0" collapsed="false">
      <c r="A153" s="19"/>
      <c r="B153" s="18"/>
      <c r="C153" s="18"/>
      <c r="D153" s="18"/>
      <c r="E153" s="18"/>
      <c r="F153" s="18"/>
    </row>
    <row r="154" customFormat="false" ht="15.75" hidden="false" customHeight="true" outlineLevel="0" collapsed="false">
      <c r="A154" s="19"/>
      <c r="B154" s="18"/>
      <c r="C154" s="18"/>
      <c r="D154" s="18"/>
      <c r="E154" s="18"/>
      <c r="F154" s="18"/>
    </row>
    <row r="155" customFormat="false" ht="15.75" hidden="false" customHeight="true" outlineLevel="0" collapsed="false">
      <c r="A155" s="19"/>
      <c r="B155" s="18"/>
      <c r="C155" s="18"/>
      <c r="D155" s="18"/>
      <c r="E155" s="18"/>
      <c r="F155" s="18"/>
    </row>
    <row r="156" customFormat="false" ht="15.75" hidden="false" customHeight="true" outlineLevel="0" collapsed="false">
      <c r="A156" s="19"/>
      <c r="B156" s="18"/>
      <c r="C156" s="18"/>
      <c r="D156" s="18"/>
      <c r="E156" s="18"/>
      <c r="F156" s="18"/>
    </row>
    <row r="157" customFormat="false" ht="15.75" hidden="false" customHeight="true" outlineLevel="0" collapsed="false">
      <c r="A157" s="19"/>
      <c r="B157" s="18"/>
      <c r="C157" s="18"/>
      <c r="D157" s="18"/>
      <c r="E157" s="18"/>
      <c r="F157" s="18"/>
    </row>
    <row r="158" customFormat="false" ht="15.75" hidden="false" customHeight="true" outlineLevel="0" collapsed="false">
      <c r="A158" s="19"/>
      <c r="B158" s="18"/>
      <c r="C158" s="18"/>
      <c r="D158" s="18"/>
      <c r="E158" s="18"/>
      <c r="F158" s="18"/>
    </row>
    <row r="159" customFormat="false" ht="15.75" hidden="false" customHeight="true" outlineLevel="0" collapsed="false">
      <c r="A159" s="19"/>
      <c r="B159" s="18"/>
      <c r="C159" s="18"/>
      <c r="D159" s="18"/>
      <c r="E159" s="18"/>
      <c r="F159" s="18"/>
    </row>
    <row r="160" customFormat="false" ht="15.75" hidden="false" customHeight="true" outlineLevel="0" collapsed="false">
      <c r="A160" s="19"/>
      <c r="B160" s="18"/>
      <c r="C160" s="18"/>
      <c r="D160" s="18"/>
      <c r="E160" s="18"/>
      <c r="F160" s="18"/>
    </row>
    <row r="161" customFormat="false" ht="15.75" hidden="false" customHeight="true" outlineLevel="0" collapsed="false">
      <c r="A161" s="19"/>
      <c r="B161" s="18"/>
      <c r="C161" s="18"/>
      <c r="D161" s="18"/>
      <c r="E161" s="18"/>
      <c r="F161" s="18"/>
    </row>
    <row r="162" customFormat="false" ht="15.75" hidden="false" customHeight="true" outlineLevel="0" collapsed="false">
      <c r="A162" s="19"/>
      <c r="B162" s="18"/>
      <c r="C162" s="18"/>
      <c r="D162" s="18"/>
      <c r="E162" s="18"/>
      <c r="F162" s="18"/>
    </row>
    <row r="163" customFormat="false" ht="15.75" hidden="false" customHeight="true" outlineLevel="0" collapsed="false">
      <c r="A163" s="19"/>
      <c r="B163" s="18"/>
      <c r="C163" s="18"/>
      <c r="D163" s="18"/>
      <c r="E163" s="18"/>
      <c r="F163" s="18"/>
    </row>
    <row r="164" customFormat="false" ht="15.75" hidden="false" customHeight="true" outlineLevel="0" collapsed="false">
      <c r="A164" s="19"/>
      <c r="B164" s="18"/>
      <c r="C164" s="18"/>
      <c r="D164" s="18"/>
      <c r="E164" s="18"/>
      <c r="F164" s="18"/>
    </row>
    <row r="165" customFormat="false" ht="15.75" hidden="false" customHeight="true" outlineLevel="0" collapsed="false">
      <c r="A165" s="19"/>
      <c r="B165" s="18"/>
      <c r="C165" s="18"/>
      <c r="D165" s="18"/>
      <c r="E165" s="18"/>
      <c r="F165" s="18"/>
    </row>
    <row r="166" customFormat="false" ht="15.75" hidden="false" customHeight="true" outlineLevel="0" collapsed="false">
      <c r="A166" s="19"/>
      <c r="B166" s="18"/>
      <c r="C166" s="18"/>
      <c r="D166" s="18"/>
      <c r="E166" s="18"/>
      <c r="F166" s="18"/>
    </row>
    <row r="167" customFormat="false" ht="15.75" hidden="false" customHeight="true" outlineLevel="0" collapsed="false">
      <c r="A167" s="19"/>
      <c r="B167" s="18"/>
      <c r="C167" s="18"/>
      <c r="D167" s="18"/>
      <c r="E167" s="18"/>
      <c r="F167" s="18"/>
    </row>
    <row r="168" customFormat="false" ht="15.75" hidden="false" customHeight="true" outlineLevel="0" collapsed="false">
      <c r="A168" s="19"/>
      <c r="B168" s="18"/>
      <c r="C168" s="18"/>
      <c r="D168" s="18"/>
      <c r="E168" s="18"/>
      <c r="F168" s="18"/>
    </row>
    <row r="169" customFormat="false" ht="15.75" hidden="false" customHeight="true" outlineLevel="0" collapsed="false">
      <c r="A169" s="19"/>
      <c r="B169" s="18"/>
      <c r="C169" s="18"/>
      <c r="D169" s="18"/>
      <c r="E169" s="18"/>
      <c r="F169" s="18"/>
    </row>
    <row r="170" customFormat="false" ht="15.75" hidden="false" customHeight="true" outlineLevel="0" collapsed="false">
      <c r="A170" s="19"/>
      <c r="B170" s="18"/>
      <c r="C170" s="18"/>
      <c r="D170" s="18"/>
      <c r="E170" s="18"/>
      <c r="F170" s="18"/>
    </row>
    <row r="171" customFormat="false" ht="15.75" hidden="false" customHeight="true" outlineLevel="0" collapsed="false">
      <c r="A171" s="19"/>
      <c r="B171" s="18"/>
      <c r="C171" s="18"/>
      <c r="D171" s="18"/>
      <c r="E171" s="18"/>
      <c r="F171" s="18"/>
    </row>
    <row r="172" customFormat="false" ht="15.75" hidden="false" customHeight="true" outlineLevel="0" collapsed="false">
      <c r="A172" s="19"/>
      <c r="B172" s="18"/>
      <c r="C172" s="18"/>
      <c r="D172" s="18"/>
      <c r="E172" s="18"/>
      <c r="F172" s="18"/>
    </row>
    <row r="173" customFormat="false" ht="15.75" hidden="false" customHeight="true" outlineLevel="0" collapsed="false">
      <c r="A173" s="19"/>
      <c r="B173" s="18"/>
      <c r="C173" s="18"/>
      <c r="D173" s="18"/>
      <c r="E173" s="18"/>
      <c r="F173" s="18"/>
    </row>
    <row r="174" customFormat="false" ht="15.75" hidden="false" customHeight="true" outlineLevel="0" collapsed="false">
      <c r="A174" s="19"/>
      <c r="B174" s="18"/>
      <c r="C174" s="18"/>
      <c r="D174" s="18"/>
      <c r="E174" s="18"/>
      <c r="F174" s="18"/>
    </row>
    <row r="175" customFormat="false" ht="15.75" hidden="false" customHeight="true" outlineLevel="0" collapsed="false">
      <c r="A175" s="19"/>
      <c r="B175" s="18"/>
      <c r="C175" s="18"/>
      <c r="D175" s="18"/>
      <c r="E175" s="18"/>
      <c r="F175" s="18"/>
    </row>
    <row r="176" customFormat="false" ht="15.75" hidden="false" customHeight="true" outlineLevel="0" collapsed="false">
      <c r="A176" s="19"/>
      <c r="B176" s="18"/>
      <c r="C176" s="18"/>
      <c r="D176" s="18"/>
      <c r="E176" s="18"/>
      <c r="F176" s="18"/>
    </row>
    <row r="177" customFormat="false" ht="15.75" hidden="false" customHeight="true" outlineLevel="0" collapsed="false">
      <c r="A177" s="19"/>
      <c r="B177" s="18"/>
      <c r="C177" s="18"/>
      <c r="D177" s="18"/>
      <c r="E177" s="18"/>
      <c r="F177" s="18"/>
    </row>
    <row r="178" customFormat="false" ht="15.75" hidden="false" customHeight="true" outlineLevel="0" collapsed="false">
      <c r="A178" s="19"/>
      <c r="B178" s="18"/>
      <c r="C178" s="18"/>
      <c r="D178" s="18"/>
      <c r="E178" s="18"/>
      <c r="F178" s="18"/>
    </row>
    <row r="179" customFormat="false" ht="15.75" hidden="false" customHeight="true" outlineLevel="0" collapsed="false">
      <c r="A179" s="19"/>
      <c r="B179" s="18"/>
      <c r="C179" s="18"/>
      <c r="D179" s="18"/>
      <c r="E179" s="18"/>
      <c r="F179" s="18"/>
    </row>
    <row r="180" customFormat="false" ht="15.75" hidden="false" customHeight="true" outlineLevel="0" collapsed="false">
      <c r="A180" s="19"/>
      <c r="B180" s="18"/>
      <c r="C180" s="18"/>
      <c r="D180" s="18"/>
      <c r="E180" s="18"/>
      <c r="F180" s="18"/>
    </row>
    <row r="181" customFormat="false" ht="15.75" hidden="false" customHeight="true" outlineLevel="0" collapsed="false">
      <c r="A181" s="19"/>
      <c r="B181" s="18"/>
      <c r="C181" s="18"/>
      <c r="D181" s="18"/>
      <c r="E181" s="18"/>
      <c r="F181" s="18"/>
    </row>
    <row r="182" customFormat="false" ht="15.75" hidden="false" customHeight="true" outlineLevel="0" collapsed="false">
      <c r="A182" s="19"/>
      <c r="B182" s="18"/>
      <c r="C182" s="18"/>
      <c r="D182" s="18"/>
      <c r="E182" s="18"/>
      <c r="F182" s="18"/>
    </row>
    <row r="183" customFormat="false" ht="15.75" hidden="false" customHeight="true" outlineLevel="0" collapsed="false">
      <c r="A183" s="19"/>
      <c r="B183" s="18"/>
      <c r="C183" s="18"/>
      <c r="D183" s="18"/>
      <c r="E183" s="18"/>
      <c r="F183" s="18"/>
    </row>
    <row r="184" customFormat="false" ht="15.75" hidden="false" customHeight="true" outlineLevel="0" collapsed="false">
      <c r="A184" s="19"/>
      <c r="B184" s="18"/>
      <c r="C184" s="18"/>
      <c r="D184" s="18"/>
      <c r="E184" s="18"/>
      <c r="F184" s="18"/>
    </row>
    <row r="185" customFormat="false" ht="15.75" hidden="false" customHeight="true" outlineLevel="0" collapsed="false">
      <c r="A185" s="19"/>
      <c r="B185" s="18"/>
      <c r="C185" s="18"/>
      <c r="D185" s="18"/>
      <c r="E185" s="18"/>
      <c r="F185" s="18"/>
    </row>
    <row r="186" customFormat="false" ht="15.75" hidden="false" customHeight="true" outlineLevel="0" collapsed="false">
      <c r="A186" s="19"/>
      <c r="B186" s="18"/>
      <c r="C186" s="18"/>
      <c r="D186" s="18"/>
      <c r="E186" s="18"/>
      <c r="F186" s="18"/>
    </row>
    <row r="187" customFormat="false" ht="15.75" hidden="false" customHeight="true" outlineLevel="0" collapsed="false">
      <c r="A187" s="19"/>
      <c r="B187" s="18"/>
      <c r="C187" s="18"/>
      <c r="D187" s="18"/>
      <c r="E187" s="18"/>
      <c r="F187" s="18"/>
    </row>
    <row r="188" customFormat="false" ht="15.75" hidden="false" customHeight="true" outlineLevel="0" collapsed="false">
      <c r="A188" s="19"/>
      <c r="B188" s="18"/>
      <c r="C188" s="18"/>
      <c r="D188" s="18"/>
      <c r="E188" s="18"/>
      <c r="F188" s="18"/>
    </row>
    <row r="189" customFormat="false" ht="15.75" hidden="false" customHeight="true" outlineLevel="0" collapsed="false">
      <c r="A189" s="19"/>
      <c r="B189" s="18"/>
      <c r="C189" s="18"/>
      <c r="D189" s="18"/>
      <c r="E189" s="18"/>
      <c r="F189" s="18"/>
    </row>
    <row r="190" customFormat="false" ht="15.75" hidden="false" customHeight="true" outlineLevel="0" collapsed="false">
      <c r="A190" s="19"/>
      <c r="B190" s="18"/>
      <c r="C190" s="18"/>
      <c r="D190" s="18"/>
      <c r="E190" s="18"/>
      <c r="F190" s="18"/>
    </row>
    <row r="191" customFormat="false" ht="15.75" hidden="false" customHeight="true" outlineLevel="0" collapsed="false">
      <c r="A191" s="19"/>
      <c r="B191" s="18"/>
      <c r="C191" s="18"/>
      <c r="D191" s="18"/>
      <c r="E191" s="18"/>
      <c r="F191" s="18"/>
    </row>
    <row r="192" customFormat="false" ht="15.75" hidden="false" customHeight="true" outlineLevel="0" collapsed="false">
      <c r="A192" s="19"/>
      <c r="B192" s="18"/>
      <c r="C192" s="18"/>
      <c r="D192" s="18"/>
      <c r="E192" s="18"/>
      <c r="F192" s="18"/>
    </row>
    <row r="193" customFormat="false" ht="15.75" hidden="false" customHeight="true" outlineLevel="0" collapsed="false">
      <c r="A193" s="19"/>
      <c r="B193" s="18"/>
      <c r="C193" s="18"/>
      <c r="D193" s="18"/>
      <c r="E193" s="18"/>
      <c r="F193" s="18"/>
    </row>
    <row r="194" customFormat="false" ht="15.75" hidden="false" customHeight="true" outlineLevel="0" collapsed="false">
      <c r="A194" s="19"/>
      <c r="B194" s="18"/>
      <c r="C194" s="18"/>
      <c r="D194" s="18"/>
      <c r="E194" s="18"/>
      <c r="F194" s="18"/>
    </row>
    <row r="195" customFormat="false" ht="15.75" hidden="false" customHeight="true" outlineLevel="0" collapsed="false">
      <c r="A195" s="19"/>
      <c r="B195" s="18"/>
      <c r="C195" s="18"/>
      <c r="D195" s="18"/>
      <c r="E195" s="18"/>
      <c r="F195" s="18"/>
    </row>
    <row r="196" customFormat="false" ht="15.75" hidden="false" customHeight="true" outlineLevel="0" collapsed="false">
      <c r="A196" s="19"/>
      <c r="B196" s="18"/>
      <c r="C196" s="18"/>
      <c r="D196" s="18"/>
      <c r="E196" s="18"/>
      <c r="F196" s="18"/>
    </row>
    <row r="197" customFormat="false" ht="15.75" hidden="false" customHeight="true" outlineLevel="0" collapsed="false">
      <c r="A197" s="19"/>
      <c r="B197" s="18"/>
      <c r="C197" s="18"/>
      <c r="D197" s="18"/>
      <c r="E197" s="18"/>
      <c r="F197" s="18"/>
    </row>
    <row r="198" customFormat="false" ht="15.75" hidden="false" customHeight="true" outlineLevel="0" collapsed="false">
      <c r="A198" s="19"/>
      <c r="B198" s="18"/>
      <c r="C198" s="18"/>
      <c r="D198" s="18"/>
      <c r="E198" s="18"/>
      <c r="F198" s="18"/>
    </row>
    <row r="199" customFormat="false" ht="15.75" hidden="false" customHeight="true" outlineLevel="0" collapsed="false">
      <c r="A199" s="19"/>
      <c r="B199" s="18"/>
      <c r="C199" s="18"/>
      <c r="D199" s="18"/>
      <c r="E199" s="18"/>
      <c r="F199" s="18"/>
    </row>
    <row r="200" customFormat="false" ht="15.75" hidden="false" customHeight="true" outlineLevel="0" collapsed="false">
      <c r="A200" s="19"/>
      <c r="B200" s="18"/>
      <c r="C200" s="18"/>
      <c r="D200" s="18"/>
      <c r="E200" s="18"/>
      <c r="F200" s="18"/>
    </row>
    <row r="201" customFormat="false" ht="15.75" hidden="false" customHeight="true" outlineLevel="0" collapsed="false">
      <c r="A201" s="19"/>
      <c r="B201" s="18"/>
      <c r="C201" s="18"/>
      <c r="D201" s="18"/>
      <c r="E201" s="18"/>
      <c r="F201" s="18"/>
    </row>
    <row r="202" customFormat="false" ht="15.75" hidden="false" customHeight="true" outlineLevel="0" collapsed="false">
      <c r="A202" s="19"/>
      <c r="B202" s="18"/>
      <c r="C202" s="18"/>
      <c r="D202" s="18"/>
      <c r="E202" s="18"/>
      <c r="F202" s="18"/>
    </row>
    <row r="203" customFormat="false" ht="15.75" hidden="false" customHeight="true" outlineLevel="0" collapsed="false">
      <c r="A203" s="19"/>
      <c r="B203" s="18"/>
      <c r="C203" s="18"/>
      <c r="D203" s="18"/>
      <c r="E203" s="18"/>
      <c r="F203" s="18"/>
    </row>
    <row r="204" customFormat="false" ht="15.75" hidden="false" customHeight="true" outlineLevel="0" collapsed="false">
      <c r="A204" s="19"/>
      <c r="B204" s="18"/>
      <c r="C204" s="18"/>
      <c r="D204" s="18"/>
      <c r="E204" s="18"/>
      <c r="F204" s="18"/>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2026-06-17T12:43:49Z</dcterms:created>
  <dc:creator>openpyxl</dc:creator>
  <dc:description/>
  <dc:language>en-US</dc:language>
  <cp:lastModifiedBy/>
  <dcterms:modified xsi:type="dcterms:W3CDTF">2026-06-17T12:43:54Z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