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shboard" sheetId="1" state="visible" r:id="rId3"/>
    <sheet name="Q1 Inspections" sheetId="2" state="visible" r:id="rId4"/>
    <sheet name="Q2 Inspections" sheetId="3" state="visible" r:id="rId5"/>
    <sheet name="Q3 Inspections" sheetId="4" state="visible" r:id="rId6"/>
    <sheet name="Q4 Inspections" sheetId="5" state="visible" r:id="rId7"/>
    <sheet name="Reference" sheetId="6" state="visible" r:id="rId8"/>
    <sheet name="Location Lis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<sst xmlns="http://schemas.openxmlformats.org/spreadsheetml/2006/main" count="307" uniqueCount="185">
  <si>
    <t xml:space="preserve">HAZMAT STORAGE INSPECTION TRACKER</t>
  </si>
  <si>
    <t xml:space="preserve">Annual Quarterly Compliance Workbook  |  Update location list on each quarter tab before first use</t>
  </si>
  <si>
    <t xml:space="preserve">QUARTERLY COMPLIANCE SUMMARY</t>
  </si>
  <si>
    <t xml:space="preserve">Quarter</t>
  </si>
  <si>
    <t xml:space="preserve">Total Locations</t>
  </si>
  <si>
    <t xml:space="preserve">Inspected</t>
  </si>
  <si>
    <t xml:space="preserve">Outstanding</t>
  </si>
  <si>
    <t xml:space="preserve">% Complete</t>
  </si>
  <si>
    <t xml:space="preserve">Pass</t>
  </si>
  <si>
    <t xml:space="preserve">Conditional</t>
  </si>
  <si>
    <t xml:space="preserve">Fail</t>
  </si>
  <si>
    <t xml:space="preserve">Open CARs</t>
  </si>
  <si>
    <t xml:space="preserve">Status</t>
  </si>
  <si>
    <t xml:space="preserve">YEAR TOTAL</t>
  </si>
  <si>
    <t xml:space="preserve">CHECKPOINT FAILURE RATES  (count of 'N' responses across all quarters)</t>
  </si>
  <si>
    <t xml:space="preserve">Checkpoint</t>
  </si>
  <si>
    <t xml:space="preserve">Q1 N</t>
  </si>
  <si>
    <t xml:space="preserve">Q2 N</t>
  </si>
  <si>
    <t xml:space="preserve">Q3 N</t>
  </si>
  <si>
    <t xml:space="preserve">Q4 N</t>
  </si>
  <si>
    <t xml:space="preserve">YTD Total</t>
  </si>
  <si>
    <t xml:space="preserve">Signage in Place</t>
  </si>
  <si>
    <t xml:space="preserve">Containers Labeled (HazCom)</t>
  </si>
  <si>
    <t xml:space="preserve">Containers Intact</t>
  </si>
  <si>
    <t xml:space="preserve">Compatible Storage</t>
  </si>
  <si>
    <t xml:space="preserve">SDS Accessible</t>
  </si>
  <si>
    <t xml:space="preserve">Eyewash Within 10 sec</t>
  </si>
  <si>
    <t xml:space="preserve">Spill Kit Complete</t>
  </si>
  <si>
    <t xml:space="preserve">Fire Ext. Current</t>
  </si>
  <si>
    <t xml:space="preserve">PPE Available</t>
  </si>
  <si>
    <t xml:space="preserve">Aisles / Housekeeping</t>
  </si>
  <si>
    <t xml:space="preserve">Quantities Within Limits</t>
  </si>
  <si>
    <t xml:space="preserve">Secondary Containment</t>
  </si>
  <si>
    <t xml:space="preserve">LEGEND &amp; INSTRUCTIONS</t>
  </si>
  <si>
    <t xml:space="preserve">•  Each quarter tab lists all hazmat storage locations for your facility. Fill in Location, Building, Department, and reference columns before first use.</t>
  </si>
  <si>
    <t xml:space="preserve">•  Checkpoint cells (Signage in Place through Secondary Containment) use Y / N / N/A dropdowns. 'N' responses are highlighted to flag failures at a glance.</t>
  </si>
  <si>
    <t xml:space="preserve">•  Overall Status is auto-calculated: Pass = zero N responses; Conditional = 1-2 N responses; Fail = 3+ N responses.</t>
  </si>
  <si>
    <t xml:space="preserve">•  A Corrective Action Required (CAR) is considered Open when the CAR text is filled in but Date Corrected is blank.</t>
  </si>
  <si>
    <t xml:space="preserve">•  Inspections Completed counts non-blank entries in the Date Inspected column on each quarter tab.</t>
  </si>
  <si>
    <t xml:space="preserve">•  See the Reference tab for applicable OSHA, EPA, DOT, RCRA, and NFPA citations.</t>
  </si>
  <si>
    <t xml:space="preserve">Q1 INSPECTIONS — HAZMAT STORAGE INSPECTIONS</t>
  </si>
  <si>
    <t xml:space="preserve">#</t>
  </si>
  <si>
    <t xml:space="preserve">Location / Area</t>
  </si>
  <si>
    <t xml:space="preserve">Building</t>
  </si>
  <si>
    <t xml:space="preserve">Department</t>
  </si>
  <si>
    <t xml:space="preserve">Materials Present</t>
  </si>
  <si>
    <t xml:space="preserve">Key Hazards</t>
  </si>
  <si>
    <t xml:space="preserve">Signage Recommended</t>
  </si>
  <si>
    <t xml:space="preserve">Responsible Person</t>
  </si>
  <si>
    <t xml:space="preserve">Contact
(Phone / Email)</t>
  </si>
  <si>
    <t xml:space="preserve">Date Inspected</t>
  </si>
  <si>
    <t xml:space="preserve">Inspector</t>
  </si>
  <si>
    <t xml:space="preserve">Signage
in Place</t>
  </si>
  <si>
    <t xml:space="preserve">Containers
Labeled
(HazCom)</t>
  </si>
  <si>
    <t xml:space="preserve">Containers
Intact</t>
  </si>
  <si>
    <t xml:space="preserve">Compatible
Storage</t>
  </si>
  <si>
    <t xml:space="preserve">SDS
Accessible</t>
  </si>
  <si>
    <t xml:space="preserve">Eyewash
Within
10 sec</t>
  </si>
  <si>
    <t xml:space="preserve">Spill Kit
Complete</t>
  </si>
  <si>
    <t xml:space="preserve">Fire Ext.
Current</t>
  </si>
  <si>
    <t xml:space="preserve">PPE
Available</t>
  </si>
  <si>
    <t xml:space="preserve">Aisles /
Housekeeping</t>
  </si>
  <si>
    <t xml:space="preserve">Quantities
Within
Limits</t>
  </si>
  <si>
    <t xml:space="preserve">Secondary
Containment</t>
  </si>
  <si>
    <t xml:space="preserve">Overall
Status</t>
  </si>
  <si>
    <t xml:space="preserve">Corrective Action Required</t>
  </si>
  <si>
    <t xml:space="preserve">Target
Completion</t>
  </si>
  <si>
    <t xml:space="preserve">Date
Corrected</t>
  </si>
  <si>
    <t xml:space="preserve">Notes</t>
  </si>
  <si>
    <t xml:space="preserve">Location Name / Description</t>
  </si>
  <si>
    <t xml:space="preserve">Bldg ID</t>
  </si>
  <si>
    <t xml:space="preserve">Department / Work Area</t>
  </si>
  <si>
    <t xml:space="preserve">Chemical(s) stored here</t>
  </si>
  <si>
    <t xml:space="preserve">Flammable / Corrosive / etc.</t>
  </si>
  <si>
    <t xml:space="preserve">Required signage text</t>
  </si>
  <si>
    <t xml:space="preserve">Q2 INSPECTIONS — HAZMAT STORAGE INSPECTIONS</t>
  </si>
  <si>
    <t xml:space="preserve">Q3 INSPECTIONS — HAZMAT STORAGE INSPECTIONS</t>
  </si>
  <si>
    <t xml:space="preserve">Q4 INSPECTIONS — HAZMAT STORAGE INSPECTIONS</t>
  </si>
  <si>
    <t xml:space="preserve">REGULATORY REFERENCE — HAZMAT STORAGE INSPECTIONS</t>
  </si>
  <si>
    <t xml:space="preserve">Common OSHA, EPA, DOT, RCRA, and NFPA citations applicable to hazmat storage. Verify current requirements at eCFR.gov and agency websites.</t>
  </si>
  <si>
    <t xml:space="preserve">Agency</t>
  </si>
  <si>
    <t xml:space="preserve">Citation</t>
  </si>
  <si>
    <t xml:space="preserve">Title</t>
  </si>
  <si>
    <t xml:space="preserve">Applicability / What It Requires</t>
  </si>
  <si>
    <t xml:space="preserve">Relevant To</t>
  </si>
  <si>
    <t xml:space="preserve">Source URL</t>
  </si>
  <si>
    <t xml:space="preserve">OSHA</t>
  </si>
  <si>
    <t xml:space="preserve">29 CFR 1910.1200</t>
  </si>
  <si>
    <t xml:space="preserve">Hazard Communication Standard (HazCom / GHS)</t>
  </si>
  <si>
    <t xml:space="preserve">Written HazCom program; SDS for every hazardous chemical; GHS-compliant container labels; employee training on hazards and protective measures.</t>
  </si>
  <si>
    <t xml:space="preserve">All chemical storage locations</t>
  </si>
  <si>
    <t xml:space="preserve">https://www.osha.gov/laws-regs/regulations/standardnumber/1910/1910.1200</t>
  </si>
  <si>
    <t xml:space="preserve">29 CFR 1910.106</t>
  </si>
  <si>
    <t xml:space="preserve">Flammable Liquids</t>
  </si>
  <si>
    <t xml:space="preserve">Storage cabinet quantity limits (≤60 gal Class I/II); approved containers; ventilation; separation from ignition sources; bonding &amp; grounding during transfer.</t>
  </si>
  <si>
    <t xml:space="preserve">Flammable liquid storage areas</t>
  </si>
  <si>
    <t xml:space="preserve">https://www.osha.gov/laws-regs/regulations/standardnumber/1910/1910.106</t>
  </si>
  <si>
    <t xml:space="preserve">29 CFR 1910.101</t>
  </si>
  <si>
    <t xml:space="preserve">Compressed Gases — General Requirements</t>
  </si>
  <si>
    <t xml:space="preserve">Cylinders inspected, secured upright, properly stored. References CGA Pamphlet P-1 for safe handling.</t>
  </si>
  <si>
    <t xml:space="preserve">Compressed gas / refrigerant storage</t>
  </si>
  <si>
    <t xml:space="preserve">https://www.osha.gov/laws-regs/regulations/standardnumber/1910/1910.101</t>
  </si>
  <si>
    <t xml:space="preserve">29 CFR 1910.132</t>
  </si>
  <si>
    <t xml:space="preserve">PPE — General Requirements</t>
  </si>
  <si>
    <t xml:space="preserve">Employer must assess workplace hazards; provide appropriate PPE; train employees on use, care, and limitations.</t>
  </si>
  <si>
    <t xml:space="preserve">All chemical handling areas</t>
  </si>
  <si>
    <t xml:space="preserve">https://www.osha.gov/laws-regs/regulations/standardnumber/1910/1910.132</t>
  </si>
  <si>
    <t xml:space="preserve">29 CFR 1910.151(c)</t>
  </si>
  <si>
    <t xml:space="preserve">Medical Services and First Aid — Eyewash</t>
  </si>
  <si>
    <t xml:space="preserve">Where eyes or body may be exposed to injurious corrosive materials, suitable flushing facilities within 10 seconds must be provided.</t>
  </si>
  <si>
    <t xml:space="preserve">Corrosive chemical storage (acids, caustics, oxidizers)</t>
  </si>
  <si>
    <t xml:space="preserve">https://www.osha.gov/laws-regs/regulations/standardnumber/1910/1910.151</t>
  </si>
  <si>
    <t xml:space="preserve">29 CFR 1910.157</t>
  </si>
  <si>
    <t xml:space="preserve">Portable Fire Extinguishers</t>
  </si>
  <si>
    <t xml:space="preserve">Class A/B/C extinguishers within specified travel distance; monthly visual inspection; annual maintenance.</t>
  </si>
  <si>
    <t xml:space="preserve">All flammable material storage areas</t>
  </si>
  <si>
    <t xml:space="preserve">https://www.osha.gov/laws-regs/regulations/standardnumber/1910/1910.157</t>
  </si>
  <si>
    <t xml:space="preserve">EPA</t>
  </si>
  <si>
    <t xml:space="preserve">40 CFR 261</t>
  </si>
  <si>
    <t xml:space="preserve">Identification and Listing of Hazardous Waste (RCRA Subtitle C)</t>
  </si>
  <si>
    <t xml:space="preserve">Defines hazardous waste by characteristic (ignitability, corrosivity, reactivity, toxicity) and listed waste codes (F/K/P/U).</t>
  </si>
  <si>
    <t xml:space="preserve">Hazardous waste storage area</t>
  </si>
  <si>
    <t xml:space="preserve">https://www.ecfr.gov/current/title-40/chapter-I/subchapter-I/part-261</t>
  </si>
  <si>
    <t xml:space="preserve">40 CFR 262</t>
  </si>
  <si>
    <t xml:space="preserve">Standards for Generators of Hazardous Waste</t>
  </si>
  <si>
    <t xml:space="preserve">Generator categories (VSQG &lt;100 kg/mo; SQG 100-1,000 kg/mo; LQG &gt;1,000 kg/mo); manifest requirements; accumulation time limits.</t>
  </si>
  <si>
    <t xml:space="preserve">Hazardous waste storage / disposal</t>
  </si>
  <si>
    <t xml:space="preserve">https://www.ecfr.gov/current/title-40/chapter-I/subchapter-I/part-262</t>
  </si>
  <si>
    <t xml:space="preserve">40 CFR 82 Subpart F</t>
  </si>
  <si>
    <t xml:space="preserve">Section 608 Refrigerant Management</t>
  </si>
  <si>
    <t xml:space="preserve">Servicing / disposal of equipment using ozone-depleting and HFC refrigerants; certified technicians; recovery; leak repair; recordkeeping.</t>
  </si>
  <si>
    <t xml:space="preserve">Refrigerant storage / HVAC servicing</t>
  </si>
  <si>
    <t xml:space="preserve">https://www.epa.gov/section608</t>
  </si>
  <si>
    <t xml:space="preserve">40 CFR 156 (FIFRA)</t>
  </si>
  <si>
    <t xml:space="preserve">Pesticide Labeling Requirements</t>
  </si>
  <si>
    <t xml:space="preserve">Labels must remain legible; signal words; restricted-use vs. general-use; re-entry intervals; required PPE.</t>
  </si>
  <si>
    <t xml:space="preserve">Pesticide / herbicide storage areas</t>
  </si>
  <si>
    <t xml:space="preserve">https://www.ecfr.gov/current/title-40/chapter-I/subchapter-E/part-156</t>
  </si>
  <si>
    <t xml:space="preserve">DOT</t>
  </si>
  <si>
    <t xml:space="preserve">49 CFR 172</t>
  </si>
  <si>
    <t xml:space="preserve">Hazmat Tables, Communications, Emergency Response, Training</t>
  </si>
  <si>
    <t xml:space="preserve">Shipping papers; package marking and labeling; vehicle placarding; emergency response info; hazmat employee training every 3 years.</t>
  </si>
  <si>
    <t xml:space="preserve">Hazardous waste shipments off-site</t>
  </si>
  <si>
    <t xml:space="preserve">https://www.ecfr.gov/current/title-49/subtitle-B/chapter-I/subchapter-C/part-172</t>
  </si>
  <si>
    <t xml:space="preserve">NFPA</t>
  </si>
  <si>
    <t xml:space="preserve">NFPA 704</t>
  </si>
  <si>
    <t xml:space="preserve">Standard System for Identification of Hazards of Materials</t>
  </si>
  <si>
    <t xml:space="preserve">Fire diamond placard: blue (health), red (flammability), yellow (instability), white (special). Required where first responders may encounter hazards.</t>
  </si>
  <si>
    <t xml:space="preserve">Flammable / oxidizer / compressed gas areas</t>
  </si>
  <si>
    <t xml:space="preserve">https://www.nfpa.org/codes-and-standards/all-codes-and-standards/list-of-codes-and-standards/detail?code=704</t>
  </si>
  <si>
    <t xml:space="preserve">NFPA 30</t>
  </si>
  <si>
    <t xml:space="preserve">Flammable and Combustible Liquids Code</t>
  </si>
  <si>
    <t xml:space="preserve">Storage cabinet design; quantity limits; tank specifications; container requirements; aisle widths.</t>
  </si>
  <si>
    <t xml:space="preserve">All flammable liquid storage locations</t>
  </si>
  <si>
    <t xml:space="preserve">https://www.nfpa.org/codes-and-standards/all-codes-and-standards/list-of-codes-and-standards/detail?code=30</t>
  </si>
  <si>
    <t xml:space="preserve">NFPA 30B</t>
  </si>
  <si>
    <t xml:space="preserve">Code for Manufacture and Storage of Aerosol Products</t>
  </si>
  <si>
    <t xml:space="preserve">Aerosol storage classification (Level 1-3); maximum quantities per area; No-Smoking signage required in storage areas.</t>
  </si>
  <si>
    <t xml:space="preserve">Aerosol product storage areas</t>
  </si>
  <si>
    <t xml:space="preserve">https://www.nfpa.org/codes-and-standards/all-codes-and-standards/list-of-codes-and-standards/detail?code=30B</t>
  </si>
  <si>
    <t xml:space="preserve">NFPA 400</t>
  </si>
  <si>
    <t xml:space="preserve">Hazardous Materials Code</t>
  </si>
  <si>
    <t xml:space="preserve">Storage and handling of oxidizers, corrosives, water-reactives, and toxic materials; segregation requirements.</t>
  </si>
  <si>
    <t xml:space="preserve">Oxidizer / acid / corrosive storage areas</t>
  </si>
  <si>
    <t xml:space="preserve">https://www.nfpa.org/codes-and-standards/all-codes-and-standards/list-of-codes-and-standards/detail?code=400</t>
  </si>
  <si>
    <t xml:space="preserve">NFPA 55</t>
  </si>
  <si>
    <t xml:space="preserve">Compressed Gases and Cryogenic Fluids Code</t>
  </si>
  <si>
    <t xml:space="preserve">Storage of compressed gas cylinders; quantity thresholds; separation distances; ventilation requirements.</t>
  </si>
  <si>
    <t xml:space="preserve">Compressed gas / refrigerant cylinder storage</t>
  </si>
  <si>
    <t xml:space="preserve">https://www.nfpa.org/codes-and-standards/all-codes-and-standards/list-of-codes-and-standards/detail?code=55</t>
  </si>
  <si>
    <t xml:space="preserve">IMPORTANT NOTES</t>
  </si>
  <si>
    <t xml:space="preserve">•  Generator Status: Verify your facility's monthly hazardous waste generation volume to confirm VSQG / SQG / LQG category. SQG and LQG have stricter storage, inspection, and contingency plan requirements.</t>
  </si>
  <si>
    <t xml:space="preserve">•  SDS Retention: Per OSHA HazCom, maintain SDS for every chemical currently or recently in use. Retain records of discontinued chemicals for 30 years per 29 CFR 1910.1020 (employee exposure records).</t>
  </si>
  <si>
    <t xml:space="preserve">•  Eyewash Stations: Per ANSI Z358.1 (referenced by OSHA), must deliver tepid water (60–100°F) for 15 continuous minutes. Test weekly; perform a full inspection annually.</t>
  </si>
  <si>
    <t xml:space="preserve">•  Incompatible Chemical Separation: Oxidizers and acids must be stored separately with physical barriers. Accidental mixing can produce toxic gases (e.g., chlorine). Governed by NFPA 400.</t>
  </si>
  <si>
    <t xml:space="preserve">•  Aerosol Storage: NFPA 30B requires 'No Smoking / No Open Flame' signage in any area storing flammable aerosols. High quantities may trigger sprinkler system design requirements.</t>
  </si>
  <si>
    <t xml:space="preserve">•  Training Records: HazCom training required at hire and whenever a new chemical hazard is introduced. DOT hazmat employee training required every 3 years for anyone involved in shipping hazardous waste.</t>
  </si>
  <si>
    <t xml:space="preserve">•  Regulatory Currency: This reference reflects common requirements as of 2025. Always verify current regulations at eCFR.gov and the applicable agency website before making formal compliance determinations.</t>
  </si>
  <si>
    <t xml:space="preserve">MASTER LOCATION LIST — Update this sheet first; then copy rows to each quarter tab</t>
  </si>
  <si>
    <t xml:space="preserve">Add or remove rows below to match your facility's hazmat storage locations. Paste columns B-G into each quarter inspection tab before the inspection cycle begins.</t>
  </si>
  <si>
    <t xml:space="preserve">Area Name / Description</t>
  </si>
  <si>
    <t xml:space="preserve">Dept / Work Area</t>
  </si>
  <si>
    <t xml:space="preserve">Chemicals stored (generic names, quantities)</t>
  </si>
  <si>
    <t xml:space="preserve">Flammable / Corrosive / Oxidizer / etc.</t>
  </si>
  <si>
    <t xml:space="preserve">Signage text recommended for this area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</si>
</sst>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mm/dd/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D7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4620"/>
        <bgColor rgb="FF375623"/>
      </patternFill>
    </fill>
    <fill>
      <patternFill patternType="solid">
        <fgColor rgb="FF375623"/>
        <bgColor rgb="FF276221"/>
      </patternFill>
    </fill>
    <fill>
      <patternFill patternType="solid">
        <fgColor rgb="FFF2F2F2"/>
        <bgColor rgb="FFFFFFFF"/>
      </patternFill>
    </fill>
    <fill>
      <patternFill patternType="solid">
        <fgColor rgb="FF2A6099"/>
        <bgColor rgb="FF595959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1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595959"/>
        <sz val="10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D7D7"/>
        </patternFill>
      </fill>
    </dxf>
    <dxf>
      <font>
        <name val="Arial"/>
        <charset val="1"/>
        <family val="0"/>
        <b val="1"/>
        <color rgb="FF276221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color rgb="FF9C5700"/>
        <sz val="9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158466"/>
      <rgbColor rgb="FFCCCCCC"/>
      <rgbColor rgb="FF808080"/>
      <rgbColor rgb="FFAAAAAA"/>
      <rgbColor rgb="FF993366"/>
      <rgbColor rgb="FFFFFFD7"/>
      <rgbColor rgb="FFF2F2F2"/>
      <rgbColor rgb="FF660066"/>
      <rgbColor rgb="FFFF8080"/>
      <rgbColor rgb="FF2A60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D7D7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BF00"/>
      <rgbColor rgb="FFFF9900"/>
      <rgbColor rgb="FFFF6600"/>
      <rgbColor rgb="FF666666"/>
      <rgbColor rgb="FF999999"/>
      <rgbColor rgb="FF003366"/>
      <rgbColor rgb="FF339966"/>
      <rgbColor rgb="FF003300"/>
      <rgbColor rgb="FF375623"/>
      <rgbColor rgb="FF9C5700"/>
      <rgbColor rgb="FF993366"/>
      <rgbColor rgb="FF595959"/>
      <rgbColor rgb="FF1E46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8466"/>
    <pageSetUpPr fitToPage="fals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24" activePane="bottomLeft" state="frozen"/>
      <selection pane="topLeft" activeCell="A1" activeCellId="0" sqref="A1"/>
      <selection pane="bottomLeft" activeCell="C43" activeCellId="0" sqref="C4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5" min="3" style="1" width="14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8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</row>
    <row r="4" customFormat="false" ht="19.5" hidden="false" customHeight="true" outlineLevel="0" collapsed="false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18" hidden="false" customHeight="true" outlineLevel="0" collapsed="false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</row>
    <row r="6" customFormat="false" ht="18" hidden="false" customHeight="true" outlineLevel="0" collapsed="false">
      <c r="A6" s="7" t="str">
        <f aca="true">"Q1 "&amp;TEXT(YEAR(TODAY()),"0")</f>
        <v>Q1 2026</v>
      </c>
      <c r="B6" s="8" t="n">
        <f aca="false">COUNTA('Q1 Inspections'!B3:B102)</f>
        <v>1</v>
      </c>
      <c r="C6" s="8" t="n">
        <f aca="false">COUNTA('Q1 Inspections'!I3:I102)</f>
        <v>0</v>
      </c>
      <c r="D6" s="8" t="n">
        <f aca="false">B6-C6</f>
        <v>1</v>
      </c>
      <c r="E6" s="9" t="n">
        <f aca="false">IFERROR(C6/B6,0)</f>
        <v>0</v>
      </c>
      <c r="F6" s="8" t="n">
        <f aca="false">COUNTIF('Q1 Inspections'!X3:X102,"Pass")</f>
        <v>50</v>
      </c>
      <c r="G6" s="8" t="n">
        <f aca="false">COUNTIF('Q1 Inspections'!X3:X102,"Conditional")</f>
        <v>0</v>
      </c>
      <c r="H6" s="8" t="n">
        <f aca="false">COUNTIF('Q1 Inspections'!X3:X102,"Fail")</f>
        <v>0</v>
      </c>
      <c r="I6" s="8" t="n">
        <f aca="false">SUMPRODUCT(('Q1 Inspections'!Y3:Y102&lt;&gt;"")*('Q1 Inspections'!AA3:AA102=""))</f>
        <v>0</v>
      </c>
      <c r="J6" s="8" t="str">
        <f aca="false">IF(B6=0,"No Locations",IF(C6=0,"Not Started",IF(D6=0,"Complete","In Progress")))</f>
        <v>Not Started</v>
      </c>
    </row>
    <row r="7" customFormat="false" ht="18" hidden="false" customHeight="true" outlineLevel="0" collapsed="false">
      <c r="A7" s="10" t="str">
        <f aca="true">"Q2 "&amp;TEXT(YEAR(TODAY()),"0")</f>
        <v>Q2 2026</v>
      </c>
      <c r="B7" s="11" t="n">
        <f aca="false">COUNTA('Q2 Inspections'!B3:B102)</f>
        <v>1</v>
      </c>
      <c r="C7" s="11" t="n">
        <f aca="false">COUNTA('Q2 Inspections'!I3:I102)</f>
        <v>0</v>
      </c>
      <c r="D7" s="11" t="n">
        <f aca="false">B7-C7</f>
        <v>1</v>
      </c>
      <c r="E7" s="12" t="n">
        <f aca="false">IFERROR(C7/B7,0)</f>
        <v>0</v>
      </c>
      <c r="F7" s="11" t="n">
        <f aca="false">COUNTIF('Q2 Inspections'!X3:X102,"Pass")</f>
        <v>50</v>
      </c>
      <c r="G7" s="11" t="n">
        <f aca="false">COUNTIF('Q2 Inspections'!X3:X102,"Conditional")</f>
        <v>0</v>
      </c>
      <c r="H7" s="11" t="n">
        <f aca="false">COUNTIF('Q2 Inspections'!X3:X102,"Fail")</f>
        <v>0</v>
      </c>
      <c r="I7" s="11" t="n">
        <f aca="false">SUMPRODUCT(('Q2 Inspections'!Y3:Y102&lt;&gt;"")*('Q2 Inspections'!AA3:AA102=""))</f>
        <v>0</v>
      </c>
      <c r="J7" s="11" t="str">
        <f aca="false">IF(B7=0,"No Locations",IF(C7=0,"Not Started",IF(D7=0,"Complete","In Progress")))</f>
        <v>Not Started</v>
      </c>
    </row>
    <row r="8" customFormat="false" ht="18" hidden="false" customHeight="true" outlineLevel="0" collapsed="false">
      <c r="A8" s="7" t="str">
        <f aca="true">"Q3 "&amp;TEXT(YEAR(TODAY()),"0")</f>
        <v>Q3 2026</v>
      </c>
      <c r="B8" s="8" t="n">
        <f aca="false">COUNTA('Q3 Inspections'!B3:B102)</f>
        <v>1</v>
      </c>
      <c r="C8" s="8" t="n">
        <f aca="false">COUNTA('Q3 Inspections'!I3:I102)</f>
        <v>0</v>
      </c>
      <c r="D8" s="8" t="n">
        <f aca="false">B8-C8</f>
        <v>1</v>
      </c>
      <c r="E8" s="9" t="n">
        <f aca="false">IFERROR(C8/B8,0)</f>
        <v>0</v>
      </c>
      <c r="F8" s="8" t="n">
        <f aca="false">COUNTIF('Q3 Inspections'!X3:X102,"Pass")</f>
        <v>50</v>
      </c>
      <c r="G8" s="8" t="n">
        <f aca="false">COUNTIF('Q3 Inspections'!X3:X102,"Conditional")</f>
        <v>0</v>
      </c>
      <c r="H8" s="8" t="n">
        <f aca="false">COUNTIF('Q3 Inspections'!X3:X102,"Fail")</f>
        <v>0</v>
      </c>
      <c r="I8" s="8" t="n">
        <f aca="false">SUMPRODUCT(('Q3 Inspections'!Y3:Y102&lt;&gt;"")*('Q3 Inspections'!AA3:AA102=""))</f>
        <v>0</v>
      </c>
      <c r="J8" s="8" t="str">
        <f aca="false">IF(B8=0,"No Locations",IF(C8=0,"Not Started",IF(D8=0,"Complete","In Progress")))</f>
        <v>Not Started</v>
      </c>
    </row>
    <row r="9" customFormat="false" ht="18" hidden="false" customHeight="true" outlineLevel="0" collapsed="false">
      <c r="A9" s="10" t="str">
        <f aca="true">"Q4 "&amp;TEXT(YEAR(TODAY()),"0")</f>
        <v>Q4 2026</v>
      </c>
      <c r="B9" s="11" t="n">
        <f aca="false">COUNTA('Q4 Inspections'!B3:B102)</f>
        <v>1</v>
      </c>
      <c r="C9" s="11" t="n">
        <f aca="false">COUNTA('Q4 Inspections'!I3:I102)</f>
        <v>0</v>
      </c>
      <c r="D9" s="11" t="n">
        <f aca="false">B9-C9</f>
        <v>1</v>
      </c>
      <c r="E9" s="12" t="n">
        <f aca="false">IFERROR(C9/B9,0)</f>
        <v>0</v>
      </c>
      <c r="F9" s="11" t="n">
        <f aca="false">COUNTIF('Q4 Inspections'!X3:X102,"Pass")</f>
        <v>50</v>
      </c>
      <c r="G9" s="11" t="n">
        <f aca="false">COUNTIF('Q4 Inspections'!X3:X102,"Conditional")</f>
        <v>0</v>
      </c>
      <c r="H9" s="11" t="n">
        <f aca="false">COUNTIF('Q4 Inspections'!X3:X102,"Fail")</f>
        <v>0</v>
      </c>
      <c r="I9" s="11" t="n">
        <f aca="false">SUMPRODUCT(('Q4 Inspections'!Y3:Y102&lt;&gt;"")*('Q4 Inspections'!AA3:AA102=""))</f>
        <v>0</v>
      </c>
      <c r="J9" s="11" t="str">
        <f aca="false">IF(B9=0,"No Locations",IF(C9=0,"Not Started",IF(D9=0,"Complete","In Progress")))</f>
        <v>Not Started</v>
      </c>
    </row>
    <row r="10" customFormat="false" ht="18" hidden="false" customHeight="true" outlineLevel="0" collapsed="false">
      <c r="A10" s="13" t="s">
        <v>13</v>
      </c>
      <c r="B10" s="13" t="n">
        <f aca="false">SUM(B6:B9)</f>
        <v>4</v>
      </c>
      <c r="C10" s="13" t="n">
        <f aca="false">SUM(C6:C9)</f>
        <v>0</v>
      </c>
      <c r="D10" s="13" t="n">
        <f aca="false">SUM(D6:D9)</f>
        <v>4</v>
      </c>
      <c r="E10" s="14" t="n">
        <f aca="false">IFERROR(C10/B10,0)</f>
        <v>0</v>
      </c>
      <c r="F10" s="13" t="n">
        <f aca="false">SUM(F6:F9)</f>
        <v>200</v>
      </c>
      <c r="G10" s="13" t="n">
        <f aca="false">SUM(G6:G9)</f>
        <v>0</v>
      </c>
      <c r="H10" s="13" t="n">
        <f aca="false">SUM(H6:H9)</f>
        <v>0</v>
      </c>
      <c r="I10" s="13" t="n">
        <f aca="false">SUM(I6:I9)</f>
        <v>0</v>
      </c>
      <c r="J10" s="15"/>
    </row>
    <row r="11" customFormat="false" ht="18" hidden="false" customHeight="true" outlineLevel="0" collapsed="false"/>
    <row r="12" customFormat="false" ht="18" hidden="false" customHeight="true" outlineLevel="0" collapsed="false"/>
    <row r="13" customFormat="false" ht="7.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customFormat="false" ht="19.5" hidden="false" customHeight="true" outlineLevel="0" collapsed="false">
      <c r="A14" s="5" t="s">
        <v>14</v>
      </c>
      <c r="B14" s="5"/>
      <c r="C14" s="5"/>
      <c r="D14" s="5"/>
      <c r="E14" s="5"/>
      <c r="F14" s="5"/>
      <c r="G14" s="5"/>
      <c r="H14" s="5"/>
      <c r="I14" s="5"/>
      <c r="J14" s="5"/>
    </row>
    <row r="15" customFormat="false" ht="18" hidden="false" customHeight="true" outlineLevel="0" collapsed="false">
      <c r="A15" s="16" t="s">
        <v>15</v>
      </c>
      <c r="B15" s="16" t="s">
        <v>16</v>
      </c>
      <c r="C15" s="16" t="s">
        <v>17</v>
      </c>
      <c r="D15" s="16" t="s">
        <v>18</v>
      </c>
      <c r="E15" s="16" t="s">
        <v>19</v>
      </c>
      <c r="F15" s="16" t="s">
        <v>20</v>
      </c>
    </row>
    <row r="16" customFormat="false" ht="18" hidden="false" customHeight="true" outlineLevel="0" collapsed="false">
      <c r="A16" s="17" t="s">
        <v>21</v>
      </c>
      <c r="B16" s="8" t="n">
        <f aca="false">COUNTIF('Q1 Inspections'!L3:L102,"N")</f>
        <v>0</v>
      </c>
      <c r="C16" s="8" t="n">
        <f aca="false">COUNTIF('Q2 Inspections'!L3:L102,"N")</f>
        <v>0</v>
      </c>
      <c r="D16" s="8" t="n">
        <f aca="false">COUNTIF('Q3 Inspections'!L3:L102,"N")</f>
        <v>0</v>
      </c>
      <c r="E16" s="8" t="n">
        <f aca="false">COUNTIF('Q4 Inspections'!L3:L102,"N")</f>
        <v>0</v>
      </c>
      <c r="F16" s="7" t="n">
        <f aca="false">SUM(B16:E16)</f>
        <v>0</v>
      </c>
    </row>
    <row r="17" customFormat="false" ht="18" hidden="false" customHeight="true" outlineLevel="0" collapsed="false">
      <c r="A17" s="18" t="s">
        <v>22</v>
      </c>
      <c r="B17" s="11" t="n">
        <f aca="false">COUNTIF('Q1 Inspections'!M3:M102,"N")</f>
        <v>0</v>
      </c>
      <c r="C17" s="11" t="n">
        <f aca="false">COUNTIF('Q2 Inspections'!M3:M102,"N")</f>
        <v>0</v>
      </c>
      <c r="D17" s="11" t="n">
        <f aca="false">COUNTIF('Q3 Inspections'!M3:M102,"N")</f>
        <v>0</v>
      </c>
      <c r="E17" s="11" t="n">
        <f aca="false">COUNTIF('Q4 Inspections'!M3:M102,"N")</f>
        <v>0</v>
      </c>
      <c r="F17" s="10" t="n">
        <f aca="false">SUM(B17:E17)</f>
        <v>0</v>
      </c>
    </row>
    <row r="18" customFormat="false" ht="18" hidden="false" customHeight="true" outlineLevel="0" collapsed="false">
      <c r="A18" s="17" t="s">
        <v>23</v>
      </c>
      <c r="B18" s="8" t="n">
        <f aca="false">COUNTIF('Q1 Inspections'!N3:N102,"N")</f>
        <v>0</v>
      </c>
      <c r="C18" s="8" t="n">
        <f aca="false">COUNTIF('Q2 Inspections'!N3:N102,"N")</f>
        <v>0</v>
      </c>
      <c r="D18" s="8" t="n">
        <f aca="false">COUNTIF('Q3 Inspections'!N3:N102,"N")</f>
        <v>0</v>
      </c>
      <c r="E18" s="8" t="n">
        <f aca="false">COUNTIF('Q4 Inspections'!N3:N102,"N")</f>
        <v>0</v>
      </c>
      <c r="F18" s="7" t="n">
        <f aca="false">SUM(B18:E18)</f>
        <v>0</v>
      </c>
    </row>
    <row r="19" customFormat="false" ht="18" hidden="false" customHeight="true" outlineLevel="0" collapsed="false">
      <c r="A19" s="18" t="s">
        <v>24</v>
      </c>
      <c r="B19" s="11" t="n">
        <f aca="false">COUNTIF('Q1 Inspections'!O3:O102,"N")</f>
        <v>0</v>
      </c>
      <c r="C19" s="11" t="n">
        <f aca="false">COUNTIF('Q2 Inspections'!O3:O102,"N")</f>
        <v>0</v>
      </c>
      <c r="D19" s="11" t="n">
        <f aca="false">COUNTIF('Q3 Inspections'!O3:O102,"N")</f>
        <v>0</v>
      </c>
      <c r="E19" s="11" t="n">
        <f aca="false">COUNTIF('Q4 Inspections'!O3:O102,"N")</f>
        <v>0</v>
      </c>
      <c r="F19" s="10" t="n">
        <f aca="false">SUM(B19:E19)</f>
        <v>0</v>
      </c>
    </row>
    <row r="20" customFormat="false" ht="18" hidden="false" customHeight="true" outlineLevel="0" collapsed="false">
      <c r="A20" s="17" t="s">
        <v>25</v>
      </c>
      <c r="B20" s="8" t="n">
        <f aca="false">COUNTIF('Q1 Inspections'!P3:P102,"N")</f>
        <v>0</v>
      </c>
      <c r="C20" s="8" t="n">
        <f aca="false">COUNTIF('Q2 Inspections'!P3:P102,"N")</f>
        <v>0</v>
      </c>
      <c r="D20" s="8" t="n">
        <f aca="false">COUNTIF('Q3 Inspections'!P3:P102,"N")</f>
        <v>0</v>
      </c>
      <c r="E20" s="8" t="n">
        <f aca="false">COUNTIF('Q4 Inspections'!P3:P102,"N")</f>
        <v>0</v>
      </c>
      <c r="F20" s="7" t="n">
        <f aca="false">SUM(B20:E20)</f>
        <v>0</v>
      </c>
    </row>
    <row r="21" customFormat="false" ht="18" hidden="false" customHeight="true" outlineLevel="0" collapsed="false">
      <c r="A21" s="18" t="s">
        <v>26</v>
      </c>
      <c r="B21" s="11" t="n">
        <f aca="false">COUNTIF('Q1 Inspections'!Q3:Q102,"N")</f>
        <v>0</v>
      </c>
      <c r="C21" s="11" t="n">
        <f aca="false">COUNTIF('Q2 Inspections'!Q3:Q102,"N")</f>
        <v>0</v>
      </c>
      <c r="D21" s="11" t="n">
        <f aca="false">COUNTIF('Q3 Inspections'!Q3:Q102,"N")</f>
        <v>0</v>
      </c>
      <c r="E21" s="11" t="n">
        <f aca="false">COUNTIF('Q4 Inspections'!Q3:Q102,"N")</f>
        <v>0</v>
      </c>
      <c r="F21" s="10" t="n">
        <f aca="false">SUM(B21:E21)</f>
        <v>0</v>
      </c>
    </row>
    <row r="22" customFormat="false" ht="18" hidden="false" customHeight="true" outlineLevel="0" collapsed="false">
      <c r="A22" s="17" t="s">
        <v>27</v>
      </c>
      <c r="B22" s="8" t="n">
        <f aca="false">COUNTIF('Q1 Inspections'!R3:R102,"N")</f>
        <v>0</v>
      </c>
      <c r="C22" s="8" t="n">
        <f aca="false">COUNTIF('Q2 Inspections'!R3:R102,"N")</f>
        <v>0</v>
      </c>
      <c r="D22" s="8" t="n">
        <f aca="false">COUNTIF('Q3 Inspections'!R3:R102,"N")</f>
        <v>0</v>
      </c>
      <c r="E22" s="8" t="n">
        <f aca="false">COUNTIF('Q4 Inspections'!R3:R102,"N")</f>
        <v>0</v>
      </c>
      <c r="F22" s="7" t="n">
        <f aca="false">SUM(B22:E22)</f>
        <v>0</v>
      </c>
    </row>
    <row r="23" customFormat="false" ht="18" hidden="false" customHeight="true" outlineLevel="0" collapsed="false">
      <c r="A23" s="18" t="s">
        <v>28</v>
      </c>
      <c r="B23" s="11" t="n">
        <f aca="false">COUNTIF('Q1 Inspections'!S3:S102,"N")</f>
        <v>0</v>
      </c>
      <c r="C23" s="11" t="n">
        <f aca="false">COUNTIF('Q2 Inspections'!S3:S102,"N")</f>
        <v>0</v>
      </c>
      <c r="D23" s="11" t="n">
        <f aca="false">COUNTIF('Q3 Inspections'!S3:S102,"N")</f>
        <v>0</v>
      </c>
      <c r="E23" s="11" t="n">
        <f aca="false">COUNTIF('Q4 Inspections'!S3:S102,"N")</f>
        <v>0</v>
      </c>
      <c r="F23" s="10" t="n">
        <f aca="false">SUM(B23:E23)</f>
        <v>0</v>
      </c>
    </row>
    <row r="24" customFormat="false" ht="18" hidden="false" customHeight="true" outlineLevel="0" collapsed="false">
      <c r="A24" s="17" t="s">
        <v>29</v>
      </c>
      <c r="B24" s="8" t="n">
        <f aca="false">COUNTIF('Q1 Inspections'!T3:T102,"N")</f>
        <v>0</v>
      </c>
      <c r="C24" s="8" t="n">
        <f aca="false">COUNTIF('Q2 Inspections'!T3:T102,"N")</f>
        <v>0</v>
      </c>
      <c r="D24" s="8" t="n">
        <f aca="false">COUNTIF('Q3 Inspections'!T3:T102,"N")</f>
        <v>0</v>
      </c>
      <c r="E24" s="8" t="n">
        <f aca="false">COUNTIF('Q4 Inspections'!T3:T102,"N")</f>
        <v>0</v>
      </c>
      <c r="F24" s="7" t="n">
        <f aca="false">SUM(B24:E24)</f>
        <v>0</v>
      </c>
    </row>
    <row r="25" customFormat="false" ht="18" hidden="false" customHeight="true" outlineLevel="0" collapsed="false">
      <c r="A25" s="18" t="s">
        <v>30</v>
      </c>
      <c r="B25" s="11" t="n">
        <f aca="false">COUNTIF('Q1 Inspections'!U3:U102,"N")</f>
        <v>0</v>
      </c>
      <c r="C25" s="11" t="n">
        <f aca="false">COUNTIF('Q2 Inspections'!U3:U102,"N")</f>
        <v>0</v>
      </c>
      <c r="D25" s="11" t="n">
        <f aca="false">COUNTIF('Q3 Inspections'!U3:U102,"N")</f>
        <v>0</v>
      </c>
      <c r="E25" s="11" t="n">
        <f aca="false">COUNTIF('Q4 Inspections'!U3:U102,"N")</f>
        <v>0</v>
      </c>
      <c r="F25" s="10" t="n">
        <f aca="false">SUM(B25:E25)</f>
        <v>0</v>
      </c>
    </row>
    <row r="26" customFormat="false" ht="18" hidden="false" customHeight="true" outlineLevel="0" collapsed="false">
      <c r="A26" s="17" t="s">
        <v>31</v>
      </c>
      <c r="B26" s="8" t="n">
        <f aca="false">COUNTIF('Q1 Inspections'!V3:V102,"N")</f>
        <v>0</v>
      </c>
      <c r="C26" s="8" t="n">
        <f aca="false">COUNTIF('Q2 Inspections'!V3:V102,"N")</f>
        <v>0</v>
      </c>
      <c r="D26" s="8" t="n">
        <f aca="false">COUNTIF('Q3 Inspections'!V3:V102,"N")</f>
        <v>0</v>
      </c>
      <c r="E26" s="8" t="n">
        <f aca="false">COUNTIF('Q4 Inspections'!V3:V102,"N")</f>
        <v>0</v>
      </c>
      <c r="F26" s="7" t="n">
        <f aca="false">SUM(B26:E26)</f>
        <v>0</v>
      </c>
    </row>
    <row r="27" customFormat="false" ht="18" hidden="false" customHeight="true" outlineLevel="0" collapsed="false">
      <c r="A27" s="18" t="s">
        <v>32</v>
      </c>
      <c r="B27" s="11" t="n">
        <f aca="false">COUNTIF('Q1 Inspections'!W3:W102,"N")</f>
        <v>0</v>
      </c>
      <c r="C27" s="11" t="n">
        <f aca="false">COUNTIF('Q2 Inspections'!W3:W102,"N")</f>
        <v>0</v>
      </c>
      <c r="D27" s="11" t="n">
        <f aca="false">COUNTIF('Q3 Inspections'!W3:W102,"N")</f>
        <v>0</v>
      </c>
      <c r="E27" s="11" t="n">
        <f aca="false">COUNTIF('Q4 Inspections'!W3:W102,"N")</f>
        <v>0</v>
      </c>
      <c r="F27" s="10" t="n">
        <f aca="false">SUM(B27:E27)</f>
        <v>0</v>
      </c>
    </row>
    <row r="29" customFormat="false" ht="6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customFormat="false" ht="15" hidden="false" customHeight="false" outlineLevel="0" collapsed="false">
      <c r="A30" s="5" t="s">
        <v>33</v>
      </c>
      <c r="B30" s="5"/>
      <c r="C30" s="5"/>
      <c r="D30" s="5"/>
      <c r="E30" s="5"/>
      <c r="F30" s="5"/>
      <c r="G30" s="5"/>
      <c r="H30" s="5"/>
      <c r="I30" s="5"/>
      <c r="J30" s="5"/>
    </row>
    <row r="31" customFormat="false" ht="30" hidden="false" customHeight="true" outlineLevel="0" collapsed="false">
      <c r="A31" s="19" t="s">
        <v>34</v>
      </c>
      <c r="B31" s="19"/>
      <c r="C31" s="19"/>
      <c r="D31" s="19"/>
      <c r="E31" s="19"/>
      <c r="F31" s="19"/>
      <c r="G31" s="19"/>
      <c r="H31" s="19"/>
      <c r="I31" s="19"/>
      <c r="J31" s="19"/>
    </row>
    <row r="32" customFormat="false" ht="30" hidden="false" customHeight="true" outlineLevel="0" collapsed="false">
      <c r="A32" s="20" t="s">
        <v>35</v>
      </c>
      <c r="B32" s="20"/>
      <c r="C32" s="20"/>
      <c r="D32" s="20"/>
      <c r="E32" s="20"/>
      <c r="F32" s="20"/>
      <c r="G32" s="20"/>
      <c r="H32" s="20"/>
      <c r="I32" s="20"/>
      <c r="J32" s="20"/>
    </row>
    <row r="33" customFormat="false" ht="30" hidden="false" customHeight="true" outlineLevel="0" collapsed="false">
      <c r="A33" s="19" t="s">
        <v>36</v>
      </c>
      <c r="B33" s="19"/>
      <c r="C33" s="19"/>
      <c r="D33" s="19"/>
      <c r="E33" s="19"/>
      <c r="F33" s="19"/>
      <c r="G33" s="19"/>
      <c r="H33" s="19"/>
      <c r="I33" s="19"/>
      <c r="J33" s="19"/>
    </row>
    <row r="34" customFormat="false" ht="30" hidden="false" customHeight="true" outlineLevel="0" collapsed="false">
      <c r="A34" s="20" t="s">
        <v>37</v>
      </c>
      <c r="B34" s="20"/>
      <c r="C34" s="20"/>
      <c r="D34" s="20"/>
      <c r="E34" s="20"/>
      <c r="F34" s="20"/>
      <c r="G34" s="20"/>
      <c r="H34" s="20"/>
      <c r="I34" s="20"/>
      <c r="J34" s="20"/>
    </row>
    <row r="35" customFormat="false" ht="30" hidden="false" customHeight="true" outlineLevel="0" collapsed="false">
      <c r="A35" s="19" t="s">
        <v>38</v>
      </c>
      <c r="B35" s="19"/>
      <c r="C35" s="19"/>
      <c r="D35" s="19"/>
      <c r="E35" s="19"/>
      <c r="F35" s="19"/>
      <c r="G35" s="19"/>
      <c r="H35" s="19"/>
      <c r="I35" s="19"/>
      <c r="J35" s="19"/>
    </row>
    <row r="36" customFormat="false" ht="30" hidden="false" customHeight="true" outlineLevel="0" collapsed="false">
      <c r="A36" s="20" t="s">
        <v>39</v>
      </c>
      <c r="B36" s="20"/>
      <c r="C36" s="20"/>
      <c r="D36" s="20"/>
      <c r="E36" s="20"/>
      <c r="F36" s="20"/>
      <c r="G36" s="20"/>
      <c r="H36" s="20"/>
      <c r="I36" s="20"/>
      <c r="J36" s="20"/>
    </row>
  </sheetData>
  <mergeCells count="11">
    <mergeCell ref="A1:J1"/>
    <mergeCell ref="A2:J2"/>
    <mergeCell ref="A4:J4"/>
    <mergeCell ref="A14:J14"/>
    <mergeCell ref="A30:J30"/>
    <mergeCell ref="A31:J31"/>
    <mergeCell ref="A32:J32"/>
    <mergeCell ref="A33:J33"/>
    <mergeCell ref="A34:J34"/>
    <mergeCell ref="A35:J35"/>
    <mergeCell ref="A36:J36"/>
  </mergeCells>
  <conditionalFormatting sqref="J6:J9">
    <cfRule type="expression" priority="2" aboveAverage="0" equalAverage="0" bottom="0" percent="0" rank="0" text="" dxfId="0">
      <formula>J6="Complete"</formula>
    </cfRule>
    <cfRule type="expression" priority="3" aboveAverage="0" equalAverage="0" bottom="0" percent="0" rank="0" text="" dxfId="1">
      <formula>J6="In Progress"</formula>
    </cfRule>
    <cfRule type="expression" priority="4" aboveAverage="0" equalAverage="0" bottom="0" percent="0" rank="0" text="" dxfId="2">
      <formula>J6="Not Started"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CCC"/>
    <pageSetUpPr fitToPage="false"/>
  </sheetPr>
  <dimension ref="A1:AB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B4" activeCellId="0" sqref="B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24"/>
    <col collapsed="false" customWidth="true" hidden="false" outlineLevel="0" max="7" min="7" style="1" width="28"/>
    <col collapsed="false" customWidth="true" hidden="false" outlineLevel="0" max="8" min="8" style="1" width="20"/>
    <col collapsed="false" customWidth="true" hidden="false" outlineLevel="0" max="9" min="9" style="1" width="22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2" min="12" style="1" width="10"/>
    <col collapsed="false" customWidth="true" hidden="false" outlineLevel="0" max="13" min="13" style="1" width="1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2"/>
    <col collapsed="false" customWidth="true" hidden="false" outlineLevel="0" max="18" min="17" style="1" width="14"/>
    <col collapsed="false" customWidth="true" hidden="false" outlineLevel="0" max="19" min="19" style="1" width="13"/>
    <col collapsed="false" customWidth="true" hidden="false" outlineLevel="0" max="20" min="20" style="1" width="12"/>
    <col collapsed="false" customWidth="true" hidden="false" outlineLevel="0" max="21" min="21" style="1" width="16"/>
    <col collapsed="false" customWidth="true" hidden="false" outlineLevel="0" max="22" min="22" style="1" width="15"/>
    <col collapsed="false" customWidth="true" hidden="false" outlineLevel="0" max="23" min="23" style="1" width="17"/>
    <col collapsed="false" customWidth="true" hidden="false" outlineLevel="0" max="24" min="24" style="1" width="13"/>
    <col collapsed="false" customWidth="true" hidden="false" outlineLevel="0" max="25" min="25" style="1" width="30"/>
    <col collapsed="false" customWidth="true" hidden="false" outlineLevel="0" max="26" min="26" style="1" width="16"/>
    <col collapsed="false" customWidth="true" hidden="false" outlineLevel="0" max="27" min="27" style="1" width="14"/>
    <col collapsed="false" customWidth="true" hidden="false" outlineLevel="0" max="28" min="28" style="1" width="30"/>
  </cols>
  <sheetData>
    <row r="1" customFormat="false" ht="27.75" hidden="false" customHeight="true" outlineLevel="0" collapsed="false">
      <c r="A1" s="21" t="s">
        <v>40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customFormat="false" ht="39.75" hidden="false" customHeight="true" outlineLevel="0" collapsed="false">
      <c r="A2" s="22" t="s">
        <v>41</v>
      </c>
      <c r="B2" s="22" t="s">
        <v>42</v>
      </c>
      <c r="C2" s="22" t="s">
        <v>43</v>
      </c>
      <c r="D2" s="22" t="s">
        <v>44</v>
      </c>
      <c r="E2" s="22" t="s">
        <v>45</v>
      </c>
      <c r="F2" s="22" t="s">
        <v>46</v>
      </c>
      <c r="G2" s="22" t="s">
        <v>47</v>
      </c>
      <c r="H2" s="22" t="s">
        <v>48</v>
      </c>
      <c r="I2" s="22" t="s">
        <v>49</v>
      </c>
      <c r="J2" s="22" t="s">
        <v>50</v>
      </c>
      <c r="K2" s="22" t="s">
        <v>51</v>
      </c>
      <c r="L2" s="22" t="s">
        <v>52</v>
      </c>
      <c r="M2" s="22" t="s">
        <v>53</v>
      </c>
      <c r="N2" s="22" t="s">
        <v>54</v>
      </c>
      <c r="O2" s="22" t="s">
        <v>55</v>
      </c>
      <c r="P2" s="22" t="s">
        <v>56</v>
      </c>
      <c r="Q2" s="22" t="s">
        <v>57</v>
      </c>
      <c r="R2" s="22" t="s">
        <v>58</v>
      </c>
      <c r="S2" s="22" t="s">
        <v>59</v>
      </c>
      <c r="T2" s="22" t="s">
        <v>60</v>
      </c>
      <c r="U2" s="22" t="s">
        <v>61</v>
      </c>
      <c r="V2" s="22" t="s">
        <v>62</v>
      </c>
      <c r="W2" s="22" t="s">
        <v>63</v>
      </c>
      <c r="X2" s="22" t="s">
        <v>64</v>
      </c>
      <c r="Y2" s="22" t="s">
        <v>65</v>
      </c>
      <c r="Z2" s="22" t="s">
        <v>66</v>
      </c>
      <c r="AA2" s="22" t="s">
        <v>67</v>
      </c>
      <c r="AB2" s="22" t="s">
        <v>68</v>
      </c>
    </row>
    <row r="3" customFormat="false" ht="42" hidden="false" customHeight="true" outlineLevel="0" collapsed="false">
      <c r="A3" s="23" t="n">
        <v>1</v>
      </c>
      <c r="B3" s="24" t="s">
        <v>69</v>
      </c>
      <c r="C3" s="24" t="s">
        <v>70</v>
      </c>
      <c r="D3" s="24" t="s">
        <v>71</v>
      </c>
      <c r="E3" s="24" t="s">
        <v>72</v>
      </c>
      <c r="F3" s="24" t="s">
        <v>73</v>
      </c>
      <c r="G3" s="24" t="s">
        <v>74</v>
      </c>
      <c r="H3" s="25"/>
      <c r="I3" s="25"/>
      <c r="J3" s="26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7" t="str">
        <f aca="false">IF(COUNTIF(L3:W3,"N")=0,"Pass",IF(COUNTIF(L3:W3,"N")&lt;=2,"Conditional","Fail"))</f>
        <v>Pass</v>
      </c>
      <c r="Y3" s="28"/>
      <c r="Z3" s="29"/>
      <c r="AA3" s="29"/>
      <c r="AB3" s="28"/>
    </row>
    <row r="4" customFormat="false" ht="42" hidden="false" customHeight="true" outlineLevel="0" collapsed="false">
      <c r="A4" s="30" t="n">
        <v>2</v>
      </c>
      <c r="B4" s="31"/>
      <c r="C4" s="31"/>
      <c r="D4" s="31"/>
      <c r="E4" s="31"/>
      <c r="F4" s="31"/>
      <c r="G4" s="31"/>
      <c r="H4" s="32"/>
      <c r="I4" s="32"/>
      <c r="J4" s="33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4" t="str">
        <f aca="false">IF(COUNTIF(L4:W4,"N")=0,"Pass",IF(COUNTIF(L4:W4,"N")&lt;=2,"Conditional","Fail"))</f>
        <v>Pass</v>
      </c>
      <c r="Y4" s="31"/>
      <c r="Z4" s="35"/>
      <c r="AA4" s="35"/>
      <c r="AB4" s="31"/>
    </row>
    <row r="5" customFormat="false" ht="42" hidden="false" customHeight="true" outlineLevel="0" collapsed="false">
      <c r="A5" s="23" t="n">
        <v>3</v>
      </c>
      <c r="B5" s="28"/>
      <c r="C5" s="28"/>
      <c r="D5" s="28"/>
      <c r="E5" s="28"/>
      <c r="F5" s="28"/>
      <c r="G5" s="28"/>
      <c r="H5" s="25"/>
      <c r="I5" s="25"/>
      <c r="J5" s="26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7" t="str">
        <f aca="false">IF(COUNTIF(L5:W5,"N")=0,"Pass",IF(COUNTIF(L5:W5,"N")&lt;=2,"Conditional","Fail"))</f>
        <v>Pass</v>
      </c>
      <c r="Y5" s="28"/>
      <c r="Z5" s="29"/>
      <c r="AA5" s="29"/>
      <c r="AB5" s="28"/>
    </row>
    <row r="6" customFormat="false" ht="42" hidden="false" customHeight="true" outlineLevel="0" collapsed="false">
      <c r="A6" s="30" t="n">
        <v>4</v>
      </c>
      <c r="B6" s="31"/>
      <c r="C6" s="31"/>
      <c r="D6" s="31"/>
      <c r="E6" s="31"/>
      <c r="F6" s="31"/>
      <c r="G6" s="31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4" t="str">
        <f aca="false">IF(COUNTIF(L6:W6,"N")=0,"Pass",IF(COUNTIF(L6:W6,"N")&lt;=2,"Conditional","Fail"))</f>
        <v>Pass</v>
      </c>
      <c r="Y6" s="31"/>
      <c r="Z6" s="35"/>
      <c r="AA6" s="35"/>
      <c r="AB6" s="31"/>
    </row>
    <row r="7" customFormat="false" ht="42" hidden="false" customHeight="true" outlineLevel="0" collapsed="false">
      <c r="A7" s="23" t="n">
        <v>5</v>
      </c>
      <c r="B7" s="28"/>
      <c r="C7" s="28"/>
      <c r="D7" s="28"/>
      <c r="E7" s="28"/>
      <c r="F7" s="28"/>
      <c r="G7" s="28"/>
      <c r="H7" s="25"/>
      <c r="I7" s="25"/>
      <c r="J7" s="26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7" t="str">
        <f aca="false">IF(COUNTIF(L7:W7,"N")=0,"Pass",IF(COUNTIF(L7:W7,"N")&lt;=2,"Conditional","Fail"))</f>
        <v>Pass</v>
      </c>
      <c r="Y7" s="28"/>
      <c r="Z7" s="29"/>
      <c r="AA7" s="29"/>
      <c r="AB7" s="28"/>
    </row>
    <row r="8" customFormat="false" ht="42" hidden="false" customHeight="true" outlineLevel="0" collapsed="false">
      <c r="A8" s="30" t="n">
        <v>6</v>
      </c>
      <c r="B8" s="31"/>
      <c r="C8" s="31"/>
      <c r="D8" s="31"/>
      <c r="E8" s="31"/>
      <c r="F8" s="31"/>
      <c r="G8" s="31"/>
      <c r="H8" s="32"/>
      <c r="I8" s="32"/>
      <c r="J8" s="33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4" t="str">
        <f aca="false">IF(COUNTIF(L8:W8,"N")=0,"Pass",IF(COUNTIF(L8:W8,"N")&lt;=2,"Conditional","Fail"))</f>
        <v>Pass</v>
      </c>
      <c r="Y8" s="31"/>
      <c r="Z8" s="35"/>
      <c r="AA8" s="35"/>
      <c r="AB8" s="31"/>
    </row>
    <row r="9" customFormat="false" ht="42" hidden="false" customHeight="true" outlineLevel="0" collapsed="false">
      <c r="A9" s="23" t="n">
        <v>7</v>
      </c>
      <c r="B9" s="28"/>
      <c r="C9" s="28"/>
      <c r="D9" s="28"/>
      <c r="E9" s="28"/>
      <c r="F9" s="28"/>
      <c r="G9" s="28"/>
      <c r="H9" s="25"/>
      <c r="I9" s="25"/>
      <c r="J9" s="26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7" t="str">
        <f aca="false">IF(COUNTIF(L9:W9,"N")=0,"Pass",IF(COUNTIF(L9:W9,"N")&lt;=2,"Conditional","Fail"))</f>
        <v>Pass</v>
      </c>
      <c r="Y9" s="28"/>
      <c r="Z9" s="29"/>
      <c r="AA9" s="29"/>
      <c r="AB9" s="28"/>
    </row>
    <row r="10" customFormat="false" ht="42" hidden="false" customHeight="true" outlineLevel="0" collapsed="false">
      <c r="A10" s="30" t="n">
        <v>8</v>
      </c>
      <c r="B10" s="31"/>
      <c r="C10" s="31"/>
      <c r="D10" s="31"/>
      <c r="E10" s="31"/>
      <c r="F10" s="31"/>
      <c r="G10" s="31"/>
      <c r="H10" s="32"/>
      <c r="I10" s="32"/>
      <c r="J10" s="33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4" t="str">
        <f aca="false">IF(COUNTIF(L10:W10,"N")=0,"Pass",IF(COUNTIF(L10:W10,"N")&lt;=2,"Conditional","Fail"))</f>
        <v>Pass</v>
      </c>
      <c r="Y10" s="31"/>
      <c r="Z10" s="35"/>
      <c r="AA10" s="35"/>
      <c r="AB10" s="31"/>
    </row>
    <row r="11" customFormat="false" ht="42" hidden="false" customHeight="true" outlineLevel="0" collapsed="false">
      <c r="A11" s="23" t="n">
        <v>9</v>
      </c>
      <c r="B11" s="28"/>
      <c r="C11" s="28"/>
      <c r="D11" s="28"/>
      <c r="E11" s="28"/>
      <c r="F11" s="28"/>
      <c r="G11" s="28"/>
      <c r="H11" s="25"/>
      <c r="I11" s="25"/>
      <c r="J11" s="26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7" t="str">
        <f aca="false">IF(COUNTIF(L11:W11,"N")=0,"Pass",IF(COUNTIF(L11:W11,"N")&lt;=2,"Conditional","Fail"))</f>
        <v>Pass</v>
      </c>
      <c r="Y11" s="28"/>
      <c r="Z11" s="29"/>
      <c r="AA11" s="29"/>
      <c r="AB11" s="28"/>
    </row>
    <row r="12" customFormat="false" ht="42" hidden="false" customHeight="true" outlineLevel="0" collapsed="false">
      <c r="A12" s="30" t="n">
        <v>10</v>
      </c>
      <c r="B12" s="31"/>
      <c r="C12" s="31"/>
      <c r="D12" s="31"/>
      <c r="E12" s="31"/>
      <c r="F12" s="31"/>
      <c r="G12" s="31"/>
      <c r="H12" s="32"/>
      <c r="I12" s="32"/>
      <c r="J12" s="33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4" t="str">
        <f aca="false">IF(COUNTIF(L12:W12,"N")=0,"Pass",IF(COUNTIF(L12:W12,"N")&lt;=2,"Conditional","Fail"))</f>
        <v>Pass</v>
      </c>
      <c r="Y12" s="31"/>
      <c r="Z12" s="35"/>
      <c r="AA12" s="35"/>
      <c r="AB12" s="31"/>
    </row>
    <row r="13" customFormat="false" ht="30" hidden="false" customHeight="true" outlineLevel="0" collapsed="false">
      <c r="A13" s="25" t="n">
        <v>11</v>
      </c>
      <c r="B13" s="28"/>
      <c r="C13" s="28"/>
      <c r="D13" s="28"/>
      <c r="E13" s="28"/>
      <c r="F13" s="28"/>
      <c r="G13" s="28"/>
      <c r="H13" s="28"/>
      <c r="I13" s="28"/>
      <c r="J13" s="26"/>
      <c r="K13" s="28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7" t="str">
        <f aca="false">IF(COUNTIF(L13:W13,"N")=0,"Pass",IF(COUNTIF(L13:W13,"N")&lt;=2,"Conditional","Fail"))</f>
        <v>Pass</v>
      </c>
      <c r="Y13" s="28"/>
      <c r="Z13" s="26"/>
      <c r="AA13" s="26"/>
      <c r="AB13" s="28"/>
    </row>
    <row r="14" customFormat="false" ht="30" hidden="false" customHeight="true" outlineLevel="0" collapsed="false">
      <c r="A14" s="32" t="n">
        <v>12</v>
      </c>
      <c r="B14" s="31"/>
      <c r="C14" s="31"/>
      <c r="D14" s="31"/>
      <c r="E14" s="31"/>
      <c r="F14" s="31"/>
      <c r="G14" s="31"/>
      <c r="H14" s="31"/>
      <c r="I14" s="31"/>
      <c r="J14" s="33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4" t="str">
        <f aca="false">IF(COUNTIF(L14:W14,"N")=0,"Pass",IF(COUNTIF(L14:W14,"N")&lt;=2,"Conditional","Fail"))</f>
        <v>Pass</v>
      </c>
      <c r="Y14" s="31"/>
      <c r="Z14" s="33"/>
      <c r="AA14" s="33"/>
      <c r="AB14" s="31"/>
    </row>
    <row r="15" customFormat="false" ht="30" hidden="false" customHeight="true" outlineLevel="0" collapsed="false">
      <c r="A15" s="25" t="n">
        <v>13</v>
      </c>
      <c r="B15" s="28"/>
      <c r="C15" s="28"/>
      <c r="D15" s="28"/>
      <c r="E15" s="28"/>
      <c r="F15" s="28"/>
      <c r="G15" s="28"/>
      <c r="H15" s="28"/>
      <c r="I15" s="28"/>
      <c r="J15" s="26"/>
      <c r="K15" s="28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7" t="str">
        <f aca="false">IF(COUNTIF(L15:W15,"N")=0,"Pass",IF(COUNTIF(L15:W15,"N")&lt;=2,"Conditional","Fail"))</f>
        <v>Pass</v>
      </c>
      <c r="Y15" s="28"/>
      <c r="Z15" s="26"/>
      <c r="AA15" s="26"/>
      <c r="AB15" s="28"/>
    </row>
    <row r="16" customFormat="false" ht="30" hidden="false" customHeight="true" outlineLevel="0" collapsed="false">
      <c r="A16" s="32" t="n">
        <v>14</v>
      </c>
      <c r="B16" s="31"/>
      <c r="C16" s="31"/>
      <c r="D16" s="31"/>
      <c r="E16" s="31"/>
      <c r="F16" s="31"/>
      <c r="G16" s="31"/>
      <c r="H16" s="31"/>
      <c r="I16" s="31"/>
      <c r="J16" s="33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4" t="str">
        <f aca="false">IF(COUNTIF(L16:W16,"N")=0,"Pass",IF(COUNTIF(L16:W16,"N")&lt;=2,"Conditional","Fail"))</f>
        <v>Pass</v>
      </c>
      <c r="Y16" s="31"/>
      <c r="Z16" s="33"/>
      <c r="AA16" s="33"/>
      <c r="AB16" s="31"/>
    </row>
    <row r="17" customFormat="false" ht="30" hidden="false" customHeight="true" outlineLevel="0" collapsed="false">
      <c r="A17" s="25" t="n">
        <v>15</v>
      </c>
      <c r="B17" s="28"/>
      <c r="C17" s="28"/>
      <c r="D17" s="28"/>
      <c r="E17" s="28"/>
      <c r="F17" s="28"/>
      <c r="G17" s="28"/>
      <c r="H17" s="28"/>
      <c r="I17" s="28"/>
      <c r="J17" s="26"/>
      <c r="K17" s="28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7" t="str">
        <f aca="false">IF(COUNTIF(L17:W17,"N")=0,"Pass",IF(COUNTIF(L17:W17,"N")&lt;=2,"Conditional","Fail"))</f>
        <v>Pass</v>
      </c>
      <c r="Y17" s="28"/>
      <c r="Z17" s="26"/>
      <c r="AA17" s="26"/>
      <c r="AB17" s="28"/>
    </row>
    <row r="18" customFormat="false" ht="30" hidden="false" customHeight="true" outlineLevel="0" collapsed="false">
      <c r="A18" s="32" t="n">
        <v>16</v>
      </c>
      <c r="B18" s="31"/>
      <c r="C18" s="31"/>
      <c r="D18" s="31"/>
      <c r="E18" s="31"/>
      <c r="F18" s="31"/>
      <c r="G18" s="31"/>
      <c r="H18" s="31"/>
      <c r="I18" s="31"/>
      <c r="J18" s="33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4" t="str">
        <f aca="false">IF(COUNTIF(L18:W18,"N")=0,"Pass",IF(COUNTIF(L18:W18,"N")&lt;=2,"Conditional","Fail"))</f>
        <v>Pass</v>
      </c>
      <c r="Y18" s="31"/>
      <c r="Z18" s="33"/>
      <c r="AA18" s="33"/>
      <c r="AB18" s="31"/>
    </row>
    <row r="19" customFormat="false" ht="30" hidden="false" customHeight="true" outlineLevel="0" collapsed="false">
      <c r="A19" s="25" t="n">
        <v>17</v>
      </c>
      <c r="B19" s="28"/>
      <c r="C19" s="28"/>
      <c r="D19" s="28"/>
      <c r="E19" s="28"/>
      <c r="F19" s="28"/>
      <c r="G19" s="28"/>
      <c r="H19" s="28"/>
      <c r="I19" s="28"/>
      <c r="J19" s="26"/>
      <c r="K19" s="28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7" t="str">
        <f aca="false">IF(COUNTIF(L19:W19,"N")=0,"Pass",IF(COUNTIF(L19:W19,"N")&lt;=2,"Conditional","Fail"))</f>
        <v>Pass</v>
      </c>
      <c r="Y19" s="28"/>
      <c r="Z19" s="26"/>
      <c r="AA19" s="26"/>
      <c r="AB19" s="28"/>
    </row>
    <row r="20" customFormat="false" ht="30" hidden="false" customHeight="true" outlineLevel="0" collapsed="false">
      <c r="A20" s="32" t="n">
        <v>18</v>
      </c>
      <c r="B20" s="31"/>
      <c r="C20" s="31"/>
      <c r="D20" s="31"/>
      <c r="E20" s="31"/>
      <c r="F20" s="31"/>
      <c r="G20" s="31"/>
      <c r="H20" s="31"/>
      <c r="I20" s="31"/>
      <c r="J20" s="33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4" t="str">
        <f aca="false">IF(COUNTIF(L20:W20,"N")=0,"Pass",IF(COUNTIF(L20:W20,"N")&lt;=2,"Conditional","Fail"))</f>
        <v>Pass</v>
      </c>
      <c r="Y20" s="31"/>
      <c r="Z20" s="33"/>
      <c r="AA20" s="33"/>
      <c r="AB20" s="31"/>
    </row>
    <row r="21" customFormat="false" ht="30" hidden="false" customHeight="true" outlineLevel="0" collapsed="false">
      <c r="A21" s="25" t="n">
        <v>19</v>
      </c>
      <c r="B21" s="28"/>
      <c r="C21" s="28"/>
      <c r="D21" s="28"/>
      <c r="E21" s="28"/>
      <c r="F21" s="28"/>
      <c r="G21" s="28"/>
      <c r="H21" s="28"/>
      <c r="I21" s="28"/>
      <c r="J21" s="26"/>
      <c r="K21" s="28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7" t="str">
        <f aca="false">IF(COUNTIF(L21:W21,"N")=0,"Pass",IF(COUNTIF(L21:W21,"N")&lt;=2,"Conditional","Fail"))</f>
        <v>Pass</v>
      </c>
      <c r="Y21" s="28"/>
      <c r="Z21" s="26"/>
      <c r="AA21" s="26"/>
      <c r="AB21" s="28"/>
    </row>
    <row r="22" customFormat="false" ht="30" hidden="false" customHeight="true" outlineLevel="0" collapsed="false">
      <c r="A22" s="32" t="n">
        <v>20</v>
      </c>
      <c r="B22" s="31"/>
      <c r="C22" s="31"/>
      <c r="D22" s="31"/>
      <c r="E22" s="31"/>
      <c r="F22" s="31"/>
      <c r="G22" s="31"/>
      <c r="H22" s="31"/>
      <c r="I22" s="31"/>
      <c r="J22" s="33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4" t="str">
        <f aca="false">IF(COUNTIF(L22:W22,"N")=0,"Pass",IF(COUNTIF(L22:W22,"N")&lt;=2,"Conditional","Fail"))</f>
        <v>Pass</v>
      </c>
      <c r="Y22" s="31"/>
      <c r="Z22" s="33"/>
      <c r="AA22" s="33"/>
      <c r="AB22" s="31"/>
    </row>
    <row r="23" customFormat="false" ht="30" hidden="false" customHeight="true" outlineLevel="0" collapsed="false">
      <c r="A23" s="25" t="n">
        <v>21</v>
      </c>
      <c r="B23" s="28"/>
      <c r="C23" s="28"/>
      <c r="D23" s="28"/>
      <c r="E23" s="28"/>
      <c r="F23" s="28"/>
      <c r="G23" s="28"/>
      <c r="H23" s="28"/>
      <c r="I23" s="28"/>
      <c r="J23" s="26"/>
      <c r="K23" s="28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7" t="str">
        <f aca="false">IF(COUNTIF(L23:W23,"N")=0,"Pass",IF(COUNTIF(L23:W23,"N")&lt;=2,"Conditional","Fail"))</f>
        <v>Pass</v>
      </c>
      <c r="Y23" s="28"/>
      <c r="Z23" s="26"/>
      <c r="AA23" s="26"/>
      <c r="AB23" s="28"/>
    </row>
    <row r="24" customFormat="false" ht="30" hidden="false" customHeight="true" outlineLevel="0" collapsed="false">
      <c r="A24" s="32" t="n">
        <v>22</v>
      </c>
      <c r="B24" s="31"/>
      <c r="C24" s="31"/>
      <c r="D24" s="31"/>
      <c r="E24" s="31"/>
      <c r="F24" s="31"/>
      <c r="G24" s="31"/>
      <c r="H24" s="31"/>
      <c r="I24" s="31"/>
      <c r="J24" s="33"/>
      <c r="K24" s="31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4" t="str">
        <f aca="false">IF(COUNTIF(L24:W24,"N")=0,"Pass",IF(COUNTIF(L24:W24,"N")&lt;=2,"Conditional","Fail"))</f>
        <v>Pass</v>
      </c>
      <c r="Y24" s="31"/>
      <c r="Z24" s="33"/>
      <c r="AA24" s="33"/>
      <c r="AB24" s="31"/>
    </row>
    <row r="25" customFormat="false" ht="30" hidden="false" customHeight="true" outlineLevel="0" collapsed="false">
      <c r="A25" s="25" t="n">
        <v>23</v>
      </c>
      <c r="B25" s="28"/>
      <c r="C25" s="28"/>
      <c r="D25" s="28"/>
      <c r="E25" s="28"/>
      <c r="F25" s="28"/>
      <c r="G25" s="28"/>
      <c r="H25" s="28"/>
      <c r="I25" s="28"/>
      <c r="J25" s="26"/>
      <c r="K25" s="28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7" t="str">
        <f aca="false">IF(COUNTIF(L25:W25,"N")=0,"Pass",IF(COUNTIF(L25:W25,"N")&lt;=2,"Conditional","Fail"))</f>
        <v>Pass</v>
      </c>
      <c r="Y25" s="28"/>
      <c r="Z25" s="26"/>
      <c r="AA25" s="26"/>
      <c r="AB25" s="28"/>
    </row>
    <row r="26" customFormat="false" ht="30" hidden="false" customHeight="true" outlineLevel="0" collapsed="false">
      <c r="A26" s="32" t="n">
        <v>24</v>
      </c>
      <c r="B26" s="31"/>
      <c r="C26" s="31"/>
      <c r="D26" s="31"/>
      <c r="E26" s="31"/>
      <c r="F26" s="31"/>
      <c r="G26" s="31"/>
      <c r="H26" s="31"/>
      <c r="I26" s="31"/>
      <c r="J26" s="33"/>
      <c r="K26" s="31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4" t="str">
        <f aca="false">IF(COUNTIF(L26:W26,"N")=0,"Pass",IF(COUNTIF(L26:W26,"N")&lt;=2,"Conditional","Fail"))</f>
        <v>Pass</v>
      </c>
      <c r="Y26" s="31"/>
      <c r="Z26" s="33"/>
      <c r="AA26" s="33"/>
      <c r="AB26" s="31"/>
    </row>
    <row r="27" customFormat="false" ht="30" hidden="false" customHeight="true" outlineLevel="0" collapsed="false">
      <c r="A27" s="25" t="n">
        <v>25</v>
      </c>
      <c r="B27" s="28"/>
      <c r="C27" s="28"/>
      <c r="D27" s="28"/>
      <c r="E27" s="28"/>
      <c r="F27" s="28"/>
      <c r="G27" s="28"/>
      <c r="H27" s="28"/>
      <c r="I27" s="28"/>
      <c r="J27" s="26"/>
      <c r="K27" s="28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7" t="str">
        <f aca="false">IF(COUNTIF(L27:W27,"N")=0,"Pass",IF(COUNTIF(L27:W27,"N")&lt;=2,"Conditional","Fail"))</f>
        <v>Pass</v>
      </c>
      <c r="Y27" s="28"/>
      <c r="Z27" s="26"/>
      <c r="AA27" s="26"/>
      <c r="AB27" s="28"/>
    </row>
    <row r="28" customFormat="false" ht="30" hidden="false" customHeight="true" outlineLevel="0" collapsed="false">
      <c r="A28" s="32" t="n">
        <v>26</v>
      </c>
      <c r="B28" s="31"/>
      <c r="C28" s="31"/>
      <c r="D28" s="31"/>
      <c r="E28" s="31"/>
      <c r="F28" s="31"/>
      <c r="G28" s="31"/>
      <c r="H28" s="31"/>
      <c r="I28" s="31"/>
      <c r="J28" s="33"/>
      <c r="K28" s="31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4" t="str">
        <f aca="false">IF(COUNTIF(L28:W28,"N")=0,"Pass",IF(COUNTIF(L28:W28,"N")&lt;=2,"Conditional","Fail"))</f>
        <v>Pass</v>
      </c>
      <c r="Y28" s="31"/>
      <c r="Z28" s="33"/>
      <c r="AA28" s="33"/>
      <c r="AB28" s="31"/>
    </row>
    <row r="29" customFormat="false" ht="30" hidden="false" customHeight="true" outlineLevel="0" collapsed="false">
      <c r="A29" s="25" t="n">
        <v>27</v>
      </c>
      <c r="B29" s="28"/>
      <c r="C29" s="28"/>
      <c r="D29" s="28"/>
      <c r="E29" s="28"/>
      <c r="F29" s="28"/>
      <c r="G29" s="28"/>
      <c r="H29" s="28"/>
      <c r="I29" s="28"/>
      <c r="J29" s="26"/>
      <c r="K29" s="28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7" t="str">
        <f aca="false">IF(COUNTIF(L29:W29,"N")=0,"Pass",IF(COUNTIF(L29:W29,"N")&lt;=2,"Conditional","Fail"))</f>
        <v>Pass</v>
      </c>
      <c r="Y29" s="28"/>
      <c r="Z29" s="26"/>
      <c r="AA29" s="26"/>
      <c r="AB29" s="28"/>
    </row>
    <row r="30" customFormat="false" ht="30" hidden="false" customHeight="true" outlineLevel="0" collapsed="false">
      <c r="A30" s="32" t="n">
        <v>28</v>
      </c>
      <c r="B30" s="31"/>
      <c r="C30" s="31"/>
      <c r="D30" s="31"/>
      <c r="E30" s="31"/>
      <c r="F30" s="31"/>
      <c r="G30" s="31"/>
      <c r="H30" s="31"/>
      <c r="I30" s="31"/>
      <c r="J30" s="33"/>
      <c r="K30" s="31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4" t="str">
        <f aca="false">IF(COUNTIF(L30:W30,"N")=0,"Pass",IF(COUNTIF(L30:W30,"N")&lt;=2,"Conditional","Fail"))</f>
        <v>Pass</v>
      </c>
      <c r="Y30" s="31"/>
      <c r="Z30" s="33"/>
      <c r="AA30" s="33"/>
      <c r="AB30" s="31"/>
    </row>
    <row r="31" customFormat="false" ht="30" hidden="false" customHeight="true" outlineLevel="0" collapsed="false">
      <c r="A31" s="25" t="n">
        <v>29</v>
      </c>
      <c r="B31" s="28"/>
      <c r="C31" s="28"/>
      <c r="D31" s="28"/>
      <c r="E31" s="28"/>
      <c r="F31" s="28"/>
      <c r="G31" s="28"/>
      <c r="H31" s="28"/>
      <c r="I31" s="28"/>
      <c r="J31" s="26"/>
      <c r="K31" s="28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7" t="str">
        <f aca="false">IF(COUNTIF(L31:W31,"N")=0,"Pass",IF(COUNTIF(L31:W31,"N")&lt;=2,"Conditional","Fail"))</f>
        <v>Pass</v>
      </c>
      <c r="Y31" s="28"/>
      <c r="Z31" s="26"/>
      <c r="AA31" s="26"/>
      <c r="AB31" s="28"/>
    </row>
    <row r="32" customFormat="false" ht="30" hidden="false" customHeight="true" outlineLevel="0" collapsed="false">
      <c r="A32" s="32" t="n">
        <v>30</v>
      </c>
      <c r="B32" s="31"/>
      <c r="C32" s="31"/>
      <c r="D32" s="31"/>
      <c r="E32" s="31"/>
      <c r="F32" s="31"/>
      <c r="G32" s="31"/>
      <c r="H32" s="31"/>
      <c r="I32" s="31"/>
      <c r="J32" s="33"/>
      <c r="K32" s="31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4" t="str">
        <f aca="false">IF(COUNTIF(L32:W32,"N")=0,"Pass",IF(COUNTIF(L32:W32,"N")&lt;=2,"Conditional","Fail"))</f>
        <v>Pass</v>
      </c>
      <c r="Y32" s="31"/>
      <c r="Z32" s="33"/>
      <c r="AA32" s="33"/>
      <c r="AB32" s="31"/>
    </row>
    <row r="33" customFormat="false" ht="30" hidden="false" customHeight="true" outlineLevel="0" collapsed="false">
      <c r="A33" s="25" t="n">
        <v>31</v>
      </c>
      <c r="B33" s="28"/>
      <c r="C33" s="28"/>
      <c r="D33" s="28"/>
      <c r="E33" s="28"/>
      <c r="F33" s="28"/>
      <c r="G33" s="28"/>
      <c r="H33" s="28"/>
      <c r="I33" s="28"/>
      <c r="J33" s="26"/>
      <c r="K33" s="28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7" t="str">
        <f aca="false">IF(COUNTIF(L33:W33,"N")=0,"Pass",IF(COUNTIF(L33:W33,"N")&lt;=2,"Conditional","Fail"))</f>
        <v>Pass</v>
      </c>
      <c r="Y33" s="28"/>
      <c r="Z33" s="26"/>
      <c r="AA33" s="26"/>
      <c r="AB33" s="28"/>
    </row>
    <row r="34" customFormat="false" ht="30" hidden="false" customHeight="true" outlineLevel="0" collapsed="false">
      <c r="A34" s="32" t="n">
        <v>32</v>
      </c>
      <c r="B34" s="31"/>
      <c r="C34" s="31"/>
      <c r="D34" s="31"/>
      <c r="E34" s="31"/>
      <c r="F34" s="31"/>
      <c r="G34" s="31"/>
      <c r="H34" s="31"/>
      <c r="I34" s="31"/>
      <c r="J34" s="33"/>
      <c r="K34" s="31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4" t="str">
        <f aca="false">IF(COUNTIF(L34:W34,"N")=0,"Pass",IF(COUNTIF(L34:W34,"N")&lt;=2,"Conditional","Fail"))</f>
        <v>Pass</v>
      </c>
      <c r="Y34" s="31"/>
      <c r="Z34" s="33"/>
      <c r="AA34" s="33"/>
      <c r="AB34" s="31"/>
    </row>
    <row r="35" customFormat="false" ht="30" hidden="false" customHeight="true" outlineLevel="0" collapsed="false">
      <c r="A35" s="25" t="n">
        <v>33</v>
      </c>
      <c r="B35" s="28"/>
      <c r="C35" s="28"/>
      <c r="D35" s="28"/>
      <c r="E35" s="28"/>
      <c r="F35" s="28"/>
      <c r="G35" s="28"/>
      <c r="H35" s="28"/>
      <c r="I35" s="28"/>
      <c r="J35" s="26"/>
      <c r="K35" s="28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7" t="str">
        <f aca="false">IF(COUNTIF(L35:W35,"N")=0,"Pass",IF(COUNTIF(L35:W35,"N")&lt;=2,"Conditional","Fail"))</f>
        <v>Pass</v>
      </c>
      <c r="Y35" s="28"/>
      <c r="Z35" s="26"/>
      <c r="AA35" s="26"/>
      <c r="AB35" s="28"/>
    </row>
    <row r="36" customFormat="false" ht="30" hidden="false" customHeight="true" outlineLevel="0" collapsed="false">
      <c r="A36" s="32" t="n">
        <v>34</v>
      </c>
      <c r="B36" s="31"/>
      <c r="C36" s="31"/>
      <c r="D36" s="31"/>
      <c r="E36" s="31"/>
      <c r="F36" s="31"/>
      <c r="G36" s="31"/>
      <c r="H36" s="31"/>
      <c r="I36" s="31"/>
      <c r="J36" s="33"/>
      <c r="K36" s="31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4" t="str">
        <f aca="false">IF(COUNTIF(L36:W36,"N")=0,"Pass",IF(COUNTIF(L36:W36,"N")&lt;=2,"Conditional","Fail"))</f>
        <v>Pass</v>
      </c>
      <c r="Y36" s="31"/>
      <c r="Z36" s="33"/>
      <c r="AA36" s="33"/>
      <c r="AB36" s="31"/>
    </row>
    <row r="37" customFormat="false" ht="30" hidden="false" customHeight="true" outlineLevel="0" collapsed="false">
      <c r="A37" s="25" t="n">
        <v>35</v>
      </c>
      <c r="B37" s="28"/>
      <c r="C37" s="28"/>
      <c r="D37" s="28"/>
      <c r="E37" s="28"/>
      <c r="F37" s="28"/>
      <c r="G37" s="28"/>
      <c r="H37" s="28"/>
      <c r="I37" s="28"/>
      <c r="J37" s="26"/>
      <c r="K37" s="28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7" t="str">
        <f aca="false">IF(COUNTIF(L37:W37,"N")=0,"Pass",IF(COUNTIF(L37:W37,"N")&lt;=2,"Conditional","Fail"))</f>
        <v>Pass</v>
      </c>
      <c r="Y37" s="28"/>
      <c r="Z37" s="26"/>
      <c r="AA37" s="26"/>
      <c r="AB37" s="28"/>
    </row>
    <row r="38" customFormat="false" ht="30" hidden="false" customHeight="true" outlineLevel="0" collapsed="false">
      <c r="A38" s="32" t="n">
        <v>36</v>
      </c>
      <c r="B38" s="31"/>
      <c r="C38" s="31"/>
      <c r="D38" s="31"/>
      <c r="E38" s="31"/>
      <c r="F38" s="31"/>
      <c r="G38" s="31"/>
      <c r="H38" s="31"/>
      <c r="I38" s="31"/>
      <c r="J38" s="33"/>
      <c r="K38" s="31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4" t="str">
        <f aca="false">IF(COUNTIF(L38:W38,"N")=0,"Pass",IF(COUNTIF(L38:W38,"N")&lt;=2,"Conditional","Fail"))</f>
        <v>Pass</v>
      </c>
      <c r="Y38" s="31"/>
      <c r="Z38" s="33"/>
      <c r="AA38" s="33"/>
      <c r="AB38" s="31"/>
    </row>
    <row r="39" customFormat="false" ht="30" hidden="false" customHeight="true" outlineLevel="0" collapsed="false">
      <c r="A39" s="25" t="n">
        <v>37</v>
      </c>
      <c r="B39" s="28"/>
      <c r="C39" s="28"/>
      <c r="D39" s="28"/>
      <c r="E39" s="28"/>
      <c r="F39" s="28"/>
      <c r="G39" s="28"/>
      <c r="H39" s="28"/>
      <c r="I39" s="28"/>
      <c r="J39" s="26"/>
      <c r="K39" s="28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7" t="str">
        <f aca="false">IF(COUNTIF(L39:W39,"N")=0,"Pass",IF(COUNTIF(L39:W39,"N")&lt;=2,"Conditional","Fail"))</f>
        <v>Pass</v>
      </c>
      <c r="Y39" s="28"/>
      <c r="Z39" s="26"/>
      <c r="AA39" s="26"/>
      <c r="AB39" s="28"/>
    </row>
    <row r="40" customFormat="false" ht="30" hidden="false" customHeight="true" outlineLevel="0" collapsed="false">
      <c r="A40" s="32" t="n">
        <v>38</v>
      </c>
      <c r="B40" s="31"/>
      <c r="C40" s="31"/>
      <c r="D40" s="31"/>
      <c r="E40" s="31"/>
      <c r="F40" s="31"/>
      <c r="G40" s="31"/>
      <c r="H40" s="31"/>
      <c r="I40" s="31"/>
      <c r="J40" s="33"/>
      <c r="K40" s="31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4" t="str">
        <f aca="false">IF(COUNTIF(L40:W40,"N")=0,"Pass",IF(COUNTIF(L40:W40,"N")&lt;=2,"Conditional","Fail"))</f>
        <v>Pass</v>
      </c>
      <c r="Y40" s="31"/>
      <c r="Z40" s="33"/>
      <c r="AA40" s="33"/>
      <c r="AB40" s="31"/>
    </row>
    <row r="41" customFormat="false" ht="30" hidden="false" customHeight="true" outlineLevel="0" collapsed="false">
      <c r="A41" s="25" t="n">
        <v>39</v>
      </c>
      <c r="B41" s="28"/>
      <c r="C41" s="28"/>
      <c r="D41" s="28"/>
      <c r="E41" s="28"/>
      <c r="F41" s="28"/>
      <c r="G41" s="28"/>
      <c r="H41" s="28"/>
      <c r="I41" s="28"/>
      <c r="J41" s="26"/>
      <c r="K41" s="28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7" t="str">
        <f aca="false">IF(COUNTIF(L41:W41,"N")=0,"Pass",IF(COUNTIF(L41:W41,"N")&lt;=2,"Conditional","Fail"))</f>
        <v>Pass</v>
      </c>
      <c r="Y41" s="28"/>
      <c r="Z41" s="26"/>
      <c r="AA41" s="26"/>
      <c r="AB41" s="28"/>
    </row>
    <row r="42" customFormat="false" ht="30" hidden="false" customHeight="true" outlineLevel="0" collapsed="false">
      <c r="A42" s="32" t="n">
        <v>40</v>
      </c>
      <c r="B42" s="31"/>
      <c r="C42" s="31"/>
      <c r="D42" s="31"/>
      <c r="E42" s="31"/>
      <c r="F42" s="31"/>
      <c r="G42" s="31"/>
      <c r="H42" s="31"/>
      <c r="I42" s="31"/>
      <c r="J42" s="33"/>
      <c r="K42" s="31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4" t="str">
        <f aca="false">IF(COUNTIF(L42:W42,"N")=0,"Pass",IF(COUNTIF(L42:W42,"N")&lt;=2,"Conditional","Fail"))</f>
        <v>Pass</v>
      </c>
      <c r="Y42" s="31"/>
      <c r="Z42" s="33"/>
      <c r="AA42" s="33"/>
      <c r="AB42" s="31"/>
    </row>
    <row r="43" customFormat="false" ht="30" hidden="false" customHeight="true" outlineLevel="0" collapsed="false">
      <c r="A43" s="25" t="n">
        <v>41</v>
      </c>
      <c r="B43" s="28"/>
      <c r="C43" s="28"/>
      <c r="D43" s="28"/>
      <c r="E43" s="28"/>
      <c r="F43" s="28"/>
      <c r="G43" s="28"/>
      <c r="H43" s="28"/>
      <c r="I43" s="28"/>
      <c r="J43" s="26"/>
      <c r="K43" s="28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7" t="str">
        <f aca="false">IF(COUNTIF(L43:W43,"N")=0,"Pass",IF(COUNTIF(L43:W43,"N")&lt;=2,"Conditional","Fail"))</f>
        <v>Pass</v>
      </c>
      <c r="Y43" s="28"/>
      <c r="Z43" s="26"/>
      <c r="AA43" s="26"/>
      <c r="AB43" s="28"/>
    </row>
    <row r="44" customFormat="false" ht="30" hidden="false" customHeight="true" outlineLevel="0" collapsed="false">
      <c r="A44" s="32" t="n">
        <v>42</v>
      </c>
      <c r="B44" s="31"/>
      <c r="C44" s="31"/>
      <c r="D44" s="31"/>
      <c r="E44" s="31"/>
      <c r="F44" s="31"/>
      <c r="G44" s="31"/>
      <c r="H44" s="31"/>
      <c r="I44" s="31"/>
      <c r="J44" s="33"/>
      <c r="K44" s="31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4" t="str">
        <f aca="false">IF(COUNTIF(L44:W44,"N")=0,"Pass",IF(COUNTIF(L44:W44,"N")&lt;=2,"Conditional","Fail"))</f>
        <v>Pass</v>
      </c>
      <c r="Y44" s="31"/>
      <c r="Z44" s="33"/>
      <c r="AA44" s="33"/>
      <c r="AB44" s="31"/>
    </row>
    <row r="45" customFormat="false" ht="30" hidden="false" customHeight="true" outlineLevel="0" collapsed="false">
      <c r="A45" s="25" t="n">
        <v>43</v>
      </c>
      <c r="B45" s="28"/>
      <c r="C45" s="28"/>
      <c r="D45" s="28"/>
      <c r="E45" s="28"/>
      <c r="F45" s="28"/>
      <c r="G45" s="28"/>
      <c r="H45" s="28"/>
      <c r="I45" s="28"/>
      <c r="J45" s="26"/>
      <c r="K45" s="28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7" t="str">
        <f aca="false">IF(COUNTIF(L45:W45,"N")=0,"Pass",IF(COUNTIF(L45:W45,"N")&lt;=2,"Conditional","Fail"))</f>
        <v>Pass</v>
      </c>
      <c r="Y45" s="28"/>
      <c r="Z45" s="26"/>
      <c r="AA45" s="26"/>
      <c r="AB45" s="28"/>
    </row>
    <row r="46" customFormat="false" ht="30" hidden="false" customHeight="true" outlineLevel="0" collapsed="false">
      <c r="A46" s="32" t="n">
        <v>44</v>
      </c>
      <c r="B46" s="31"/>
      <c r="C46" s="31"/>
      <c r="D46" s="31"/>
      <c r="E46" s="31"/>
      <c r="F46" s="31"/>
      <c r="G46" s="31"/>
      <c r="H46" s="31"/>
      <c r="I46" s="31"/>
      <c r="J46" s="33"/>
      <c r="K46" s="31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4" t="str">
        <f aca="false">IF(COUNTIF(L46:W46,"N")=0,"Pass",IF(COUNTIF(L46:W46,"N")&lt;=2,"Conditional","Fail"))</f>
        <v>Pass</v>
      </c>
      <c r="Y46" s="31"/>
      <c r="Z46" s="33"/>
      <c r="AA46" s="33"/>
      <c r="AB46" s="31"/>
    </row>
    <row r="47" customFormat="false" ht="30" hidden="false" customHeight="true" outlineLevel="0" collapsed="false">
      <c r="A47" s="25" t="n">
        <v>45</v>
      </c>
      <c r="B47" s="28"/>
      <c r="C47" s="28"/>
      <c r="D47" s="28"/>
      <c r="E47" s="28"/>
      <c r="F47" s="28"/>
      <c r="G47" s="28"/>
      <c r="H47" s="28"/>
      <c r="I47" s="28"/>
      <c r="J47" s="26"/>
      <c r="K47" s="28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7" t="str">
        <f aca="false">IF(COUNTIF(L47:W47,"N")=0,"Pass",IF(COUNTIF(L47:W47,"N")&lt;=2,"Conditional","Fail"))</f>
        <v>Pass</v>
      </c>
      <c r="Y47" s="28"/>
      <c r="Z47" s="26"/>
      <c r="AA47" s="26"/>
      <c r="AB47" s="28"/>
    </row>
    <row r="48" customFormat="false" ht="30" hidden="false" customHeight="true" outlineLevel="0" collapsed="false">
      <c r="A48" s="32" t="n">
        <v>46</v>
      </c>
      <c r="B48" s="31"/>
      <c r="C48" s="31"/>
      <c r="D48" s="31"/>
      <c r="E48" s="31"/>
      <c r="F48" s="31"/>
      <c r="G48" s="31"/>
      <c r="H48" s="31"/>
      <c r="I48" s="31"/>
      <c r="J48" s="33"/>
      <c r="K48" s="31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4" t="str">
        <f aca="false">IF(COUNTIF(L48:W48,"N")=0,"Pass",IF(COUNTIF(L48:W48,"N")&lt;=2,"Conditional","Fail"))</f>
        <v>Pass</v>
      </c>
      <c r="Y48" s="31"/>
      <c r="Z48" s="33"/>
      <c r="AA48" s="33"/>
      <c r="AB48" s="31"/>
    </row>
    <row r="49" customFormat="false" ht="30" hidden="false" customHeight="true" outlineLevel="0" collapsed="false">
      <c r="A49" s="25" t="n">
        <v>47</v>
      </c>
      <c r="B49" s="28"/>
      <c r="C49" s="28"/>
      <c r="D49" s="28"/>
      <c r="E49" s="28"/>
      <c r="F49" s="28"/>
      <c r="G49" s="28"/>
      <c r="H49" s="28"/>
      <c r="I49" s="28"/>
      <c r="J49" s="26"/>
      <c r="K49" s="28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7" t="str">
        <f aca="false">IF(COUNTIF(L49:W49,"N")=0,"Pass",IF(COUNTIF(L49:W49,"N")&lt;=2,"Conditional","Fail"))</f>
        <v>Pass</v>
      </c>
      <c r="Y49" s="28"/>
      <c r="Z49" s="26"/>
      <c r="AA49" s="26"/>
      <c r="AB49" s="28"/>
    </row>
    <row r="50" customFormat="false" ht="30" hidden="false" customHeight="true" outlineLevel="0" collapsed="false">
      <c r="A50" s="32" t="n">
        <v>48</v>
      </c>
      <c r="B50" s="31"/>
      <c r="C50" s="31"/>
      <c r="D50" s="31"/>
      <c r="E50" s="31"/>
      <c r="F50" s="31"/>
      <c r="G50" s="31"/>
      <c r="H50" s="31"/>
      <c r="I50" s="31"/>
      <c r="J50" s="33"/>
      <c r="K50" s="31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4" t="str">
        <f aca="false">IF(COUNTIF(L50:W50,"N")=0,"Pass",IF(COUNTIF(L50:W50,"N")&lt;=2,"Conditional","Fail"))</f>
        <v>Pass</v>
      </c>
      <c r="Y50" s="31"/>
      <c r="Z50" s="33"/>
      <c r="AA50" s="33"/>
      <c r="AB50" s="31"/>
    </row>
    <row r="51" customFormat="false" ht="30" hidden="false" customHeight="true" outlineLevel="0" collapsed="false">
      <c r="A51" s="25" t="n">
        <v>49</v>
      </c>
      <c r="B51" s="28"/>
      <c r="C51" s="28"/>
      <c r="D51" s="28"/>
      <c r="E51" s="28"/>
      <c r="F51" s="28"/>
      <c r="G51" s="28"/>
      <c r="H51" s="28"/>
      <c r="I51" s="28"/>
      <c r="J51" s="26"/>
      <c r="K51" s="28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7" t="str">
        <f aca="false">IF(COUNTIF(L51:W51,"N")=0,"Pass",IF(COUNTIF(L51:W51,"N")&lt;=2,"Conditional","Fail"))</f>
        <v>Pass</v>
      </c>
      <c r="Y51" s="28"/>
      <c r="Z51" s="26"/>
      <c r="AA51" s="26"/>
      <c r="AB51" s="28"/>
    </row>
    <row r="52" customFormat="false" ht="30" hidden="false" customHeight="true" outlineLevel="0" collapsed="false">
      <c r="A52" s="32" t="n">
        <v>50</v>
      </c>
      <c r="B52" s="31"/>
      <c r="C52" s="31"/>
      <c r="D52" s="31"/>
      <c r="E52" s="31"/>
      <c r="F52" s="31"/>
      <c r="G52" s="31"/>
      <c r="H52" s="31"/>
      <c r="I52" s="31"/>
      <c r="J52" s="33"/>
      <c r="K52" s="31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4" t="str">
        <f aca="false">IF(COUNTIF(L52:W52,"N")=0,"Pass",IF(COUNTIF(L52:W52,"N")&lt;=2,"Conditional","Fail"))</f>
        <v>Pass</v>
      </c>
      <c r="Y52" s="31"/>
      <c r="Z52" s="33"/>
      <c r="AA52" s="33"/>
      <c r="AB52" s="31"/>
    </row>
  </sheetData>
  <mergeCells count="1">
    <mergeCell ref="A1:AA1"/>
  </mergeCells>
  <conditionalFormatting sqref="L3:W202">
    <cfRule type="expression" priority="2" aboveAverage="0" equalAverage="0" bottom="0" percent="0" rank="0" text="" dxfId="3">
      <formula>L3="N"</formula>
    </cfRule>
  </conditionalFormatting>
  <conditionalFormatting sqref="X3:X202">
    <cfRule type="expression" priority="3" aboveAverage="0" equalAverage="0" bottom="0" percent="0" rank="0" text="" dxfId="4">
      <formula>X3="Pass"</formula>
    </cfRule>
    <cfRule type="expression" priority="4" aboveAverage="0" equalAverage="0" bottom="0" percent="0" rank="0" text="" dxfId="5">
      <formula>X3="Conditional"</formula>
    </cfRule>
    <cfRule type="expression" priority="5" aboveAverage="0" equalAverage="0" bottom="0" percent="0" rank="0" text="" dxfId="6">
      <formula>X3="Fail"</formula>
    </cfRule>
  </conditionalFormatting>
  <conditionalFormatting sqref="Y3:Y202">
    <cfRule type="expression" priority="6" aboveAverage="0" equalAverage="0" bottom="0" percent="0" rank="0" text="" dxfId="7">
      <formula>AND(Y3&lt;&gt;"",AA3="")</formula>
    </cfRule>
  </conditionalFormatting>
  <dataValidations count="2">
    <dataValidation allowBlank="true" errorStyle="stop" operator="between" showDropDown="false" showErrorMessage="false" showInputMessage="false" sqref="L3:W202" type="list">
      <formula1>"Y,N,N/A"</formula1>
      <formula2>0</formula2>
    </dataValidation>
    <dataValidation allowBlank="true" errorStyle="stop" operator="between" showDropDown="false" showErrorMessage="false" showInputMessage="false" sqref="X3:X202" type="list">
      <formula1>"Pass,Conditional,Fail"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AB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3" activeCellId="0" sqref="D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24"/>
    <col collapsed="false" customWidth="true" hidden="false" outlineLevel="0" max="7" min="7" style="1" width="28"/>
    <col collapsed="false" customWidth="true" hidden="false" outlineLevel="0" max="8" min="8" style="1" width="20"/>
    <col collapsed="false" customWidth="true" hidden="false" outlineLevel="0" max="9" min="9" style="1" width="22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2" min="12" style="1" width="10"/>
    <col collapsed="false" customWidth="true" hidden="false" outlineLevel="0" max="13" min="13" style="1" width="1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2"/>
    <col collapsed="false" customWidth="true" hidden="false" outlineLevel="0" max="18" min="17" style="1" width="14"/>
    <col collapsed="false" customWidth="true" hidden="false" outlineLevel="0" max="19" min="19" style="1" width="13"/>
    <col collapsed="false" customWidth="true" hidden="false" outlineLevel="0" max="20" min="20" style="1" width="12"/>
    <col collapsed="false" customWidth="true" hidden="false" outlineLevel="0" max="21" min="21" style="1" width="16"/>
    <col collapsed="false" customWidth="true" hidden="false" outlineLevel="0" max="22" min="22" style="1" width="15"/>
    <col collapsed="false" customWidth="true" hidden="false" outlineLevel="0" max="23" min="23" style="1" width="17"/>
    <col collapsed="false" customWidth="true" hidden="false" outlineLevel="0" max="24" min="24" style="1" width="13"/>
    <col collapsed="false" customWidth="true" hidden="false" outlineLevel="0" max="25" min="25" style="1" width="30"/>
    <col collapsed="false" customWidth="true" hidden="false" outlineLevel="0" max="26" min="26" style="1" width="16"/>
    <col collapsed="false" customWidth="true" hidden="false" outlineLevel="0" max="27" min="27" style="1" width="14"/>
    <col collapsed="false" customWidth="true" hidden="false" outlineLevel="0" max="28" min="28" style="1" width="30"/>
  </cols>
  <sheetData>
    <row r="1" customFormat="false" ht="27.75" hidden="false" customHeight="true" outlineLevel="0" collapsed="false">
      <c r="A1" s="21" t="s">
        <v>75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customFormat="false" ht="39.75" hidden="false" customHeight="true" outlineLevel="0" collapsed="false">
      <c r="A2" s="22" t="s">
        <v>41</v>
      </c>
      <c r="B2" s="22" t="s">
        <v>42</v>
      </c>
      <c r="C2" s="22" t="s">
        <v>43</v>
      </c>
      <c r="D2" s="22" t="s">
        <v>44</v>
      </c>
      <c r="E2" s="22" t="s">
        <v>45</v>
      </c>
      <c r="F2" s="22" t="s">
        <v>46</v>
      </c>
      <c r="G2" s="22" t="s">
        <v>47</v>
      </c>
      <c r="H2" s="22" t="s">
        <v>48</v>
      </c>
      <c r="I2" s="22" t="s">
        <v>49</v>
      </c>
      <c r="J2" s="22" t="s">
        <v>50</v>
      </c>
      <c r="K2" s="22" t="s">
        <v>51</v>
      </c>
      <c r="L2" s="22" t="s">
        <v>52</v>
      </c>
      <c r="M2" s="22" t="s">
        <v>53</v>
      </c>
      <c r="N2" s="22" t="s">
        <v>54</v>
      </c>
      <c r="O2" s="22" t="s">
        <v>55</v>
      </c>
      <c r="P2" s="22" t="s">
        <v>56</v>
      </c>
      <c r="Q2" s="22" t="s">
        <v>57</v>
      </c>
      <c r="R2" s="22" t="s">
        <v>58</v>
      </c>
      <c r="S2" s="22" t="s">
        <v>59</v>
      </c>
      <c r="T2" s="22" t="s">
        <v>60</v>
      </c>
      <c r="U2" s="22" t="s">
        <v>61</v>
      </c>
      <c r="V2" s="22" t="s">
        <v>62</v>
      </c>
      <c r="W2" s="22" t="s">
        <v>63</v>
      </c>
      <c r="X2" s="22" t="s">
        <v>64</v>
      </c>
      <c r="Y2" s="22" t="s">
        <v>65</v>
      </c>
      <c r="Z2" s="22" t="s">
        <v>66</v>
      </c>
      <c r="AA2" s="22" t="s">
        <v>67</v>
      </c>
      <c r="AB2" s="22" t="s">
        <v>68</v>
      </c>
    </row>
    <row r="3" customFormat="false" ht="42" hidden="false" customHeight="true" outlineLevel="0" collapsed="false">
      <c r="A3" s="23" t="n">
        <v>1</v>
      </c>
      <c r="B3" s="24" t="s">
        <v>69</v>
      </c>
      <c r="C3" s="24" t="s">
        <v>70</v>
      </c>
      <c r="D3" s="24" t="s">
        <v>71</v>
      </c>
      <c r="E3" s="24" t="s">
        <v>72</v>
      </c>
      <c r="F3" s="24" t="s">
        <v>73</v>
      </c>
      <c r="G3" s="24" t="s">
        <v>74</v>
      </c>
      <c r="H3" s="25"/>
      <c r="I3" s="25"/>
      <c r="J3" s="26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7" t="str">
        <f aca="false">IF(COUNTIF(L3:W3,"N")=0,"Pass",IF(COUNTIF(L3:W3,"N")&lt;=2,"Conditional","Fail"))</f>
        <v>Pass</v>
      </c>
      <c r="Y3" s="28"/>
      <c r="Z3" s="29"/>
      <c r="AA3" s="29"/>
      <c r="AB3" s="28"/>
    </row>
    <row r="4" customFormat="false" ht="42" hidden="false" customHeight="true" outlineLevel="0" collapsed="false">
      <c r="A4" s="30" t="n">
        <v>2</v>
      </c>
      <c r="B4" s="31"/>
      <c r="C4" s="31"/>
      <c r="D4" s="31"/>
      <c r="E4" s="31"/>
      <c r="F4" s="31"/>
      <c r="G4" s="31"/>
      <c r="H4" s="32"/>
      <c r="I4" s="32"/>
      <c r="J4" s="33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4" t="str">
        <f aca="false">IF(COUNTIF(L4:W4,"N")=0,"Pass",IF(COUNTIF(L4:W4,"N")&lt;=2,"Conditional","Fail"))</f>
        <v>Pass</v>
      </c>
      <c r="Y4" s="31"/>
      <c r="Z4" s="35"/>
      <c r="AA4" s="35"/>
      <c r="AB4" s="31"/>
    </row>
    <row r="5" customFormat="false" ht="42" hidden="false" customHeight="true" outlineLevel="0" collapsed="false">
      <c r="A5" s="23" t="n">
        <v>3</v>
      </c>
      <c r="B5" s="28"/>
      <c r="C5" s="28"/>
      <c r="D5" s="28"/>
      <c r="E5" s="28"/>
      <c r="F5" s="28"/>
      <c r="G5" s="28"/>
      <c r="H5" s="25"/>
      <c r="I5" s="25"/>
      <c r="J5" s="26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7" t="str">
        <f aca="false">IF(COUNTIF(L5:W5,"N")=0,"Pass",IF(COUNTIF(L5:W5,"N")&lt;=2,"Conditional","Fail"))</f>
        <v>Pass</v>
      </c>
      <c r="Y5" s="28"/>
      <c r="Z5" s="29"/>
      <c r="AA5" s="29"/>
      <c r="AB5" s="28"/>
    </row>
    <row r="6" customFormat="false" ht="42" hidden="false" customHeight="true" outlineLevel="0" collapsed="false">
      <c r="A6" s="30" t="n">
        <v>4</v>
      </c>
      <c r="B6" s="31"/>
      <c r="C6" s="31"/>
      <c r="D6" s="31"/>
      <c r="E6" s="31"/>
      <c r="F6" s="31"/>
      <c r="G6" s="31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4" t="str">
        <f aca="false">IF(COUNTIF(L6:W6,"N")=0,"Pass",IF(COUNTIF(L6:W6,"N")&lt;=2,"Conditional","Fail"))</f>
        <v>Pass</v>
      </c>
      <c r="Y6" s="31"/>
      <c r="Z6" s="35"/>
      <c r="AA6" s="35"/>
      <c r="AB6" s="31"/>
    </row>
    <row r="7" customFormat="false" ht="42" hidden="false" customHeight="true" outlineLevel="0" collapsed="false">
      <c r="A7" s="23" t="n">
        <v>5</v>
      </c>
      <c r="B7" s="28"/>
      <c r="C7" s="28"/>
      <c r="D7" s="28"/>
      <c r="E7" s="28"/>
      <c r="F7" s="28"/>
      <c r="G7" s="28"/>
      <c r="H7" s="25"/>
      <c r="I7" s="25"/>
      <c r="J7" s="26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7" t="str">
        <f aca="false">IF(COUNTIF(L7:W7,"N")=0,"Pass",IF(COUNTIF(L7:W7,"N")&lt;=2,"Conditional","Fail"))</f>
        <v>Pass</v>
      </c>
      <c r="Y7" s="28"/>
      <c r="Z7" s="29"/>
      <c r="AA7" s="29"/>
      <c r="AB7" s="28"/>
    </row>
    <row r="8" customFormat="false" ht="42" hidden="false" customHeight="true" outlineLevel="0" collapsed="false">
      <c r="A8" s="30" t="n">
        <v>6</v>
      </c>
      <c r="B8" s="31"/>
      <c r="C8" s="31"/>
      <c r="D8" s="31"/>
      <c r="E8" s="31"/>
      <c r="F8" s="31"/>
      <c r="G8" s="31"/>
      <c r="H8" s="32"/>
      <c r="I8" s="32"/>
      <c r="J8" s="33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4" t="str">
        <f aca="false">IF(COUNTIF(L8:W8,"N")=0,"Pass",IF(COUNTIF(L8:W8,"N")&lt;=2,"Conditional","Fail"))</f>
        <v>Pass</v>
      </c>
      <c r="Y8" s="31"/>
      <c r="Z8" s="35"/>
      <c r="AA8" s="35"/>
      <c r="AB8" s="31"/>
    </row>
    <row r="9" customFormat="false" ht="42" hidden="false" customHeight="true" outlineLevel="0" collapsed="false">
      <c r="A9" s="23" t="n">
        <v>7</v>
      </c>
      <c r="B9" s="28"/>
      <c r="C9" s="28"/>
      <c r="D9" s="28"/>
      <c r="E9" s="28"/>
      <c r="F9" s="28"/>
      <c r="G9" s="28"/>
      <c r="H9" s="25"/>
      <c r="I9" s="25"/>
      <c r="J9" s="26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7" t="str">
        <f aca="false">IF(COUNTIF(L9:W9,"N")=0,"Pass",IF(COUNTIF(L9:W9,"N")&lt;=2,"Conditional","Fail"))</f>
        <v>Pass</v>
      </c>
      <c r="Y9" s="28"/>
      <c r="Z9" s="29"/>
      <c r="AA9" s="29"/>
      <c r="AB9" s="28"/>
    </row>
    <row r="10" customFormat="false" ht="42" hidden="false" customHeight="true" outlineLevel="0" collapsed="false">
      <c r="A10" s="30" t="n">
        <v>8</v>
      </c>
      <c r="B10" s="31"/>
      <c r="C10" s="31"/>
      <c r="D10" s="31"/>
      <c r="E10" s="31"/>
      <c r="F10" s="31"/>
      <c r="G10" s="31"/>
      <c r="H10" s="32"/>
      <c r="I10" s="32"/>
      <c r="J10" s="33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4" t="str">
        <f aca="false">IF(COUNTIF(L10:W10,"N")=0,"Pass",IF(COUNTIF(L10:W10,"N")&lt;=2,"Conditional","Fail"))</f>
        <v>Pass</v>
      </c>
      <c r="Y10" s="31"/>
      <c r="Z10" s="35"/>
      <c r="AA10" s="35"/>
      <c r="AB10" s="31"/>
    </row>
    <row r="11" customFormat="false" ht="42" hidden="false" customHeight="true" outlineLevel="0" collapsed="false">
      <c r="A11" s="23" t="n">
        <v>9</v>
      </c>
      <c r="B11" s="28"/>
      <c r="C11" s="28"/>
      <c r="D11" s="28"/>
      <c r="E11" s="28"/>
      <c r="F11" s="28"/>
      <c r="G11" s="28"/>
      <c r="H11" s="25"/>
      <c r="I11" s="25"/>
      <c r="J11" s="26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7" t="str">
        <f aca="false">IF(COUNTIF(L11:W11,"N")=0,"Pass",IF(COUNTIF(L11:W11,"N")&lt;=2,"Conditional","Fail"))</f>
        <v>Pass</v>
      </c>
      <c r="Y11" s="28"/>
      <c r="Z11" s="29"/>
      <c r="AA11" s="29"/>
      <c r="AB11" s="28"/>
    </row>
    <row r="12" customFormat="false" ht="42" hidden="false" customHeight="true" outlineLevel="0" collapsed="false">
      <c r="A12" s="30" t="n">
        <v>10</v>
      </c>
      <c r="B12" s="31"/>
      <c r="C12" s="31"/>
      <c r="D12" s="31"/>
      <c r="E12" s="31"/>
      <c r="F12" s="31"/>
      <c r="G12" s="31"/>
      <c r="H12" s="32"/>
      <c r="I12" s="32"/>
      <c r="J12" s="33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4" t="str">
        <f aca="false">IF(COUNTIF(L12:W12,"N")=0,"Pass",IF(COUNTIF(L12:W12,"N")&lt;=2,"Conditional","Fail"))</f>
        <v>Pass</v>
      </c>
      <c r="Y12" s="31"/>
      <c r="Z12" s="35"/>
      <c r="AA12" s="35"/>
      <c r="AB12" s="31"/>
    </row>
    <row r="13" customFormat="false" ht="30" hidden="false" customHeight="true" outlineLevel="0" collapsed="false">
      <c r="A13" s="25" t="n">
        <v>11</v>
      </c>
      <c r="B13" s="28"/>
      <c r="C13" s="28"/>
      <c r="D13" s="28"/>
      <c r="E13" s="28"/>
      <c r="F13" s="28"/>
      <c r="G13" s="28"/>
      <c r="H13" s="28"/>
      <c r="I13" s="28"/>
      <c r="J13" s="26"/>
      <c r="K13" s="28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7" t="str">
        <f aca="false">IF(COUNTIF(L13:W13,"N")=0,"Pass",IF(COUNTIF(L13:W13,"N")&lt;=2,"Conditional","Fail"))</f>
        <v>Pass</v>
      </c>
      <c r="Y13" s="28"/>
      <c r="Z13" s="26"/>
      <c r="AA13" s="26"/>
      <c r="AB13" s="28"/>
    </row>
    <row r="14" customFormat="false" ht="30" hidden="false" customHeight="true" outlineLevel="0" collapsed="false">
      <c r="A14" s="32" t="n">
        <v>12</v>
      </c>
      <c r="B14" s="31"/>
      <c r="C14" s="31"/>
      <c r="D14" s="31"/>
      <c r="E14" s="31"/>
      <c r="F14" s="31"/>
      <c r="G14" s="31"/>
      <c r="H14" s="31"/>
      <c r="I14" s="31"/>
      <c r="J14" s="33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4" t="str">
        <f aca="false">IF(COUNTIF(L14:W14,"N")=0,"Pass",IF(COUNTIF(L14:W14,"N")&lt;=2,"Conditional","Fail"))</f>
        <v>Pass</v>
      </c>
      <c r="Y14" s="31"/>
      <c r="Z14" s="33"/>
      <c r="AA14" s="33"/>
      <c r="AB14" s="31"/>
    </row>
    <row r="15" customFormat="false" ht="30" hidden="false" customHeight="true" outlineLevel="0" collapsed="false">
      <c r="A15" s="25" t="n">
        <v>13</v>
      </c>
      <c r="B15" s="28"/>
      <c r="C15" s="28"/>
      <c r="D15" s="28"/>
      <c r="E15" s="28"/>
      <c r="F15" s="28"/>
      <c r="G15" s="28"/>
      <c r="H15" s="28"/>
      <c r="I15" s="28"/>
      <c r="J15" s="26"/>
      <c r="K15" s="28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7" t="str">
        <f aca="false">IF(COUNTIF(L15:W15,"N")=0,"Pass",IF(COUNTIF(L15:W15,"N")&lt;=2,"Conditional","Fail"))</f>
        <v>Pass</v>
      </c>
      <c r="Y15" s="28"/>
      <c r="Z15" s="26"/>
      <c r="AA15" s="26"/>
      <c r="AB15" s="28"/>
    </row>
    <row r="16" customFormat="false" ht="30" hidden="false" customHeight="true" outlineLevel="0" collapsed="false">
      <c r="A16" s="32" t="n">
        <v>14</v>
      </c>
      <c r="B16" s="31"/>
      <c r="C16" s="31"/>
      <c r="D16" s="31"/>
      <c r="E16" s="31"/>
      <c r="F16" s="31"/>
      <c r="G16" s="31"/>
      <c r="H16" s="31"/>
      <c r="I16" s="31"/>
      <c r="J16" s="33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4" t="str">
        <f aca="false">IF(COUNTIF(L16:W16,"N")=0,"Pass",IF(COUNTIF(L16:W16,"N")&lt;=2,"Conditional","Fail"))</f>
        <v>Pass</v>
      </c>
      <c r="Y16" s="31"/>
      <c r="Z16" s="33"/>
      <c r="AA16" s="33"/>
      <c r="AB16" s="31"/>
    </row>
    <row r="17" customFormat="false" ht="30" hidden="false" customHeight="true" outlineLevel="0" collapsed="false">
      <c r="A17" s="25" t="n">
        <v>15</v>
      </c>
      <c r="B17" s="28"/>
      <c r="C17" s="28"/>
      <c r="D17" s="28"/>
      <c r="E17" s="28"/>
      <c r="F17" s="28"/>
      <c r="G17" s="28"/>
      <c r="H17" s="28"/>
      <c r="I17" s="28"/>
      <c r="J17" s="26"/>
      <c r="K17" s="28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7" t="str">
        <f aca="false">IF(COUNTIF(L17:W17,"N")=0,"Pass",IF(COUNTIF(L17:W17,"N")&lt;=2,"Conditional","Fail"))</f>
        <v>Pass</v>
      </c>
      <c r="Y17" s="28"/>
      <c r="Z17" s="26"/>
      <c r="AA17" s="26"/>
      <c r="AB17" s="28"/>
    </row>
    <row r="18" customFormat="false" ht="30" hidden="false" customHeight="true" outlineLevel="0" collapsed="false">
      <c r="A18" s="32" t="n">
        <v>16</v>
      </c>
      <c r="B18" s="31"/>
      <c r="C18" s="31"/>
      <c r="D18" s="31"/>
      <c r="E18" s="31"/>
      <c r="F18" s="31"/>
      <c r="G18" s="31"/>
      <c r="H18" s="31"/>
      <c r="I18" s="31"/>
      <c r="J18" s="33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4" t="str">
        <f aca="false">IF(COUNTIF(L18:W18,"N")=0,"Pass",IF(COUNTIF(L18:W18,"N")&lt;=2,"Conditional","Fail"))</f>
        <v>Pass</v>
      </c>
      <c r="Y18" s="31"/>
      <c r="Z18" s="33"/>
      <c r="AA18" s="33"/>
      <c r="AB18" s="31"/>
    </row>
    <row r="19" customFormat="false" ht="30" hidden="false" customHeight="true" outlineLevel="0" collapsed="false">
      <c r="A19" s="25" t="n">
        <v>17</v>
      </c>
      <c r="B19" s="28"/>
      <c r="C19" s="28"/>
      <c r="D19" s="28"/>
      <c r="E19" s="28"/>
      <c r="F19" s="28"/>
      <c r="G19" s="28"/>
      <c r="H19" s="28"/>
      <c r="I19" s="28"/>
      <c r="J19" s="26"/>
      <c r="K19" s="28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7" t="str">
        <f aca="false">IF(COUNTIF(L19:W19,"N")=0,"Pass",IF(COUNTIF(L19:W19,"N")&lt;=2,"Conditional","Fail"))</f>
        <v>Pass</v>
      </c>
      <c r="Y19" s="28"/>
      <c r="Z19" s="26"/>
      <c r="AA19" s="26"/>
      <c r="AB19" s="28"/>
    </row>
    <row r="20" customFormat="false" ht="30" hidden="false" customHeight="true" outlineLevel="0" collapsed="false">
      <c r="A20" s="32" t="n">
        <v>18</v>
      </c>
      <c r="B20" s="31"/>
      <c r="C20" s="31"/>
      <c r="D20" s="31"/>
      <c r="E20" s="31"/>
      <c r="F20" s="31"/>
      <c r="G20" s="31"/>
      <c r="H20" s="31"/>
      <c r="I20" s="31"/>
      <c r="J20" s="33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4" t="str">
        <f aca="false">IF(COUNTIF(L20:W20,"N")=0,"Pass",IF(COUNTIF(L20:W20,"N")&lt;=2,"Conditional","Fail"))</f>
        <v>Pass</v>
      </c>
      <c r="Y20" s="31"/>
      <c r="Z20" s="33"/>
      <c r="AA20" s="33"/>
      <c r="AB20" s="31"/>
    </row>
    <row r="21" customFormat="false" ht="30" hidden="false" customHeight="true" outlineLevel="0" collapsed="false">
      <c r="A21" s="25" t="n">
        <v>19</v>
      </c>
      <c r="B21" s="28"/>
      <c r="C21" s="28"/>
      <c r="D21" s="28"/>
      <c r="E21" s="28"/>
      <c r="F21" s="28"/>
      <c r="G21" s="28"/>
      <c r="H21" s="28"/>
      <c r="I21" s="28"/>
      <c r="J21" s="26"/>
      <c r="K21" s="28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7" t="str">
        <f aca="false">IF(COUNTIF(L21:W21,"N")=0,"Pass",IF(COUNTIF(L21:W21,"N")&lt;=2,"Conditional","Fail"))</f>
        <v>Pass</v>
      </c>
      <c r="Y21" s="28"/>
      <c r="Z21" s="26"/>
      <c r="AA21" s="26"/>
      <c r="AB21" s="28"/>
    </row>
    <row r="22" customFormat="false" ht="30" hidden="false" customHeight="true" outlineLevel="0" collapsed="false">
      <c r="A22" s="32" t="n">
        <v>20</v>
      </c>
      <c r="B22" s="31"/>
      <c r="C22" s="31"/>
      <c r="D22" s="31"/>
      <c r="E22" s="31"/>
      <c r="F22" s="31"/>
      <c r="G22" s="31"/>
      <c r="H22" s="31"/>
      <c r="I22" s="31"/>
      <c r="J22" s="33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4" t="str">
        <f aca="false">IF(COUNTIF(L22:W22,"N")=0,"Pass",IF(COUNTIF(L22:W22,"N")&lt;=2,"Conditional","Fail"))</f>
        <v>Pass</v>
      </c>
      <c r="Y22" s="31"/>
      <c r="Z22" s="33"/>
      <c r="AA22" s="33"/>
      <c r="AB22" s="31"/>
    </row>
    <row r="23" customFormat="false" ht="30" hidden="false" customHeight="true" outlineLevel="0" collapsed="false">
      <c r="A23" s="25" t="n">
        <v>21</v>
      </c>
      <c r="B23" s="28"/>
      <c r="C23" s="28"/>
      <c r="D23" s="28"/>
      <c r="E23" s="28"/>
      <c r="F23" s="28"/>
      <c r="G23" s="28"/>
      <c r="H23" s="28"/>
      <c r="I23" s="28"/>
      <c r="J23" s="26"/>
      <c r="K23" s="28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7" t="str">
        <f aca="false">IF(COUNTIF(L23:W23,"N")=0,"Pass",IF(COUNTIF(L23:W23,"N")&lt;=2,"Conditional","Fail"))</f>
        <v>Pass</v>
      </c>
      <c r="Y23" s="28"/>
      <c r="Z23" s="26"/>
      <c r="AA23" s="26"/>
      <c r="AB23" s="28"/>
    </row>
    <row r="24" customFormat="false" ht="30" hidden="false" customHeight="true" outlineLevel="0" collapsed="false">
      <c r="A24" s="32" t="n">
        <v>22</v>
      </c>
      <c r="B24" s="31"/>
      <c r="C24" s="31"/>
      <c r="D24" s="31"/>
      <c r="E24" s="31"/>
      <c r="F24" s="31"/>
      <c r="G24" s="31"/>
      <c r="H24" s="31"/>
      <c r="I24" s="31"/>
      <c r="J24" s="33"/>
      <c r="K24" s="31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4" t="str">
        <f aca="false">IF(COUNTIF(L24:W24,"N")=0,"Pass",IF(COUNTIF(L24:W24,"N")&lt;=2,"Conditional","Fail"))</f>
        <v>Pass</v>
      </c>
      <c r="Y24" s="31"/>
      <c r="Z24" s="33"/>
      <c r="AA24" s="33"/>
      <c r="AB24" s="31"/>
    </row>
    <row r="25" customFormat="false" ht="30" hidden="false" customHeight="true" outlineLevel="0" collapsed="false">
      <c r="A25" s="25" t="n">
        <v>23</v>
      </c>
      <c r="B25" s="28"/>
      <c r="C25" s="28"/>
      <c r="D25" s="28"/>
      <c r="E25" s="28"/>
      <c r="F25" s="28"/>
      <c r="G25" s="28"/>
      <c r="H25" s="28"/>
      <c r="I25" s="28"/>
      <c r="J25" s="26"/>
      <c r="K25" s="28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7" t="str">
        <f aca="false">IF(COUNTIF(L25:W25,"N")=0,"Pass",IF(COUNTIF(L25:W25,"N")&lt;=2,"Conditional","Fail"))</f>
        <v>Pass</v>
      </c>
      <c r="Y25" s="28"/>
      <c r="Z25" s="26"/>
      <c r="AA25" s="26"/>
      <c r="AB25" s="28"/>
    </row>
    <row r="26" customFormat="false" ht="30" hidden="false" customHeight="true" outlineLevel="0" collapsed="false">
      <c r="A26" s="32" t="n">
        <v>24</v>
      </c>
      <c r="B26" s="31"/>
      <c r="C26" s="31"/>
      <c r="D26" s="31"/>
      <c r="E26" s="31"/>
      <c r="F26" s="31"/>
      <c r="G26" s="31"/>
      <c r="H26" s="31"/>
      <c r="I26" s="31"/>
      <c r="J26" s="33"/>
      <c r="K26" s="31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4" t="str">
        <f aca="false">IF(COUNTIF(L26:W26,"N")=0,"Pass",IF(COUNTIF(L26:W26,"N")&lt;=2,"Conditional","Fail"))</f>
        <v>Pass</v>
      </c>
      <c r="Y26" s="31"/>
      <c r="Z26" s="33"/>
      <c r="AA26" s="33"/>
      <c r="AB26" s="31"/>
    </row>
    <row r="27" customFormat="false" ht="30" hidden="false" customHeight="true" outlineLevel="0" collapsed="false">
      <c r="A27" s="25" t="n">
        <v>25</v>
      </c>
      <c r="B27" s="28"/>
      <c r="C27" s="28"/>
      <c r="D27" s="28"/>
      <c r="E27" s="28"/>
      <c r="F27" s="28"/>
      <c r="G27" s="28"/>
      <c r="H27" s="28"/>
      <c r="I27" s="28"/>
      <c r="J27" s="26"/>
      <c r="K27" s="28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7" t="str">
        <f aca="false">IF(COUNTIF(L27:W27,"N")=0,"Pass",IF(COUNTIF(L27:W27,"N")&lt;=2,"Conditional","Fail"))</f>
        <v>Pass</v>
      </c>
      <c r="Y27" s="28"/>
      <c r="Z27" s="26"/>
      <c r="AA27" s="26"/>
      <c r="AB27" s="28"/>
    </row>
    <row r="28" customFormat="false" ht="30" hidden="false" customHeight="true" outlineLevel="0" collapsed="false">
      <c r="A28" s="32" t="n">
        <v>26</v>
      </c>
      <c r="B28" s="31"/>
      <c r="C28" s="31"/>
      <c r="D28" s="31"/>
      <c r="E28" s="31"/>
      <c r="F28" s="31"/>
      <c r="G28" s="31"/>
      <c r="H28" s="31"/>
      <c r="I28" s="31"/>
      <c r="J28" s="33"/>
      <c r="K28" s="31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4" t="str">
        <f aca="false">IF(COUNTIF(L28:W28,"N")=0,"Pass",IF(COUNTIF(L28:W28,"N")&lt;=2,"Conditional","Fail"))</f>
        <v>Pass</v>
      </c>
      <c r="Y28" s="31"/>
      <c r="Z28" s="33"/>
      <c r="AA28" s="33"/>
      <c r="AB28" s="31"/>
    </row>
    <row r="29" customFormat="false" ht="30" hidden="false" customHeight="true" outlineLevel="0" collapsed="false">
      <c r="A29" s="25" t="n">
        <v>27</v>
      </c>
      <c r="B29" s="28"/>
      <c r="C29" s="28"/>
      <c r="D29" s="28"/>
      <c r="E29" s="28"/>
      <c r="F29" s="28"/>
      <c r="G29" s="28"/>
      <c r="H29" s="28"/>
      <c r="I29" s="28"/>
      <c r="J29" s="26"/>
      <c r="K29" s="28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7" t="str">
        <f aca="false">IF(COUNTIF(L29:W29,"N")=0,"Pass",IF(COUNTIF(L29:W29,"N")&lt;=2,"Conditional","Fail"))</f>
        <v>Pass</v>
      </c>
      <c r="Y29" s="28"/>
      <c r="Z29" s="26"/>
      <c r="AA29" s="26"/>
      <c r="AB29" s="28"/>
    </row>
    <row r="30" customFormat="false" ht="30" hidden="false" customHeight="true" outlineLevel="0" collapsed="false">
      <c r="A30" s="32" t="n">
        <v>28</v>
      </c>
      <c r="B30" s="31"/>
      <c r="C30" s="31"/>
      <c r="D30" s="31"/>
      <c r="E30" s="31"/>
      <c r="F30" s="31"/>
      <c r="G30" s="31"/>
      <c r="H30" s="31"/>
      <c r="I30" s="31"/>
      <c r="J30" s="33"/>
      <c r="K30" s="31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4" t="str">
        <f aca="false">IF(COUNTIF(L30:W30,"N")=0,"Pass",IF(COUNTIF(L30:W30,"N")&lt;=2,"Conditional","Fail"))</f>
        <v>Pass</v>
      </c>
      <c r="Y30" s="31"/>
      <c r="Z30" s="33"/>
      <c r="AA30" s="33"/>
      <c r="AB30" s="31"/>
    </row>
    <row r="31" customFormat="false" ht="30" hidden="false" customHeight="true" outlineLevel="0" collapsed="false">
      <c r="A31" s="25" t="n">
        <v>29</v>
      </c>
      <c r="B31" s="28"/>
      <c r="C31" s="28"/>
      <c r="D31" s="28"/>
      <c r="E31" s="28"/>
      <c r="F31" s="28"/>
      <c r="G31" s="28"/>
      <c r="H31" s="28"/>
      <c r="I31" s="28"/>
      <c r="J31" s="26"/>
      <c r="K31" s="28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7" t="str">
        <f aca="false">IF(COUNTIF(L31:W31,"N")=0,"Pass",IF(COUNTIF(L31:W31,"N")&lt;=2,"Conditional","Fail"))</f>
        <v>Pass</v>
      </c>
      <c r="Y31" s="28"/>
      <c r="Z31" s="26"/>
      <c r="AA31" s="26"/>
      <c r="AB31" s="28"/>
    </row>
    <row r="32" customFormat="false" ht="30" hidden="false" customHeight="true" outlineLevel="0" collapsed="false">
      <c r="A32" s="32" t="n">
        <v>30</v>
      </c>
      <c r="B32" s="31"/>
      <c r="C32" s="31"/>
      <c r="D32" s="31"/>
      <c r="E32" s="31"/>
      <c r="F32" s="31"/>
      <c r="G32" s="31"/>
      <c r="H32" s="31"/>
      <c r="I32" s="31"/>
      <c r="J32" s="33"/>
      <c r="K32" s="31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4" t="str">
        <f aca="false">IF(COUNTIF(L32:W32,"N")=0,"Pass",IF(COUNTIF(L32:W32,"N")&lt;=2,"Conditional","Fail"))</f>
        <v>Pass</v>
      </c>
      <c r="Y32" s="31"/>
      <c r="Z32" s="33"/>
      <c r="AA32" s="33"/>
      <c r="AB32" s="31"/>
    </row>
    <row r="33" customFormat="false" ht="30" hidden="false" customHeight="true" outlineLevel="0" collapsed="false">
      <c r="A33" s="25" t="n">
        <v>31</v>
      </c>
      <c r="B33" s="28"/>
      <c r="C33" s="28"/>
      <c r="D33" s="28"/>
      <c r="E33" s="28"/>
      <c r="F33" s="28"/>
      <c r="G33" s="28"/>
      <c r="H33" s="28"/>
      <c r="I33" s="28"/>
      <c r="J33" s="26"/>
      <c r="K33" s="28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7" t="str">
        <f aca="false">IF(COUNTIF(L33:W33,"N")=0,"Pass",IF(COUNTIF(L33:W33,"N")&lt;=2,"Conditional","Fail"))</f>
        <v>Pass</v>
      </c>
      <c r="Y33" s="28"/>
      <c r="Z33" s="26"/>
      <c r="AA33" s="26"/>
      <c r="AB33" s="28"/>
    </row>
    <row r="34" customFormat="false" ht="30" hidden="false" customHeight="true" outlineLevel="0" collapsed="false">
      <c r="A34" s="32" t="n">
        <v>32</v>
      </c>
      <c r="B34" s="31"/>
      <c r="C34" s="31"/>
      <c r="D34" s="31"/>
      <c r="E34" s="31"/>
      <c r="F34" s="31"/>
      <c r="G34" s="31"/>
      <c r="H34" s="31"/>
      <c r="I34" s="31"/>
      <c r="J34" s="33"/>
      <c r="K34" s="31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4" t="str">
        <f aca="false">IF(COUNTIF(L34:W34,"N")=0,"Pass",IF(COUNTIF(L34:W34,"N")&lt;=2,"Conditional","Fail"))</f>
        <v>Pass</v>
      </c>
      <c r="Y34" s="31"/>
      <c r="Z34" s="33"/>
      <c r="AA34" s="33"/>
      <c r="AB34" s="31"/>
    </row>
    <row r="35" customFormat="false" ht="30" hidden="false" customHeight="true" outlineLevel="0" collapsed="false">
      <c r="A35" s="25" t="n">
        <v>33</v>
      </c>
      <c r="B35" s="28"/>
      <c r="C35" s="28"/>
      <c r="D35" s="28"/>
      <c r="E35" s="28"/>
      <c r="F35" s="28"/>
      <c r="G35" s="28"/>
      <c r="H35" s="28"/>
      <c r="I35" s="28"/>
      <c r="J35" s="26"/>
      <c r="K35" s="28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7" t="str">
        <f aca="false">IF(COUNTIF(L35:W35,"N")=0,"Pass",IF(COUNTIF(L35:W35,"N")&lt;=2,"Conditional","Fail"))</f>
        <v>Pass</v>
      </c>
      <c r="Y35" s="28"/>
      <c r="Z35" s="26"/>
      <c r="AA35" s="26"/>
      <c r="AB35" s="28"/>
    </row>
    <row r="36" customFormat="false" ht="30" hidden="false" customHeight="true" outlineLevel="0" collapsed="false">
      <c r="A36" s="32" t="n">
        <v>34</v>
      </c>
      <c r="B36" s="31"/>
      <c r="C36" s="31"/>
      <c r="D36" s="31"/>
      <c r="E36" s="31"/>
      <c r="F36" s="31"/>
      <c r="G36" s="31"/>
      <c r="H36" s="31"/>
      <c r="I36" s="31"/>
      <c r="J36" s="33"/>
      <c r="K36" s="31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4" t="str">
        <f aca="false">IF(COUNTIF(L36:W36,"N")=0,"Pass",IF(COUNTIF(L36:W36,"N")&lt;=2,"Conditional","Fail"))</f>
        <v>Pass</v>
      </c>
      <c r="Y36" s="31"/>
      <c r="Z36" s="33"/>
      <c r="AA36" s="33"/>
      <c r="AB36" s="31"/>
    </row>
    <row r="37" customFormat="false" ht="30" hidden="false" customHeight="true" outlineLevel="0" collapsed="false">
      <c r="A37" s="25" t="n">
        <v>35</v>
      </c>
      <c r="B37" s="28"/>
      <c r="C37" s="28"/>
      <c r="D37" s="28"/>
      <c r="E37" s="28"/>
      <c r="F37" s="28"/>
      <c r="G37" s="28"/>
      <c r="H37" s="28"/>
      <c r="I37" s="28"/>
      <c r="J37" s="26"/>
      <c r="K37" s="28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7" t="str">
        <f aca="false">IF(COUNTIF(L37:W37,"N")=0,"Pass",IF(COUNTIF(L37:W37,"N")&lt;=2,"Conditional","Fail"))</f>
        <v>Pass</v>
      </c>
      <c r="Y37" s="28"/>
      <c r="Z37" s="26"/>
      <c r="AA37" s="26"/>
      <c r="AB37" s="28"/>
    </row>
    <row r="38" customFormat="false" ht="30" hidden="false" customHeight="true" outlineLevel="0" collapsed="false">
      <c r="A38" s="32" t="n">
        <v>36</v>
      </c>
      <c r="B38" s="31"/>
      <c r="C38" s="31"/>
      <c r="D38" s="31"/>
      <c r="E38" s="31"/>
      <c r="F38" s="31"/>
      <c r="G38" s="31"/>
      <c r="H38" s="31"/>
      <c r="I38" s="31"/>
      <c r="J38" s="33"/>
      <c r="K38" s="31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4" t="str">
        <f aca="false">IF(COUNTIF(L38:W38,"N")=0,"Pass",IF(COUNTIF(L38:W38,"N")&lt;=2,"Conditional","Fail"))</f>
        <v>Pass</v>
      </c>
      <c r="Y38" s="31"/>
      <c r="Z38" s="33"/>
      <c r="AA38" s="33"/>
      <c r="AB38" s="31"/>
    </row>
    <row r="39" customFormat="false" ht="30" hidden="false" customHeight="true" outlineLevel="0" collapsed="false">
      <c r="A39" s="25" t="n">
        <v>37</v>
      </c>
      <c r="B39" s="28"/>
      <c r="C39" s="28"/>
      <c r="D39" s="28"/>
      <c r="E39" s="28"/>
      <c r="F39" s="28"/>
      <c r="G39" s="28"/>
      <c r="H39" s="28"/>
      <c r="I39" s="28"/>
      <c r="J39" s="26"/>
      <c r="K39" s="28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7" t="str">
        <f aca="false">IF(COUNTIF(L39:W39,"N")=0,"Pass",IF(COUNTIF(L39:W39,"N")&lt;=2,"Conditional","Fail"))</f>
        <v>Pass</v>
      </c>
      <c r="Y39" s="28"/>
      <c r="Z39" s="26"/>
      <c r="AA39" s="26"/>
      <c r="AB39" s="28"/>
    </row>
    <row r="40" customFormat="false" ht="30" hidden="false" customHeight="true" outlineLevel="0" collapsed="false">
      <c r="A40" s="32" t="n">
        <v>38</v>
      </c>
      <c r="B40" s="31"/>
      <c r="C40" s="31"/>
      <c r="D40" s="31"/>
      <c r="E40" s="31"/>
      <c r="F40" s="31"/>
      <c r="G40" s="31"/>
      <c r="H40" s="31"/>
      <c r="I40" s="31"/>
      <c r="J40" s="33"/>
      <c r="K40" s="31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4" t="str">
        <f aca="false">IF(COUNTIF(L40:W40,"N")=0,"Pass",IF(COUNTIF(L40:W40,"N")&lt;=2,"Conditional","Fail"))</f>
        <v>Pass</v>
      </c>
      <c r="Y40" s="31"/>
      <c r="Z40" s="33"/>
      <c r="AA40" s="33"/>
      <c r="AB40" s="31"/>
    </row>
    <row r="41" customFormat="false" ht="30" hidden="false" customHeight="true" outlineLevel="0" collapsed="false">
      <c r="A41" s="25" t="n">
        <v>39</v>
      </c>
      <c r="B41" s="28"/>
      <c r="C41" s="28"/>
      <c r="D41" s="28"/>
      <c r="E41" s="28"/>
      <c r="F41" s="28"/>
      <c r="G41" s="28"/>
      <c r="H41" s="28"/>
      <c r="I41" s="28"/>
      <c r="J41" s="26"/>
      <c r="K41" s="28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7" t="str">
        <f aca="false">IF(COUNTIF(L41:W41,"N")=0,"Pass",IF(COUNTIF(L41:W41,"N")&lt;=2,"Conditional","Fail"))</f>
        <v>Pass</v>
      </c>
      <c r="Y41" s="28"/>
      <c r="Z41" s="26"/>
      <c r="AA41" s="26"/>
      <c r="AB41" s="28"/>
    </row>
    <row r="42" customFormat="false" ht="30" hidden="false" customHeight="true" outlineLevel="0" collapsed="false">
      <c r="A42" s="32" t="n">
        <v>40</v>
      </c>
      <c r="B42" s="31"/>
      <c r="C42" s="31"/>
      <c r="D42" s="31"/>
      <c r="E42" s="31"/>
      <c r="F42" s="31"/>
      <c r="G42" s="31"/>
      <c r="H42" s="31"/>
      <c r="I42" s="31"/>
      <c r="J42" s="33"/>
      <c r="K42" s="31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4" t="str">
        <f aca="false">IF(COUNTIF(L42:W42,"N")=0,"Pass",IF(COUNTIF(L42:W42,"N")&lt;=2,"Conditional","Fail"))</f>
        <v>Pass</v>
      </c>
      <c r="Y42" s="31"/>
      <c r="Z42" s="33"/>
      <c r="AA42" s="33"/>
      <c r="AB42" s="31"/>
    </row>
    <row r="43" customFormat="false" ht="30" hidden="false" customHeight="true" outlineLevel="0" collapsed="false">
      <c r="A43" s="25" t="n">
        <v>41</v>
      </c>
      <c r="B43" s="28"/>
      <c r="C43" s="28"/>
      <c r="D43" s="28"/>
      <c r="E43" s="28"/>
      <c r="F43" s="28"/>
      <c r="G43" s="28"/>
      <c r="H43" s="28"/>
      <c r="I43" s="28"/>
      <c r="J43" s="26"/>
      <c r="K43" s="28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7" t="str">
        <f aca="false">IF(COUNTIF(L43:W43,"N")=0,"Pass",IF(COUNTIF(L43:W43,"N")&lt;=2,"Conditional","Fail"))</f>
        <v>Pass</v>
      </c>
      <c r="Y43" s="28"/>
      <c r="Z43" s="26"/>
      <c r="AA43" s="26"/>
      <c r="AB43" s="28"/>
    </row>
    <row r="44" customFormat="false" ht="30" hidden="false" customHeight="true" outlineLevel="0" collapsed="false">
      <c r="A44" s="32" t="n">
        <v>42</v>
      </c>
      <c r="B44" s="31"/>
      <c r="C44" s="31"/>
      <c r="D44" s="31"/>
      <c r="E44" s="31"/>
      <c r="F44" s="31"/>
      <c r="G44" s="31"/>
      <c r="H44" s="31"/>
      <c r="I44" s="31"/>
      <c r="J44" s="33"/>
      <c r="K44" s="31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4" t="str">
        <f aca="false">IF(COUNTIF(L44:W44,"N")=0,"Pass",IF(COUNTIF(L44:W44,"N")&lt;=2,"Conditional","Fail"))</f>
        <v>Pass</v>
      </c>
      <c r="Y44" s="31"/>
      <c r="Z44" s="33"/>
      <c r="AA44" s="33"/>
      <c r="AB44" s="31"/>
    </row>
    <row r="45" customFormat="false" ht="30" hidden="false" customHeight="true" outlineLevel="0" collapsed="false">
      <c r="A45" s="25" t="n">
        <v>43</v>
      </c>
      <c r="B45" s="28"/>
      <c r="C45" s="28"/>
      <c r="D45" s="28"/>
      <c r="E45" s="28"/>
      <c r="F45" s="28"/>
      <c r="G45" s="28"/>
      <c r="H45" s="28"/>
      <c r="I45" s="28"/>
      <c r="J45" s="26"/>
      <c r="K45" s="28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7" t="str">
        <f aca="false">IF(COUNTIF(L45:W45,"N")=0,"Pass",IF(COUNTIF(L45:W45,"N")&lt;=2,"Conditional","Fail"))</f>
        <v>Pass</v>
      </c>
      <c r="Y45" s="28"/>
      <c r="Z45" s="26"/>
      <c r="AA45" s="26"/>
      <c r="AB45" s="28"/>
    </row>
    <row r="46" customFormat="false" ht="30" hidden="false" customHeight="true" outlineLevel="0" collapsed="false">
      <c r="A46" s="32" t="n">
        <v>44</v>
      </c>
      <c r="B46" s="31"/>
      <c r="C46" s="31"/>
      <c r="D46" s="31"/>
      <c r="E46" s="31"/>
      <c r="F46" s="31"/>
      <c r="G46" s="31"/>
      <c r="H46" s="31"/>
      <c r="I46" s="31"/>
      <c r="J46" s="33"/>
      <c r="K46" s="31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4" t="str">
        <f aca="false">IF(COUNTIF(L46:W46,"N")=0,"Pass",IF(COUNTIF(L46:W46,"N")&lt;=2,"Conditional","Fail"))</f>
        <v>Pass</v>
      </c>
      <c r="Y46" s="31"/>
      <c r="Z46" s="33"/>
      <c r="AA46" s="33"/>
      <c r="AB46" s="31"/>
    </row>
    <row r="47" customFormat="false" ht="30" hidden="false" customHeight="true" outlineLevel="0" collapsed="false">
      <c r="A47" s="25" t="n">
        <v>45</v>
      </c>
      <c r="B47" s="28"/>
      <c r="C47" s="28"/>
      <c r="D47" s="28"/>
      <c r="E47" s="28"/>
      <c r="F47" s="28"/>
      <c r="G47" s="28"/>
      <c r="H47" s="28"/>
      <c r="I47" s="28"/>
      <c r="J47" s="26"/>
      <c r="K47" s="28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7" t="str">
        <f aca="false">IF(COUNTIF(L47:W47,"N")=0,"Pass",IF(COUNTIF(L47:W47,"N")&lt;=2,"Conditional","Fail"))</f>
        <v>Pass</v>
      </c>
      <c r="Y47" s="28"/>
      <c r="Z47" s="26"/>
      <c r="AA47" s="26"/>
      <c r="AB47" s="28"/>
    </row>
    <row r="48" customFormat="false" ht="30" hidden="false" customHeight="true" outlineLevel="0" collapsed="false">
      <c r="A48" s="32" t="n">
        <v>46</v>
      </c>
      <c r="B48" s="31"/>
      <c r="C48" s="31"/>
      <c r="D48" s="31"/>
      <c r="E48" s="31"/>
      <c r="F48" s="31"/>
      <c r="G48" s="31"/>
      <c r="H48" s="31"/>
      <c r="I48" s="31"/>
      <c r="J48" s="33"/>
      <c r="K48" s="31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4" t="str">
        <f aca="false">IF(COUNTIF(L48:W48,"N")=0,"Pass",IF(COUNTIF(L48:W48,"N")&lt;=2,"Conditional","Fail"))</f>
        <v>Pass</v>
      </c>
      <c r="Y48" s="31"/>
      <c r="Z48" s="33"/>
      <c r="AA48" s="33"/>
      <c r="AB48" s="31"/>
    </row>
    <row r="49" customFormat="false" ht="30" hidden="false" customHeight="true" outlineLevel="0" collapsed="false">
      <c r="A49" s="25" t="n">
        <v>47</v>
      </c>
      <c r="B49" s="28"/>
      <c r="C49" s="28"/>
      <c r="D49" s="28"/>
      <c r="E49" s="28"/>
      <c r="F49" s="28"/>
      <c r="G49" s="28"/>
      <c r="H49" s="28"/>
      <c r="I49" s="28"/>
      <c r="J49" s="26"/>
      <c r="K49" s="28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7" t="str">
        <f aca="false">IF(COUNTIF(L49:W49,"N")=0,"Pass",IF(COUNTIF(L49:W49,"N")&lt;=2,"Conditional","Fail"))</f>
        <v>Pass</v>
      </c>
      <c r="Y49" s="28"/>
      <c r="Z49" s="26"/>
      <c r="AA49" s="26"/>
      <c r="AB49" s="28"/>
    </row>
    <row r="50" customFormat="false" ht="30" hidden="false" customHeight="true" outlineLevel="0" collapsed="false">
      <c r="A50" s="32" t="n">
        <v>48</v>
      </c>
      <c r="B50" s="31"/>
      <c r="C50" s="31"/>
      <c r="D50" s="31"/>
      <c r="E50" s="31"/>
      <c r="F50" s="31"/>
      <c r="G50" s="31"/>
      <c r="H50" s="31"/>
      <c r="I50" s="31"/>
      <c r="J50" s="33"/>
      <c r="K50" s="31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4" t="str">
        <f aca="false">IF(COUNTIF(L50:W50,"N")=0,"Pass",IF(COUNTIF(L50:W50,"N")&lt;=2,"Conditional","Fail"))</f>
        <v>Pass</v>
      </c>
      <c r="Y50" s="31"/>
      <c r="Z50" s="33"/>
      <c r="AA50" s="33"/>
      <c r="AB50" s="31"/>
    </row>
    <row r="51" customFormat="false" ht="30" hidden="false" customHeight="true" outlineLevel="0" collapsed="false">
      <c r="A51" s="25" t="n">
        <v>49</v>
      </c>
      <c r="B51" s="28"/>
      <c r="C51" s="28"/>
      <c r="D51" s="28"/>
      <c r="E51" s="28"/>
      <c r="F51" s="28"/>
      <c r="G51" s="28"/>
      <c r="H51" s="28"/>
      <c r="I51" s="28"/>
      <c r="J51" s="26"/>
      <c r="K51" s="28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7" t="str">
        <f aca="false">IF(COUNTIF(L51:W51,"N")=0,"Pass",IF(COUNTIF(L51:W51,"N")&lt;=2,"Conditional","Fail"))</f>
        <v>Pass</v>
      </c>
      <c r="Y51" s="28"/>
      <c r="Z51" s="26"/>
      <c r="AA51" s="26"/>
      <c r="AB51" s="28"/>
    </row>
    <row r="52" customFormat="false" ht="30" hidden="false" customHeight="true" outlineLevel="0" collapsed="false">
      <c r="A52" s="32" t="n">
        <v>50</v>
      </c>
      <c r="B52" s="31"/>
      <c r="C52" s="31"/>
      <c r="D52" s="31"/>
      <c r="E52" s="31"/>
      <c r="F52" s="31"/>
      <c r="G52" s="31"/>
      <c r="H52" s="31"/>
      <c r="I52" s="31"/>
      <c r="J52" s="33"/>
      <c r="K52" s="31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4" t="str">
        <f aca="false">IF(COUNTIF(L52:W52,"N")=0,"Pass",IF(COUNTIF(L52:W52,"N")&lt;=2,"Conditional","Fail"))</f>
        <v>Pass</v>
      </c>
      <c r="Y52" s="31"/>
      <c r="Z52" s="33"/>
      <c r="AA52" s="33"/>
      <c r="AB52" s="31"/>
    </row>
  </sheetData>
  <mergeCells count="1">
    <mergeCell ref="A1:AA1"/>
  </mergeCells>
  <conditionalFormatting sqref="L3:W202">
    <cfRule type="expression" priority="2" aboveAverage="0" equalAverage="0" bottom="0" percent="0" rank="0" text="" dxfId="3">
      <formula>L3="N"</formula>
    </cfRule>
  </conditionalFormatting>
  <conditionalFormatting sqref="X3:X202">
    <cfRule type="expression" priority="3" aboveAverage="0" equalAverage="0" bottom="0" percent="0" rank="0" text="" dxfId="4">
      <formula>X3="Pass"</formula>
    </cfRule>
    <cfRule type="expression" priority="4" aboveAverage="0" equalAverage="0" bottom="0" percent="0" rank="0" text="" dxfId="5">
      <formula>X3="Conditional"</formula>
    </cfRule>
    <cfRule type="expression" priority="5" aboveAverage="0" equalAverage="0" bottom="0" percent="0" rank="0" text="" dxfId="6">
      <formula>X3="Fail"</formula>
    </cfRule>
  </conditionalFormatting>
  <conditionalFormatting sqref="Y3:Y202">
    <cfRule type="expression" priority="6" aboveAverage="0" equalAverage="0" bottom="0" percent="0" rank="0" text="" dxfId="7">
      <formula>AND(Y3&lt;&gt;"",AA3="")</formula>
    </cfRule>
  </conditionalFormatting>
  <dataValidations count="2">
    <dataValidation allowBlank="true" errorStyle="stop" operator="between" showDropDown="false" showErrorMessage="false" showInputMessage="false" sqref="L3:W202" type="list">
      <formula1>"Y,N,N/A"</formula1>
      <formula2>0</formula2>
    </dataValidation>
    <dataValidation allowBlank="true" errorStyle="stop" operator="between" showDropDown="false" showErrorMessage="false" showInputMessage="false" sqref="X3:X202" type="list">
      <formula1>"Pass,Conditional,Fail"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AB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3" activeCellId="0" sqref="D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24"/>
    <col collapsed="false" customWidth="true" hidden="false" outlineLevel="0" max="7" min="7" style="1" width="28"/>
    <col collapsed="false" customWidth="true" hidden="false" outlineLevel="0" max="8" min="8" style="1" width="20"/>
    <col collapsed="false" customWidth="true" hidden="false" outlineLevel="0" max="9" min="9" style="1" width="22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2" min="12" style="1" width="10"/>
    <col collapsed="false" customWidth="true" hidden="false" outlineLevel="0" max="13" min="13" style="1" width="1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2"/>
    <col collapsed="false" customWidth="true" hidden="false" outlineLevel="0" max="18" min="17" style="1" width="14"/>
    <col collapsed="false" customWidth="true" hidden="false" outlineLevel="0" max="19" min="19" style="1" width="13"/>
    <col collapsed="false" customWidth="true" hidden="false" outlineLevel="0" max="20" min="20" style="1" width="12"/>
    <col collapsed="false" customWidth="true" hidden="false" outlineLevel="0" max="21" min="21" style="1" width="16"/>
    <col collapsed="false" customWidth="true" hidden="false" outlineLevel="0" max="22" min="22" style="1" width="15"/>
    <col collapsed="false" customWidth="true" hidden="false" outlineLevel="0" max="23" min="23" style="1" width="17"/>
    <col collapsed="false" customWidth="true" hidden="false" outlineLevel="0" max="24" min="24" style="1" width="13"/>
    <col collapsed="false" customWidth="true" hidden="false" outlineLevel="0" max="25" min="25" style="1" width="30"/>
    <col collapsed="false" customWidth="true" hidden="false" outlineLevel="0" max="26" min="26" style="1" width="16"/>
    <col collapsed="false" customWidth="true" hidden="false" outlineLevel="0" max="27" min="27" style="1" width="14"/>
    <col collapsed="false" customWidth="true" hidden="false" outlineLevel="0" max="28" min="28" style="1" width="30"/>
  </cols>
  <sheetData>
    <row r="1" customFormat="false" ht="27.75" hidden="false" customHeight="true" outlineLevel="0" collapsed="false">
      <c r="A1" s="21" t="s">
        <v>76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customFormat="false" ht="39.75" hidden="false" customHeight="true" outlineLevel="0" collapsed="false">
      <c r="A2" s="22" t="s">
        <v>41</v>
      </c>
      <c r="B2" s="22" t="s">
        <v>42</v>
      </c>
      <c r="C2" s="22" t="s">
        <v>43</v>
      </c>
      <c r="D2" s="22" t="s">
        <v>44</v>
      </c>
      <c r="E2" s="22" t="s">
        <v>45</v>
      </c>
      <c r="F2" s="22" t="s">
        <v>46</v>
      </c>
      <c r="G2" s="22" t="s">
        <v>47</v>
      </c>
      <c r="H2" s="22" t="s">
        <v>48</v>
      </c>
      <c r="I2" s="22" t="s">
        <v>49</v>
      </c>
      <c r="J2" s="22" t="s">
        <v>50</v>
      </c>
      <c r="K2" s="22" t="s">
        <v>51</v>
      </c>
      <c r="L2" s="22" t="s">
        <v>52</v>
      </c>
      <c r="M2" s="22" t="s">
        <v>53</v>
      </c>
      <c r="N2" s="22" t="s">
        <v>54</v>
      </c>
      <c r="O2" s="22" t="s">
        <v>55</v>
      </c>
      <c r="P2" s="22" t="s">
        <v>56</v>
      </c>
      <c r="Q2" s="22" t="s">
        <v>57</v>
      </c>
      <c r="R2" s="22" t="s">
        <v>58</v>
      </c>
      <c r="S2" s="22" t="s">
        <v>59</v>
      </c>
      <c r="T2" s="22" t="s">
        <v>60</v>
      </c>
      <c r="U2" s="22" t="s">
        <v>61</v>
      </c>
      <c r="V2" s="22" t="s">
        <v>62</v>
      </c>
      <c r="W2" s="22" t="s">
        <v>63</v>
      </c>
      <c r="X2" s="22" t="s">
        <v>64</v>
      </c>
      <c r="Y2" s="22" t="s">
        <v>65</v>
      </c>
      <c r="Z2" s="22" t="s">
        <v>66</v>
      </c>
      <c r="AA2" s="22" t="s">
        <v>67</v>
      </c>
      <c r="AB2" s="22" t="s">
        <v>68</v>
      </c>
    </row>
    <row r="3" customFormat="false" ht="42" hidden="false" customHeight="true" outlineLevel="0" collapsed="false">
      <c r="A3" s="23" t="n">
        <v>1</v>
      </c>
      <c r="B3" s="24" t="s">
        <v>69</v>
      </c>
      <c r="C3" s="24" t="s">
        <v>70</v>
      </c>
      <c r="D3" s="24" t="s">
        <v>71</v>
      </c>
      <c r="E3" s="24" t="s">
        <v>72</v>
      </c>
      <c r="F3" s="24" t="s">
        <v>73</v>
      </c>
      <c r="G3" s="24" t="s">
        <v>74</v>
      </c>
      <c r="H3" s="25"/>
      <c r="I3" s="25"/>
      <c r="J3" s="26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7" t="str">
        <f aca="false">IF(COUNTIF(L3:W3,"N")=0,"Pass",IF(COUNTIF(L3:W3,"N")&lt;=2,"Conditional","Fail"))</f>
        <v>Pass</v>
      </c>
      <c r="Y3" s="28"/>
      <c r="Z3" s="29"/>
      <c r="AA3" s="29"/>
      <c r="AB3" s="28"/>
    </row>
    <row r="4" customFormat="false" ht="42" hidden="false" customHeight="true" outlineLevel="0" collapsed="false">
      <c r="A4" s="30" t="n">
        <v>2</v>
      </c>
      <c r="B4" s="31"/>
      <c r="C4" s="31"/>
      <c r="D4" s="31"/>
      <c r="E4" s="31"/>
      <c r="F4" s="31"/>
      <c r="G4" s="31"/>
      <c r="H4" s="32"/>
      <c r="I4" s="32"/>
      <c r="J4" s="33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4" t="str">
        <f aca="false">IF(COUNTIF(L4:W4,"N")=0,"Pass",IF(COUNTIF(L4:W4,"N")&lt;=2,"Conditional","Fail"))</f>
        <v>Pass</v>
      </c>
      <c r="Y4" s="31"/>
      <c r="Z4" s="35"/>
      <c r="AA4" s="35"/>
      <c r="AB4" s="31"/>
    </row>
    <row r="5" customFormat="false" ht="42" hidden="false" customHeight="true" outlineLevel="0" collapsed="false">
      <c r="A5" s="23" t="n">
        <v>3</v>
      </c>
      <c r="B5" s="28"/>
      <c r="C5" s="28"/>
      <c r="D5" s="28"/>
      <c r="E5" s="28"/>
      <c r="F5" s="28"/>
      <c r="G5" s="28"/>
      <c r="H5" s="25"/>
      <c r="I5" s="25"/>
      <c r="J5" s="26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7" t="str">
        <f aca="false">IF(COUNTIF(L5:W5,"N")=0,"Pass",IF(COUNTIF(L5:W5,"N")&lt;=2,"Conditional","Fail"))</f>
        <v>Pass</v>
      </c>
      <c r="Y5" s="28"/>
      <c r="Z5" s="29"/>
      <c r="AA5" s="29"/>
      <c r="AB5" s="28"/>
    </row>
    <row r="6" customFormat="false" ht="42" hidden="false" customHeight="true" outlineLevel="0" collapsed="false">
      <c r="A6" s="30" t="n">
        <v>4</v>
      </c>
      <c r="B6" s="31"/>
      <c r="C6" s="31"/>
      <c r="D6" s="31"/>
      <c r="E6" s="31"/>
      <c r="F6" s="31"/>
      <c r="G6" s="31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4" t="str">
        <f aca="false">IF(COUNTIF(L6:W6,"N")=0,"Pass",IF(COUNTIF(L6:W6,"N")&lt;=2,"Conditional","Fail"))</f>
        <v>Pass</v>
      </c>
      <c r="Y6" s="31"/>
      <c r="Z6" s="35"/>
      <c r="AA6" s="35"/>
      <c r="AB6" s="31"/>
    </row>
    <row r="7" customFormat="false" ht="42" hidden="false" customHeight="true" outlineLevel="0" collapsed="false">
      <c r="A7" s="23" t="n">
        <v>5</v>
      </c>
      <c r="B7" s="28"/>
      <c r="C7" s="28"/>
      <c r="D7" s="28"/>
      <c r="E7" s="28"/>
      <c r="F7" s="28"/>
      <c r="G7" s="28"/>
      <c r="H7" s="25"/>
      <c r="I7" s="25"/>
      <c r="J7" s="26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7" t="str">
        <f aca="false">IF(COUNTIF(L7:W7,"N")=0,"Pass",IF(COUNTIF(L7:W7,"N")&lt;=2,"Conditional","Fail"))</f>
        <v>Pass</v>
      </c>
      <c r="Y7" s="28"/>
      <c r="Z7" s="29"/>
      <c r="AA7" s="29"/>
      <c r="AB7" s="28"/>
    </row>
    <row r="8" customFormat="false" ht="42" hidden="false" customHeight="true" outlineLevel="0" collapsed="false">
      <c r="A8" s="30" t="n">
        <v>6</v>
      </c>
      <c r="B8" s="31"/>
      <c r="C8" s="31"/>
      <c r="D8" s="31"/>
      <c r="E8" s="31"/>
      <c r="F8" s="31"/>
      <c r="G8" s="31"/>
      <c r="H8" s="32"/>
      <c r="I8" s="32"/>
      <c r="J8" s="33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4" t="str">
        <f aca="false">IF(COUNTIF(L8:W8,"N")=0,"Pass",IF(COUNTIF(L8:W8,"N")&lt;=2,"Conditional","Fail"))</f>
        <v>Pass</v>
      </c>
      <c r="Y8" s="31"/>
      <c r="Z8" s="35"/>
      <c r="AA8" s="35"/>
      <c r="AB8" s="31"/>
    </row>
    <row r="9" customFormat="false" ht="42" hidden="false" customHeight="true" outlineLevel="0" collapsed="false">
      <c r="A9" s="23" t="n">
        <v>7</v>
      </c>
      <c r="B9" s="28"/>
      <c r="C9" s="28"/>
      <c r="D9" s="28"/>
      <c r="E9" s="28"/>
      <c r="F9" s="28"/>
      <c r="G9" s="28"/>
      <c r="H9" s="25"/>
      <c r="I9" s="25"/>
      <c r="J9" s="26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7" t="str">
        <f aca="false">IF(COUNTIF(L9:W9,"N")=0,"Pass",IF(COUNTIF(L9:W9,"N")&lt;=2,"Conditional","Fail"))</f>
        <v>Pass</v>
      </c>
      <c r="Y9" s="28"/>
      <c r="Z9" s="29"/>
      <c r="AA9" s="29"/>
      <c r="AB9" s="28"/>
    </row>
    <row r="10" customFormat="false" ht="42" hidden="false" customHeight="true" outlineLevel="0" collapsed="false">
      <c r="A10" s="30" t="n">
        <v>8</v>
      </c>
      <c r="B10" s="31"/>
      <c r="C10" s="31"/>
      <c r="D10" s="31"/>
      <c r="E10" s="31"/>
      <c r="F10" s="31"/>
      <c r="G10" s="31"/>
      <c r="H10" s="32"/>
      <c r="I10" s="32"/>
      <c r="J10" s="33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4" t="str">
        <f aca="false">IF(COUNTIF(L10:W10,"N")=0,"Pass",IF(COUNTIF(L10:W10,"N")&lt;=2,"Conditional","Fail"))</f>
        <v>Pass</v>
      </c>
      <c r="Y10" s="31"/>
      <c r="Z10" s="35"/>
      <c r="AA10" s="35"/>
      <c r="AB10" s="31"/>
    </row>
    <row r="11" customFormat="false" ht="42" hidden="false" customHeight="true" outlineLevel="0" collapsed="false">
      <c r="A11" s="23" t="n">
        <v>9</v>
      </c>
      <c r="B11" s="28"/>
      <c r="C11" s="28"/>
      <c r="D11" s="28"/>
      <c r="E11" s="28"/>
      <c r="F11" s="28"/>
      <c r="G11" s="28"/>
      <c r="H11" s="25"/>
      <c r="I11" s="25"/>
      <c r="J11" s="26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7" t="str">
        <f aca="false">IF(COUNTIF(L11:W11,"N")=0,"Pass",IF(COUNTIF(L11:W11,"N")&lt;=2,"Conditional","Fail"))</f>
        <v>Pass</v>
      </c>
      <c r="Y11" s="28"/>
      <c r="Z11" s="29"/>
      <c r="AA11" s="29"/>
      <c r="AB11" s="28"/>
    </row>
    <row r="12" customFormat="false" ht="42" hidden="false" customHeight="true" outlineLevel="0" collapsed="false">
      <c r="A12" s="30" t="n">
        <v>10</v>
      </c>
      <c r="B12" s="31"/>
      <c r="C12" s="31"/>
      <c r="D12" s="31"/>
      <c r="E12" s="31"/>
      <c r="F12" s="31"/>
      <c r="G12" s="31"/>
      <c r="H12" s="32"/>
      <c r="I12" s="32"/>
      <c r="J12" s="33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4" t="str">
        <f aca="false">IF(COUNTIF(L12:W12,"N")=0,"Pass",IF(COUNTIF(L12:W12,"N")&lt;=2,"Conditional","Fail"))</f>
        <v>Pass</v>
      </c>
      <c r="Y12" s="31"/>
      <c r="Z12" s="35"/>
      <c r="AA12" s="35"/>
      <c r="AB12" s="31"/>
    </row>
    <row r="13" customFormat="false" ht="30" hidden="false" customHeight="true" outlineLevel="0" collapsed="false">
      <c r="A13" s="25" t="n">
        <v>11</v>
      </c>
      <c r="B13" s="28"/>
      <c r="C13" s="28"/>
      <c r="D13" s="28"/>
      <c r="E13" s="28"/>
      <c r="F13" s="28"/>
      <c r="G13" s="28"/>
      <c r="H13" s="28"/>
      <c r="I13" s="28"/>
      <c r="J13" s="26"/>
      <c r="K13" s="28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7" t="str">
        <f aca="false">IF(COUNTIF(L13:W13,"N")=0,"Pass",IF(COUNTIF(L13:W13,"N")&lt;=2,"Conditional","Fail"))</f>
        <v>Pass</v>
      </c>
      <c r="Y13" s="28"/>
      <c r="Z13" s="26"/>
      <c r="AA13" s="26"/>
      <c r="AB13" s="28"/>
    </row>
    <row r="14" customFormat="false" ht="30" hidden="false" customHeight="true" outlineLevel="0" collapsed="false">
      <c r="A14" s="32" t="n">
        <v>12</v>
      </c>
      <c r="B14" s="31"/>
      <c r="C14" s="31"/>
      <c r="D14" s="31"/>
      <c r="E14" s="31"/>
      <c r="F14" s="31"/>
      <c r="G14" s="31"/>
      <c r="H14" s="31"/>
      <c r="I14" s="31"/>
      <c r="J14" s="33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4" t="str">
        <f aca="false">IF(COUNTIF(L14:W14,"N")=0,"Pass",IF(COUNTIF(L14:W14,"N")&lt;=2,"Conditional","Fail"))</f>
        <v>Pass</v>
      </c>
      <c r="Y14" s="31"/>
      <c r="Z14" s="33"/>
      <c r="AA14" s="33"/>
      <c r="AB14" s="31"/>
    </row>
    <row r="15" customFormat="false" ht="30" hidden="false" customHeight="true" outlineLevel="0" collapsed="false">
      <c r="A15" s="25" t="n">
        <v>13</v>
      </c>
      <c r="B15" s="28"/>
      <c r="C15" s="28"/>
      <c r="D15" s="28"/>
      <c r="E15" s="28"/>
      <c r="F15" s="28"/>
      <c r="G15" s="28"/>
      <c r="H15" s="28"/>
      <c r="I15" s="28"/>
      <c r="J15" s="26"/>
      <c r="K15" s="28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7" t="str">
        <f aca="false">IF(COUNTIF(L15:W15,"N")=0,"Pass",IF(COUNTIF(L15:W15,"N")&lt;=2,"Conditional","Fail"))</f>
        <v>Pass</v>
      </c>
      <c r="Y15" s="28"/>
      <c r="Z15" s="26"/>
      <c r="AA15" s="26"/>
      <c r="AB15" s="28"/>
    </row>
    <row r="16" customFormat="false" ht="30" hidden="false" customHeight="true" outlineLevel="0" collapsed="false">
      <c r="A16" s="32" t="n">
        <v>14</v>
      </c>
      <c r="B16" s="31"/>
      <c r="C16" s="31"/>
      <c r="D16" s="31"/>
      <c r="E16" s="31"/>
      <c r="F16" s="31"/>
      <c r="G16" s="31"/>
      <c r="H16" s="31"/>
      <c r="I16" s="31"/>
      <c r="J16" s="33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4" t="str">
        <f aca="false">IF(COUNTIF(L16:W16,"N")=0,"Pass",IF(COUNTIF(L16:W16,"N")&lt;=2,"Conditional","Fail"))</f>
        <v>Pass</v>
      </c>
      <c r="Y16" s="31"/>
      <c r="Z16" s="33"/>
      <c r="AA16" s="33"/>
      <c r="AB16" s="31"/>
    </row>
    <row r="17" customFormat="false" ht="30" hidden="false" customHeight="true" outlineLevel="0" collapsed="false">
      <c r="A17" s="25" t="n">
        <v>15</v>
      </c>
      <c r="B17" s="28"/>
      <c r="C17" s="28"/>
      <c r="D17" s="28"/>
      <c r="E17" s="28"/>
      <c r="F17" s="28"/>
      <c r="G17" s="28"/>
      <c r="H17" s="28"/>
      <c r="I17" s="28"/>
      <c r="J17" s="26"/>
      <c r="K17" s="28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7" t="str">
        <f aca="false">IF(COUNTIF(L17:W17,"N")=0,"Pass",IF(COUNTIF(L17:W17,"N")&lt;=2,"Conditional","Fail"))</f>
        <v>Pass</v>
      </c>
      <c r="Y17" s="28"/>
      <c r="Z17" s="26"/>
      <c r="AA17" s="26"/>
      <c r="AB17" s="28"/>
    </row>
    <row r="18" customFormat="false" ht="30" hidden="false" customHeight="true" outlineLevel="0" collapsed="false">
      <c r="A18" s="32" t="n">
        <v>16</v>
      </c>
      <c r="B18" s="31"/>
      <c r="C18" s="31"/>
      <c r="D18" s="31"/>
      <c r="E18" s="31"/>
      <c r="F18" s="31"/>
      <c r="G18" s="31"/>
      <c r="H18" s="31"/>
      <c r="I18" s="31"/>
      <c r="J18" s="33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4" t="str">
        <f aca="false">IF(COUNTIF(L18:W18,"N")=0,"Pass",IF(COUNTIF(L18:W18,"N")&lt;=2,"Conditional","Fail"))</f>
        <v>Pass</v>
      </c>
      <c r="Y18" s="31"/>
      <c r="Z18" s="33"/>
      <c r="AA18" s="33"/>
      <c r="AB18" s="31"/>
    </row>
    <row r="19" customFormat="false" ht="30" hidden="false" customHeight="true" outlineLevel="0" collapsed="false">
      <c r="A19" s="25" t="n">
        <v>17</v>
      </c>
      <c r="B19" s="28"/>
      <c r="C19" s="28"/>
      <c r="D19" s="28"/>
      <c r="E19" s="28"/>
      <c r="F19" s="28"/>
      <c r="G19" s="28"/>
      <c r="H19" s="28"/>
      <c r="I19" s="28"/>
      <c r="J19" s="26"/>
      <c r="K19" s="28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7" t="str">
        <f aca="false">IF(COUNTIF(L19:W19,"N")=0,"Pass",IF(COUNTIF(L19:W19,"N")&lt;=2,"Conditional","Fail"))</f>
        <v>Pass</v>
      </c>
      <c r="Y19" s="28"/>
      <c r="Z19" s="26"/>
      <c r="AA19" s="26"/>
      <c r="AB19" s="28"/>
    </row>
    <row r="20" customFormat="false" ht="30" hidden="false" customHeight="true" outlineLevel="0" collapsed="false">
      <c r="A20" s="32" t="n">
        <v>18</v>
      </c>
      <c r="B20" s="31"/>
      <c r="C20" s="31"/>
      <c r="D20" s="31"/>
      <c r="E20" s="31"/>
      <c r="F20" s="31"/>
      <c r="G20" s="31"/>
      <c r="H20" s="31"/>
      <c r="I20" s="31"/>
      <c r="J20" s="33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4" t="str">
        <f aca="false">IF(COUNTIF(L20:W20,"N")=0,"Pass",IF(COUNTIF(L20:W20,"N")&lt;=2,"Conditional","Fail"))</f>
        <v>Pass</v>
      </c>
      <c r="Y20" s="31"/>
      <c r="Z20" s="33"/>
      <c r="AA20" s="33"/>
      <c r="AB20" s="31"/>
    </row>
    <row r="21" customFormat="false" ht="30" hidden="false" customHeight="true" outlineLevel="0" collapsed="false">
      <c r="A21" s="25" t="n">
        <v>19</v>
      </c>
      <c r="B21" s="28"/>
      <c r="C21" s="28"/>
      <c r="D21" s="28"/>
      <c r="E21" s="28"/>
      <c r="F21" s="28"/>
      <c r="G21" s="28"/>
      <c r="H21" s="28"/>
      <c r="I21" s="28"/>
      <c r="J21" s="26"/>
      <c r="K21" s="28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7" t="str">
        <f aca="false">IF(COUNTIF(L21:W21,"N")=0,"Pass",IF(COUNTIF(L21:W21,"N")&lt;=2,"Conditional","Fail"))</f>
        <v>Pass</v>
      </c>
      <c r="Y21" s="28"/>
      <c r="Z21" s="26"/>
      <c r="AA21" s="26"/>
      <c r="AB21" s="28"/>
    </row>
    <row r="22" customFormat="false" ht="30" hidden="false" customHeight="true" outlineLevel="0" collapsed="false">
      <c r="A22" s="32" t="n">
        <v>20</v>
      </c>
      <c r="B22" s="31"/>
      <c r="C22" s="31"/>
      <c r="D22" s="31"/>
      <c r="E22" s="31"/>
      <c r="F22" s="31"/>
      <c r="G22" s="31"/>
      <c r="H22" s="31"/>
      <c r="I22" s="31"/>
      <c r="J22" s="33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4" t="str">
        <f aca="false">IF(COUNTIF(L22:W22,"N")=0,"Pass",IF(COUNTIF(L22:W22,"N")&lt;=2,"Conditional","Fail"))</f>
        <v>Pass</v>
      </c>
      <c r="Y22" s="31"/>
      <c r="Z22" s="33"/>
      <c r="AA22" s="33"/>
      <c r="AB22" s="31"/>
    </row>
    <row r="23" customFormat="false" ht="30" hidden="false" customHeight="true" outlineLevel="0" collapsed="false">
      <c r="A23" s="25" t="n">
        <v>21</v>
      </c>
      <c r="B23" s="28"/>
      <c r="C23" s="28"/>
      <c r="D23" s="28"/>
      <c r="E23" s="28"/>
      <c r="F23" s="28"/>
      <c r="G23" s="28"/>
      <c r="H23" s="28"/>
      <c r="I23" s="28"/>
      <c r="J23" s="26"/>
      <c r="K23" s="28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7" t="str">
        <f aca="false">IF(COUNTIF(L23:W23,"N")=0,"Pass",IF(COUNTIF(L23:W23,"N")&lt;=2,"Conditional","Fail"))</f>
        <v>Pass</v>
      </c>
      <c r="Y23" s="28"/>
      <c r="Z23" s="26"/>
      <c r="AA23" s="26"/>
      <c r="AB23" s="28"/>
    </row>
    <row r="24" customFormat="false" ht="30" hidden="false" customHeight="true" outlineLevel="0" collapsed="false">
      <c r="A24" s="32" t="n">
        <v>22</v>
      </c>
      <c r="B24" s="31"/>
      <c r="C24" s="31"/>
      <c r="D24" s="31"/>
      <c r="E24" s="31"/>
      <c r="F24" s="31"/>
      <c r="G24" s="31"/>
      <c r="H24" s="31"/>
      <c r="I24" s="31"/>
      <c r="J24" s="33"/>
      <c r="K24" s="31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4" t="str">
        <f aca="false">IF(COUNTIF(L24:W24,"N")=0,"Pass",IF(COUNTIF(L24:W24,"N")&lt;=2,"Conditional","Fail"))</f>
        <v>Pass</v>
      </c>
      <c r="Y24" s="31"/>
      <c r="Z24" s="33"/>
      <c r="AA24" s="33"/>
      <c r="AB24" s="31"/>
    </row>
    <row r="25" customFormat="false" ht="30" hidden="false" customHeight="true" outlineLevel="0" collapsed="false">
      <c r="A25" s="25" t="n">
        <v>23</v>
      </c>
      <c r="B25" s="28"/>
      <c r="C25" s="28"/>
      <c r="D25" s="28"/>
      <c r="E25" s="28"/>
      <c r="F25" s="28"/>
      <c r="G25" s="28"/>
      <c r="H25" s="28"/>
      <c r="I25" s="28"/>
      <c r="J25" s="26"/>
      <c r="K25" s="28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7" t="str">
        <f aca="false">IF(COUNTIF(L25:W25,"N")=0,"Pass",IF(COUNTIF(L25:W25,"N")&lt;=2,"Conditional","Fail"))</f>
        <v>Pass</v>
      </c>
      <c r="Y25" s="28"/>
      <c r="Z25" s="26"/>
      <c r="AA25" s="26"/>
      <c r="AB25" s="28"/>
    </row>
    <row r="26" customFormat="false" ht="30" hidden="false" customHeight="true" outlineLevel="0" collapsed="false">
      <c r="A26" s="32" t="n">
        <v>24</v>
      </c>
      <c r="B26" s="31"/>
      <c r="C26" s="31"/>
      <c r="D26" s="31"/>
      <c r="E26" s="31"/>
      <c r="F26" s="31"/>
      <c r="G26" s="31"/>
      <c r="H26" s="31"/>
      <c r="I26" s="31"/>
      <c r="J26" s="33"/>
      <c r="K26" s="31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4" t="str">
        <f aca="false">IF(COUNTIF(L26:W26,"N")=0,"Pass",IF(COUNTIF(L26:W26,"N")&lt;=2,"Conditional","Fail"))</f>
        <v>Pass</v>
      </c>
      <c r="Y26" s="31"/>
      <c r="Z26" s="33"/>
      <c r="AA26" s="33"/>
      <c r="AB26" s="31"/>
    </row>
    <row r="27" customFormat="false" ht="30" hidden="false" customHeight="true" outlineLevel="0" collapsed="false">
      <c r="A27" s="25" t="n">
        <v>25</v>
      </c>
      <c r="B27" s="28"/>
      <c r="C27" s="28"/>
      <c r="D27" s="28"/>
      <c r="E27" s="28"/>
      <c r="F27" s="28"/>
      <c r="G27" s="28"/>
      <c r="H27" s="28"/>
      <c r="I27" s="28"/>
      <c r="J27" s="26"/>
      <c r="K27" s="28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7" t="str">
        <f aca="false">IF(COUNTIF(L27:W27,"N")=0,"Pass",IF(COUNTIF(L27:W27,"N")&lt;=2,"Conditional","Fail"))</f>
        <v>Pass</v>
      </c>
      <c r="Y27" s="28"/>
      <c r="Z27" s="26"/>
      <c r="AA27" s="26"/>
      <c r="AB27" s="28"/>
    </row>
    <row r="28" customFormat="false" ht="30" hidden="false" customHeight="true" outlineLevel="0" collapsed="false">
      <c r="A28" s="32" t="n">
        <v>26</v>
      </c>
      <c r="B28" s="31"/>
      <c r="C28" s="31"/>
      <c r="D28" s="31"/>
      <c r="E28" s="31"/>
      <c r="F28" s="31"/>
      <c r="G28" s="31"/>
      <c r="H28" s="31"/>
      <c r="I28" s="31"/>
      <c r="J28" s="33"/>
      <c r="K28" s="31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4" t="str">
        <f aca="false">IF(COUNTIF(L28:W28,"N")=0,"Pass",IF(COUNTIF(L28:W28,"N")&lt;=2,"Conditional","Fail"))</f>
        <v>Pass</v>
      </c>
      <c r="Y28" s="31"/>
      <c r="Z28" s="33"/>
      <c r="AA28" s="33"/>
      <c r="AB28" s="31"/>
    </row>
    <row r="29" customFormat="false" ht="30" hidden="false" customHeight="true" outlineLevel="0" collapsed="false">
      <c r="A29" s="25" t="n">
        <v>27</v>
      </c>
      <c r="B29" s="28"/>
      <c r="C29" s="28"/>
      <c r="D29" s="28"/>
      <c r="E29" s="28"/>
      <c r="F29" s="28"/>
      <c r="G29" s="28"/>
      <c r="H29" s="28"/>
      <c r="I29" s="28"/>
      <c r="J29" s="26"/>
      <c r="K29" s="28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7" t="str">
        <f aca="false">IF(COUNTIF(L29:W29,"N")=0,"Pass",IF(COUNTIF(L29:W29,"N")&lt;=2,"Conditional","Fail"))</f>
        <v>Pass</v>
      </c>
      <c r="Y29" s="28"/>
      <c r="Z29" s="26"/>
      <c r="AA29" s="26"/>
      <c r="AB29" s="28"/>
    </row>
    <row r="30" customFormat="false" ht="30" hidden="false" customHeight="true" outlineLevel="0" collapsed="false">
      <c r="A30" s="32" t="n">
        <v>28</v>
      </c>
      <c r="B30" s="31"/>
      <c r="C30" s="31"/>
      <c r="D30" s="31"/>
      <c r="E30" s="31"/>
      <c r="F30" s="31"/>
      <c r="G30" s="31"/>
      <c r="H30" s="31"/>
      <c r="I30" s="31"/>
      <c r="J30" s="33"/>
      <c r="K30" s="31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4" t="str">
        <f aca="false">IF(COUNTIF(L30:W30,"N")=0,"Pass",IF(COUNTIF(L30:W30,"N")&lt;=2,"Conditional","Fail"))</f>
        <v>Pass</v>
      </c>
      <c r="Y30" s="31"/>
      <c r="Z30" s="33"/>
      <c r="AA30" s="33"/>
      <c r="AB30" s="31"/>
    </row>
    <row r="31" customFormat="false" ht="30" hidden="false" customHeight="true" outlineLevel="0" collapsed="false">
      <c r="A31" s="25" t="n">
        <v>29</v>
      </c>
      <c r="B31" s="28"/>
      <c r="C31" s="28"/>
      <c r="D31" s="28"/>
      <c r="E31" s="28"/>
      <c r="F31" s="28"/>
      <c r="G31" s="28"/>
      <c r="H31" s="28"/>
      <c r="I31" s="28"/>
      <c r="J31" s="26"/>
      <c r="K31" s="28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7" t="str">
        <f aca="false">IF(COUNTIF(L31:W31,"N")=0,"Pass",IF(COUNTIF(L31:W31,"N")&lt;=2,"Conditional","Fail"))</f>
        <v>Pass</v>
      </c>
      <c r="Y31" s="28"/>
      <c r="Z31" s="26"/>
      <c r="AA31" s="26"/>
      <c r="AB31" s="28"/>
    </row>
    <row r="32" customFormat="false" ht="30" hidden="false" customHeight="true" outlineLevel="0" collapsed="false">
      <c r="A32" s="32" t="n">
        <v>30</v>
      </c>
      <c r="B32" s="31"/>
      <c r="C32" s="31"/>
      <c r="D32" s="31"/>
      <c r="E32" s="31"/>
      <c r="F32" s="31"/>
      <c r="G32" s="31"/>
      <c r="H32" s="31"/>
      <c r="I32" s="31"/>
      <c r="J32" s="33"/>
      <c r="K32" s="31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4" t="str">
        <f aca="false">IF(COUNTIF(L32:W32,"N")=0,"Pass",IF(COUNTIF(L32:W32,"N")&lt;=2,"Conditional","Fail"))</f>
        <v>Pass</v>
      </c>
      <c r="Y32" s="31"/>
      <c r="Z32" s="33"/>
      <c r="AA32" s="33"/>
      <c r="AB32" s="31"/>
    </row>
    <row r="33" customFormat="false" ht="30" hidden="false" customHeight="true" outlineLevel="0" collapsed="false">
      <c r="A33" s="25" t="n">
        <v>31</v>
      </c>
      <c r="B33" s="28"/>
      <c r="C33" s="28"/>
      <c r="D33" s="28"/>
      <c r="E33" s="28"/>
      <c r="F33" s="28"/>
      <c r="G33" s="28"/>
      <c r="H33" s="28"/>
      <c r="I33" s="28"/>
      <c r="J33" s="26"/>
      <c r="K33" s="28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7" t="str">
        <f aca="false">IF(COUNTIF(L33:W33,"N")=0,"Pass",IF(COUNTIF(L33:W33,"N")&lt;=2,"Conditional","Fail"))</f>
        <v>Pass</v>
      </c>
      <c r="Y33" s="28"/>
      <c r="Z33" s="26"/>
      <c r="AA33" s="26"/>
      <c r="AB33" s="28"/>
    </row>
    <row r="34" customFormat="false" ht="30" hidden="false" customHeight="true" outlineLevel="0" collapsed="false">
      <c r="A34" s="32" t="n">
        <v>32</v>
      </c>
      <c r="B34" s="31"/>
      <c r="C34" s="31"/>
      <c r="D34" s="31"/>
      <c r="E34" s="31"/>
      <c r="F34" s="31"/>
      <c r="G34" s="31"/>
      <c r="H34" s="31"/>
      <c r="I34" s="31"/>
      <c r="J34" s="33"/>
      <c r="K34" s="31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4" t="str">
        <f aca="false">IF(COUNTIF(L34:W34,"N")=0,"Pass",IF(COUNTIF(L34:W34,"N")&lt;=2,"Conditional","Fail"))</f>
        <v>Pass</v>
      </c>
      <c r="Y34" s="31"/>
      <c r="Z34" s="33"/>
      <c r="AA34" s="33"/>
      <c r="AB34" s="31"/>
    </row>
    <row r="35" customFormat="false" ht="30" hidden="false" customHeight="true" outlineLevel="0" collapsed="false">
      <c r="A35" s="25" t="n">
        <v>33</v>
      </c>
      <c r="B35" s="28"/>
      <c r="C35" s="28"/>
      <c r="D35" s="28"/>
      <c r="E35" s="28"/>
      <c r="F35" s="28"/>
      <c r="G35" s="28"/>
      <c r="H35" s="28"/>
      <c r="I35" s="28"/>
      <c r="J35" s="26"/>
      <c r="K35" s="28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7" t="str">
        <f aca="false">IF(COUNTIF(L35:W35,"N")=0,"Pass",IF(COUNTIF(L35:W35,"N")&lt;=2,"Conditional","Fail"))</f>
        <v>Pass</v>
      </c>
      <c r="Y35" s="28"/>
      <c r="Z35" s="26"/>
      <c r="AA35" s="26"/>
      <c r="AB35" s="28"/>
    </row>
    <row r="36" customFormat="false" ht="30" hidden="false" customHeight="true" outlineLevel="0" collapsed="false">
      <c r="A36" s="32" t="n">
        <v>34</v>
      </c>
      <c r="B36" s="31"/>
      <c r="C36" s="31"/>
      <c r="D36" s="31"/>
      <c r="E36" s="31"/>
      <c r="F36" s="31"/>
      <c r="G36" s="31"/>
      <c r="H36" s="31"/>
      <c r="I36" s="31"/>
      <c r="J36" s="33"/>
      <c r="K36" s="31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4" t="str">
        <f aca="false">IF(COUNTIF(L36:W36,"N")=0,"Pass",IF(COUNTIF(L36:W36,"N")&lt;=2,"Conditional","Fail"))</f>
        <v>Pass</v>
      </c>
      <c r="Y36" s="31"/>
      <c r="Z36" s="33"/>
      <c r="AA36" s="33"/>
      <c r="AB36" s="31"/>
    </row>
    <row r="37" customFormat="false" ht="30" hidden="false" customHeight="true" outlineLevel="0" collapsed="false">
      <c r="A37" s="25" t="n">
        <v>35</v>
      </c>
      <c r="B37" s="28"/>
      <c r="C37" s="28"/>
      <c r="D37" s="28"/>
      <c r="E37" s="28"/>
      <c r="F37" s="28"/>
      <c r="G37" s="28"/>
      <c r="H37" s="28"/>
      <c r="I37" s="28"/>
      <c r="J37" s="26"/>
      <c r="K37" s="28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7" t="str">
        <f aca="false">IF(COUNTIF(L37:W37,"N")=0,"Pass",IF(COUNTIF(L37:W37,"N")&lt;=2,"Conditional","Fail"))</f>
        <v>Pass</v>
      </c>
      <c r="Y37" s="28"/>
      <c r="Z37" s="26"/>
      <c r="AA37" s="26"/>
      <c r="AB37" s="28"/>
    </row>
    <row r="38" customFormat="false" ht="30" hidden="false" customHeight="true" outlineLevel="0" collapsed="false">
      <c r="A38" s="32" t="n">
        <v>36</v>
      </c>
      <c r="B38" s="31"/>
      <c r="C38" s="31"/>
      <c r="D38" s="31"/>
      <c r="E38" s="31"/>
      <c r="F38" s="31"/>
      <c r="G38" s="31"/>
      <c r="H38" s="31"/>
      <c r="I38" s="31"/>
      <c r="J38" s="33"/>
      <c r="K38" s="31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4" t="str">
        <f aca="false">IF(COUNTIF(L38:W38,"N")=0,"Pass",IF(COUNTIF(L38:W38,"N")&lt;=2,"Conditional","Fail"))</f>
        <v>Pass</v>
      </c>
      <c r="Y38" s="31"/>
      <c r="Z38" s="33"/>
      <c r="AA38" s="33"/>
      <c r="AB38" s="31"/>
    </row>
    <row r="39" customFormat="false" ht="30" hidden="false" customHeight="true" outlineLevel="0" collapsed="false">
      <c r="A39" s="25" t="n">
        <v>37</v>
      </c>
      <c r="B39" s="28"/>
      <c r="C39" s="28"/>
      <c r="D39" s="28"/>
      <c r="E39" s="28"/>
      <c r="F39" s="28"/>
      <c r="G39" s="28"/>
      <c r="H39" s="28"/>
      <c r="I39" s="28"/>
      <c r="J39" s="26"/>
      <c r="K39" s="28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7" t="str">
        <f aca="false">IF(COUNTIF(L39:W39,"N")=0,"Pass",IF(COUNTIF(L39:W39,"N")&lt;=2,"Conditional","Fail"))</f>
        <v>Pass</v>
      </c>
      <c r="Y39" s="28"/>
      <c r="Z39" s="26"/>
      <c r="AA39" s="26"/>
      <c r="AB39" s="28"/>
    </row>
    <row r="40" customFormat="false" ht="30" hidden="false" customHeight="true" outlineLevel="0" collapsed="false">
      <c r="A40" s="32" t="n">
        <v>38</v>
      </c>
      <c r="B40" s="31"/>
      <c r="C40" s="31"/>
      <c r="D40" s="31"/>
      <c r="E40" s="31"/>
      <c r="F40" s="31"/>
      <c r="G40" s="31"/>
      <c r="H40" s="31"/>
      <c r="I40" s="31"/>
      <c r="J40" s="33"/>
      <c r="K40" s="31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4" t="str">
        <f aca="false">IF(COUNTIF(L40:W40,"N")=0,"Pass",IF(COUNTIF(L40:W40,"N")&lt;=2,"Conditional","Fail"))</f>
        <v>Pass</v>
      </c>
      <c r="Y40" s="31"/>
      <c r="Z40" s="33"/>
      <c r="AA40" s="33"/>
      <c r="AB40" s="31"/>
    </row>
    <row r="41" customFormat="false" ht="30" hidden="false" customHeight="true" outlineLevel="0" collapsed="false">
      <c r="A41" s="25" t="n">
        <v>39</v>
      </c>
      <c r="B41" s="28"/>
      <c r="C41" s="28"/>
      <c r="D41" s="28"/>
      <c r="E41" s="28"/>
      <c r="F41" s="28"/>
      <c r="G41" s="28"/>
      <c r="H41" s="28"/>
      <c r="I41" s="28"/>
      <c r="J41" s="26"/>
      <c r="K41" s="28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7" t="str">
        <f aca="false">IF(COUNTIF(L41:W41,"N")=0,"Pass",IF(COUNTIF(L41:W41,"N")&lt;=2,"Conditional","Fail"))</f>
        <v>Pass</v>
      </c>
      <c r="Y41" s="28"/>
      <c r="Z41" s="26"/>
      <c r="AA41" s="26"/>
      <c r="AB41" s="28"/>
    </row>
    <row r="42" customFormat="false" ht="30" hidden="false" customHeight="true" outlineLevel="0" collapsed="false">
      <c r="A42" s="32" t="n">
        <v>40</v>
      </c>
      <c r="B42" s="31"/>
      <c r="C42" s="31"/>
      <c r="D42" s="31"/>
      <c r="E42" s="31"/>
      <c r="F42" s="31"/>
      <c r="G42" s="31"/>
      <c r="H42" s="31"/>
      <c r="I42" s="31"/>
      <c r="J42" s="33"/>
      <c r="K42" s="31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4" t="str">
        <f aca="false">IF(COUNTIF(L42:W42,"N")=0,"Pass",IF(COUNTIF(L42:W42,"N")&lt;=2,"Conditional","Fail"))</f>
        <v>Pass</v>
      </c>
      <c r="Y42" s="31"/>
      <c r="Z42" s="33"/>
      <c r="AA42" s="33"/>
      <c r="AB42" s="31"/>
    </row>
    <row r="43" customFormat="false" ht="30" hidden="false" customHeight="true" outlineLevel="0" collapsed="false">
      <c r="A43" s="25" t="n">
        <v>41</v>
      </c>
      <c r="B43" s="28"/>
      <c r="C43" s="28"/>
      <c r="D43" s="28"/>
      <c r="E43" s="28"/>
      <c r="F43" s="28"/>
      <c r="G43" s="28"/>
      <c r="H43" s="28"/>
      <c r="I43" s="28"/>
      <c r="J43" s="26"/>
      <c r="K43" s="28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7" t="str">
        <f aca="false">IF(COUNTIF(L43:W43,"N")=0,"Pass",IF(COUNTIF(L43:W43,"N")&lt;=2,"Conditional","Fail"))</f>
        <v>Pass</v>
      </c>
      <c r="Y43" s="28"/>
      <c r="Z43" s="26"/>
      <c r="AA43" s="26"/>
      <c r="AB43" s="28"/>
    </row>
    <row r="44" customFormat="false" ht="30" hidden="false" customHeight="true" outlineLevel="0" collapsed="false">
      <c r="A44" s="32" t="n">
        <v>42</v>
      </c>
      <c r="B44" s="31"/>
      <c r="C44" s="31"/>
      <c r="D44" s="31"/>
      <c r="E44" s="31"/>
      <c r="F44" s="31"/>
      <c r="G44" s="31"/>
      <c r="H44" s="31"/>
      <c r="I44" s="31"/>
      <c r="J44" s="33"/>
      <c r="K44" s="31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4" t="str">
        <f aca="false">IF(COUNTIF(L44:W44,"N")=0,"Pass",IF(COUNTIF(L44:W44,"N")&lt;=2,"Conditional","Fail"))</f>
        <v>Pass</v>
      </c>
      <c r="Y44" s="31"/>
      <c r="Z44" s="33"/>
      <c r="AA44" s="33"/>
      <c r="AB44" s="31"/>
    </row>
    <row r="45" customFormat="false" ht="30" hidden="false" customHeight="true" outlineLevel="0" collapsed="false">
      <c r="A45" s="25" t="n">
        <v>43</v>
      </c>
      <c r="B45" s="28"/>
      <c r="C45" s="28"/>
      <c r="D45" s="28"/>
      <c r="E45" s="28"/>
      <c r="F45" s="28"/>
      <c r="G45" s="28"/>
      <c r="H45" s="28"/>
      <c r="I45" s="28"/>
      <c r="J45" s="26"/>
      <c r="K45" s="28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7" t="str">
        <f aca="false">IF(COUNTIF(L45:W45,"N")=0,"Pass",IF(COUNTIF(L45:W45,"N")&lt;=2,"Conditional","Fail"))</f>
        <v>Pass</v>
      </c>
      <c r="Y45" s="28"/>
      <c r="Z45" s="26"/>
      <c r="AA45" s="26"/>
      <c r="AB45" s="28"/>
    </row>
    <row r="46" customFormat="false" ht="30" hidden="false" customHeight="true" outlineLevel="0" collapsed="false">
      <c r="A46" s="32" t="n">
        <v>44</v>
      </c>
      <c r="B46" s="31"/>
      <c r="C46" s="31"/>
      <c r="D46" s="31"/>
      <c r="E46" s="31"/>
      <c r="F46" s="31"/>
      <c r="G46" s="31"/>
      <c r="H46" s="31"/>
      <c r="I46" s="31"/>
      <c r="J46" s="33"/>
      <c r="K46" s="31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4" t="str">
        <f aca="false">IF(COUNTIF(L46:W46,"N")=0,"Pass",IF(COUNTIF(L46:W46,"N")&lt;=2,"Conditional","Fail"))</f>
        <v>Pass</v>
      </c>
      <c r="Y46" s="31"/>
      <c r="Z46" s="33"/>
      <c r="AA46" s="33"/>
      <c r="AB46" s="31"/>
    </row>
    <row r="47" customFormat="false" ht="30" hidden="false" customHeight="true" outlineLevel="0" collapsed="false">
      <c r="A47" s="25" t="n">
        <v>45</v>
      </c>
      <c r="B47" s="28"/>
      <c r="C47" s="28"/>
      <c r="D47" s="28"/>
      <c r="E47" s="28"/>
      <c r="F47" s="28"/>
      <c r="G47" s="28"/>
      <c r="H47" s="28"/>
      <c r="I47" s="28"/>
      <c r="J47" s="26"/>
      <c r="K47" s="28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7" t="str">
        <f aca="false">IF(COUNTIF(L47:W47,"N")=0,"Pass",IF(COUNTIF(L47:W47,"N")&lt;=2,"Conditional","Fail"))</f>
        <v>Pass</v>
      </c>
      <c r="Y47" s="28"/>
      <c r="Z47" s="26"/>
      <c r="AA47" s="26"/>
      <c r="AB47" s="28"/>
    </row>
    <row r="48" customFormat="false" ht="30" hidden="false" customHeight="true" outlineLevel="0" collapsed="false">
      <c r="A48" s="32" t="n">
        <v>46</v>
      </c>
      <c r="B48" s="31"/>
      <c r="C48" s="31"/>
      <c r="D48" s="31"/>
      <c r="E48" s="31"/>
      <c r="F48" s="31"/>
      <c r="G48" s="31"/>
      <c r="H48" s="31"/>
      <c r="I48" s="31"/>
      <c r="J48" s="33"/>
      <c r="K48" s="31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4" t="str">
        <f aca="false">IF(COUNTIF(L48:W48,"N")=0,"Pass",IF(COUNTIF(L48:W48,"N")&lt;=2,"Conditional","Fail"))</f>
        <v>Pass</v>
      </c>
      <c r="Y48" s="31"/>
      <c r="Z48" s="33"/>
      <c r="AA48" s="33"/>
      <c r="AB48" s="31"/>
    </row>
    <row r="49" customFormat="false" ht="30" hidden="false" customHeight="true" outlineLevel="0" collapsed="false">
      <c r="A49" s="25" t="n">
        <v>47</v>
      </c>
      <c r="B49" s="28"/>
      <c r="C49" s="28"/>
      <c r="D49" s="28"/>
      <c r="E49" s="28"/>
      <c r="F49" s="28"/>
      <c r="G49" s="28"/>
      <c r="H49" s="28"/>
      <c r="I49" s="28"/>
      <c r="J49" s="26"/>
      <c r="K49" s="28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7" t="str">
        <f aca="false">IF(COUNTIF(L49:W49,"N")=0,"Pass",IF(COUNTIF(L49:W49,"N")&lt;=2,"Conditional","Fail"))</f>
        <v>Pass</v>
      </c>
      <c r="Y49" s="28"/>
      <c r="Z49" s="26"/>
      <c r="AA49" s="26"/>
      <c r="AB49" s="28"/>
    </row>
    <row r="50" customFormat="false" ht="30" hidden="false" customHeight="true" outlineLevel="0" collapsed="false">
      <c r="A50" s="32" t="n">
        <v>48</v>
      </c>
      <c r="B50" s="31"/>
      <c r="C50" s="31"/>
      <c r="D50" s="31"/>
      <c r="E50" s="31"/>
      <c r="F50" s="31"/>
      <c r="G50" s="31"/>
      <c r="H50" s="31"/>
      <c r="I50" s="31"/>
      <c r="J50" s="33"/>
      <c r="K50" s="31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4" t="str">
        <f aca="false">IF(COUNTIF(L50:W50,"N")=0,"Pass",IF(COUNTIF(L50:W50,"N")&lt;=2,"Conditional","Fail"))</f>
        <v>Pass</v>
      </c>
      <c r="Y50" s="31"/>
      <c r="Z50" s="33"/>
      <c r="AA50" s="33"/>
      <c r="AB50" s="31"/>
    </row>
    <row r="51" customFormat="false" ht="30" hidden="false" customHeight="true" outlineLevel="0" collapsed="false">
      <c r="A51" s="25" t="n">
        <v>49</v>
      </c>
      <c r="B51" s="28"/>
      <c r="C51" s="28"/>
      <c r="D51" s="28"/>
      <c r="E51" s="28"/>
      <c r="F51" s="28"/>
      <c r="G51" s="28"/>
      <c r="H51" s="28"/>
      <c r="I51" s="28"/>
      <c r="J51" s="26"/>
      <c r="K51" s="28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7" t="str">
        <f aca="false">IF(COUNTIF(L51:W51,"N")=0,"Pass",IF(COUNTIF(L51:W51,"N")&lt;=2,"Conditional","Fail"))</f>
        <v>Pass</v>
      </c>
      <c r="Y51" s="28"/>
      <c r="Z51" s="26"/>
      <c r="AA51" s="26"/>
      <c r="AB51" s="28"/>
    </row>
    <row r="52" customFormat="false" ht="30" hidden="false" customHeight="true" outlineLevel="0" collapsed="false">
      <c r="A52" s="32" t="n">
        <v>50</v>
      </c>
      <c r="B52" s="31"/>
      <c r="C52" s="31"/>
      <c r="D52" s="31"/>
      <c r="E52" s="31"/>
      <c r="F52" s="31"/>
      <c r="G52" s="31"/>
      <c r="H52" s="31"/>
      <c r="I52" s="31"/>
      <c r="J52" s="33"/>
      <c r="K52" s="31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4" t="str">
        <f aca="false">IF(COUNTIF(L52:W52,"N")=0,"Pass",IF(COUNTIF(L52:W52,"N")&lt;=2,"Conditional","Fail"))</f>
        <v>Pass</v>
      </c>
      <c r="Y52" s="31"/>
      <c r="Z52" s="33"/>
      <c r="AA52" s="33"/>
      <c r="AB52" s="31"/>
    </row>
  </sheetData>
  <mergeCells count="1">
    <mergeCell ref="A1:AA1"/>
  </mergeCells>
  <conditionalFormatting sqref="L3:W202">
    <cfRule type="expression" priority="2" aboveAverage="0" equalAverage="0" bottom="0" percent="0" rank="0" text="" dxfId="3">
      <formula>L3="N"</formula>
    </cfRule>
  </conditionalFormatting>
  <conditionalFormatting sqref="X3:X202">
    <cfRule type="expression" priority="3" aboveAverage="0" equalAverage="0" bottom="0" percent="0" rank="0" text="" dxfId="4">
      <formula>X3="Pass"</formula>
    </cfRule>
    <cfRule type="expression" priority="4" aboveAverage="0" equalAverage="0" bottom="0" percent="0" rank="0" text="" dxfId="5">
      <formula>X3="Conditional"</formula>
    </cfRule>
    <cfRule type="expression" priority="5" aboveAverage="0" equalAverage="0" bottom="0" percent="0" rank="0" text="" dxfId="6">
      <formula>X3="Fail"</formula>
    </cfRule>
  </conditionalFormatting>
  <conditionalFormatting sqref="Y3:Y202">
    <cfRule type="expression" priority="6" aboveAverage="0" equalAverage="0" bottom="0" percent="0" rank="0" text="" dxfId="7">
      <formula>AND(Y3&lt;&gt;"",AA3="")</formula>
    </cfRule>
  </conditionalFormatting>
  <dataValidations count="2">
    <dataValidation allowBlank="true" errorStyle="stop" operator="between" showDropDown="false" showErrorMessage="false" showInputMessage="false" sqref="L3:W202" type="list">
      <formula1>"Y,N,N/A"</formula1>
      <formula2>0</formula2>
    </dataValidation>
    <dataValidation allowBlank="true" errorStyle="stop" operator="between" showDropDown="false" showErrorMessage="false" showInputMessage="false" sqref="X3:X202" type="list">
      <formula1>"Pass,Conditional,Fail"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66"/>
    <pageSetUpPr fitToPage="false"/>
  </sheetPr>
  <dimension ref="A1:AB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3" activeCellId="0" sqref="D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24"/>
    <col collapsed="false" customWidth="true" hidden="false" outlineLevel="0" max="7" min="7" style="1" width="28"/>
    <col collapsed="false" customWidth="true" hidden="false" outlineLevel="0" max="8" min="8" style="1" width="20"/>
    <col collapsed="false" customWidth="true" hidden="false" outlineLevel="0" max="9" min="9" style="1" width="22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2" min="12" style="1" width="10"/>
    <col collapsed="false" customWidth="true" hidden="false" outlineLevel="0" max="13" min="13" style="1" width="1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2"/>
    <col collapsed="false" customWidth="true" hidden="false" outlineLevel="0" max="18" min="17" style="1" width="14"/>
    <col collapsed="false" customWidth="true" hidden="false" outlineLevel="0" max="19" min="19" style="1" width="13"/>
    <col collapsed="false" customWidth="true" hidden="false" outlineLevel="0" max="20" min="20" style="1" width="12"/>
    <col collapsed="false" customWidth="true" hidden="false" outlineLevel="0" max="21" min="21" style="1" width="16"/>
    <col collapsed="false" customWidth="true" hidden="false" outlineLevel="0" max="22" min="22" style="1" width="15"/>
    <col collapsed="false" customWidth="true" hidden="false" outlineLevel="0" max="23" min="23" style="1" width="17"/>
    <col collapsed="false" customWidth="true" hidden="false" outlineLevel="0" max="24" min="24" style="1" width="13"/>
    <col collapsed="false" customWidth="true" hidden="false" outlineLevel="0" max="25" min="25" style="1" width="30"/>
    <col collapsed="false" customWidth="true" hidden="false" outlineLevel="0" max="26" min="26" style="1" width="16"/>
    <col collapsed="false" customWidth="true" hidden="false" outlineLevel="0" max="27" min="27" style="1" width="14"/>
    <col collapsed="false" customWidth="true" hidden="false" outlineLevel="0" max="28" min="28" style="1" width="30"/>
  </cols>
  <sheetData>
    <row r="1" customFormat="false" ht="27.75" hidden="false" customHeight="true" outlineLevel="0" collapsed="false">
      <c r="A1" s="21" t="s">
        <v>77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customFormat="false" ht="39.75" hidden="false" customHeight="true" outlineLevel="0" collapsed="false">
      <c r="A2" s="22" t="s">
        <v>41</v>
      </c>
      <c r="B2" s="22" t="s">
        <v>42</v>
      </c>
      <c r="C2" s="22" t="s">
        <v>43</v>
      </c>
      <c r="D2" s="22" t="s">
        <v>44</v>
      </c>
      <c r="E2" s="22" t="s">
        <v>45</v>
      </c>
      <c r="F2" s="22" t="s">
        <v>46</v>
      </c>
      <c r="G2" s="22" t="s">
        <v>47</v>
      </c>
      <c r="H2" s="22" t="s">
        <v>48</v>
      </c>
      <c r="I2" s="22" t="s">
        <v>49</v>
      </c>
      <c r="J2" s="22" t="s">
        <v>50</v>
      </c>
      <c r="K2" s="22" t="s">
        <v>51</v>
      </c>
      <c r="L2" s="22" t="s">
        <v>52</v>
      </c>
      <c r="M2" s="22" t="s">
        <v>53</v>
      </c>
      <c r="N2" s="22" t="s">
        <v>54</v>
      </c>
      <c r="O2" s="22" t="s">
        <v>55</v>
      </c>
      <c r="P2" s="22" t="s">
        <v>56</v>
      </c>
      <c r="Q2" s="22" t="s">
        <v>57</v>
      </c>
      <c r="R2" s="22" t="s">
        <v>58</v>
      </c>
      <c r="S2" s="22" t="s">
        <v>59</v>
      </c>
      <c r="T2" s="22" t="s">
        <v>60</v>
      </c>
      <c r="U2" s="22" t="s">
        <v>61</v>
      </c>
      <c r="V2" s="22" t="s">
        <v>62</v>
      </c>
      <c r="W2" s="22" t="s">
        <v>63</v>
      </c>
      <c r="X2" s="22" t="s">
        <v>64</v>
      </c>
      <c r="Y2" s="22" t="s">
        <v>65</v>
      </c>
      <c r="Z2" s="22" t="s">
        <v>66</v>
      </c>
      <c r="AA2" s="22" t="s">
        <v>67</v>
      </c>
      <c r="AB2" s="22" t="s">
        <v>68</v>
      </c>
    </row>
    <row r="3" customFormat="false" ht="42" hidden="false" customHeight="true" outlineLevel="0" collapsed="false">
      <c r="A3" s="23" t="n">
        <v>1</v>
      </c>
      <c r="B3" s="24" t="s">
        <v>69</v>
      </c>
      <c r="C3" s="24" t="s">
        <v>70</v>
      </c>
      <c r="D3" s="24" t="s">
        <v>71</v>
      </c>
      <c r="E3" s="24" t="s">
        <v>72</v>
      </c>
      <c r="F3" s="24" t="s">
        <v>73</v>
      </c>
      <c r="G3" s="24" t="s">
        <v>74</v>
      </c>
      <c r="H3" s="25"/>
      <c r="I3" s="25"/>
      <c r="J3" s="26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7" t="str">
        <f aca="false">IF(COUNTIF(L3:W3,"N")=0,"Pass",IF(COUNTIF(L3:W3,"N")&lt;=2,"Conditional","Fail"))</f>
        <v>Pass</v>
      </c>
      <c r="Y3" s="28"/>
      <c r="Z3" s="29"/>
      <c r="AA3" s="29"/>
      <c r="AB3" s="28"/>
    </row>
    <row r="4" customFormat="false" ht="42" hidden="false" customHeight="true" outlineLevel="0" collapsed="false">
      <c r="A4" s="30" t="n">
        <v>2</v>
      </c>
      <c r="B4" s="31"/>
      <c r="C4" s="31"/>
      <c r="D4" s="31"/>
      <c r="E4" s="31"/>
      <c r="F4" s="31"/>
      <c r="G4" s="31"/>
      <c r="H4" s="32"/>
      <c r="I4" s="32"/>
      <c r="J4" s="33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4" t="str">
        <f aca="false">IF(COUNTIF(L4:W4,"N")=0,"Pass",IF(COUNTIF(L4:W4,"N")&lt;=2,"Conditional","Fail"))</f>
        <v>Pass</v>
      </c>
      <c r="Y4" s="31"/>
      <c r="Z4" s="35"/>
      <c r="AA4" s="35"/>
      <c r="AB4" s="31"/>
    </row>
    <row r="5" customFormat="false" ht="42" hidden="false" customHeight="true" outlineLevel="0" collapsed="false">
      <c r="A5" s="23" t="n">
        <v>3</v>
      </c>
      <c r="B5" s="28"/>
      <c r="C5" s="28"/>
      <c r="D5" s="28"/>
      <c r="E5" s="28"/>
      <c r="F5" s="28"/>
      <c r="G5" s="28"/>
      <c r="H5" s="25"/>
      <c r="I5" s="25"/>
      <c r="J5" s="26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7" t="str">
        <f aca="false">IF(COUNTIF(L5:W5,"N")=0,"Pass",IF(COUNTIF(L5:W5,"N")&lt;=2,"Conditional","Fail"))</f>
        <v>Pass</v>
      </c>
      <c r="Y5" s="28"/>
      <c r="Z5" s="29"/>
      <c r="AA5" s="29"/>
      <c r="AB5" s="28"/>
    </row>
    <row r="6" customFormat="false" ht="42" hidden="false" customHeight="true" outlineLevel="0" collapsed="false">
      <c r="A6" s="30" t="n">
        <v>4</v>
      </c>
      <c r="B6" s="31"/>
      <c r="C6" s="31"/>
      <c r="D6" s="31"/>
      <c r="E6" s="31"/>
      <c r="F6" s="31"/>
      <c r="G6" s="31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4" t="str">
        <f aca="false">IF(COUNTIF(L6:W6,"N")=0,"Pass",IF(COUNTIF(L6:W6,"N")&lt;=2,"Conditional","Fail"))</f>
        <v>Pass</v>
      </c>
      <c r="Y6" s="31"/>
      <c r="Z6" s="35"/>
      <c r="AA6" s="35"/>
      <c r="AB6" s="31"/>
    </row>
    <row r="7" customFormat="false" ht="42" hidden="false" customHeight="true" outlineLevel="0" collapsed="false">
      <c r="A7" s="23" t="n">
        <v>5</v>
      </c>
      <c r="B7" s="28"/>
      <c r="C7" s="28"/>
      <c r="D7" s="28"/>
      <c r="E7" s="28"/>
      <c r="F7" s="28"/>
      <c r="G7" s="28"/>
      <c r="H7" s="25"/>
      <c r="I7" s="25"/>
      <c r="J7" s="26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7" t="str">
        <f aca="false">IF(COUNTIF(L7:W7,"N")=0,"Pass",IF(COUNTIF(L7:W7,"N")&lt;=2,"Conditional","Fail"))</f>
        <v>Pass</v>
      </c>
      <c r="Y7" s="28"/>
      <c r="Z7" s="29"/>
      <c r="AA7" s="29"/>
      <c r="AB7" s="28"/>
    </row>
    <row r="8" customFormat="false" ht="42" hidden="false" customHeight="true" outlineLevel="0" collapsed="false">
      <c r="A8" s="30" t="n">
        <v>6</v>
      </c>
      <c r="B8" s="31"/>
      <c r="C8" s="31"/>
      <c r="D8" s="31"/>
      <c r="E8" s="31"/>
      <c r="F8" s="31"/>
      <c r="G8" s="31"/>
      <c r="H8" s="32"/>
      <c r="I8" s="32"/>
      <c r="J8" s="33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4" t="str">
        <f aca="false">IF(COUNTIF(L8:W8,"N")=0,"Pass",IF(COUNTIF(L8:W8,"N")&lt;=2,"Conditional","Fail"))</f>
        <v>Pass</v>
      </c>
      <c r="Y8" s="31"/>
      <c r="Z8" s="35"/>
      <c r="AA8" s="35"/>
      <c r="AB8" s="31"/>
    </row>
    <row r="9" customFormat="false" ht="42" hidden="false" customHeight="true" outlineLevel="0" collapsed="false">
      <c r="A9" s="23" t="n">
        <v>7</v>
      </c>
      <c r="B9" s="28"/>
      <c r="C9" s="28"/>
      <c r="D9" s="28"/>
      <c r="E9" s="28"/>
      <c r="F9" s="28"/>
      <c r="G9" s="28"/>
      <c r="H9" s="25"/>
      <c r="I9" s="25"/>
      <c r="J9" s="26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7" t="str">
        <f aca="false">IF(COUNTIF(L9:W9,"N")=0,"Pass",IF(COUNTIF(L9:W9,"N")&lt;=2,"Conditional","Fail"))</f>
        <v>Pass</v>
      </c>
      <c r="Y9" s="28"/>
      <c r="Z9" s="29"/>
      <c r="AA9" s="29"/>
      <c r="AB9" s="28"/>
    </row>
    <row r="10" customFormat="false" ht="42" hidden="false" customHeight="true" outlineLevel="0" collapsed="false">
      <c r="A10" s="30" t="n">
        <v>8</v>
      </c>
      <c r="B10" s="31"/>
      <c r="C10" s="31"/>
      <c r="D10" s="31"/>
      <c r="E10" s="31"/>
      <c r="F10" s="31"/>
      <c r="G10" s="31"/>
      <c r="H10" s="32"/>
      <c r="I10" s="32"/>
      <c r="J10" s="33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4" t="str">
        <f aca="false">IF(COUNTIF(L10:W10,"N")=0,"Pass",IF(COUNTIF(L10:W10,"N")&lt;=2,"Conditional","Fail"))</f>
        <v>Pass</v>
      </c>
      <c r="Y10" s="31"/>
      <c r="Z10" s="35"/>
      <c r="AA10" s="35"/>
      <c r="AB10" s="31"/>
    </row>
    <row r="11" customFormat="false" ht="42" hidden="false" customHeight="true" outlineLevel="0" collapsed="false">
      <c r="A11" s="23" t="n">
        <v>9</v>
      </c>
      <c r="B11" s="28"/>
      <c r="C11" s="28"/>
      <c r="D11" s="28"/>
      <c r="E11" s="28"/>
      <c r="F11" s="28"/>
      <c r="G11" s="28"/>
      <c r="H11" s="25"/>
      <c r="I11" s="25"/>
      <c r="J11" s="26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7" t="str">
        <f aca="false">IF(COUNTIF(L11:W11,"N")=0,"Pass",IF(COUNTIF(L11:W11,"N")&lt;=2,"Conditional","Fail"))</f>
        <v>Pass</v>
      </c>
      <c r="Y11" s="28"/>
      <c r="Z11" s="29"/>
      <c r="AA11" s="29"/>
      <c r="AB11" s="28"/>
    </row>
    <row r="12" customFormat="false" ht="42" hidden="false" customHeight="true" outlineLevel="0" collapsed="false">
      <c r="A12" s="30" t="n">
        <v>10</v>
      </c>
      <c r="B12" s="31"/>
      <c r="C12" s="31"/>
      <c r="D12" s="31"/>
      <c r="E12" s="31"/>
      <c r="F12" s="31"/>
      <c r="G12" s="31"/>
      <c r="H12" s="32"/>
      <c r="I12" s="32"/>
      <c r="J12" s="33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4" t="str">
        <f aca="false">IF(COUNTIF(L12:W12,"N")=0,"Pass",IF(COUNTIF(L12:W12,"N")&lt;=2,"Conditional","Fail"))</f>
        <v>Pass</v>
      </c>
      <c r="Y12" s="31"/>
      <c r="Z12" s="35"/>
      <c r="AA12" s="35"/>
      <c r="AB12" s="31"/>
    </row>
    <row r="13" customFormat="false" ht="30" hidden="false" customHeight="true" outlineLevel="0" collapsed="false">
      <c r="A13" s="25" t="n">
        <v>11</v>
      </c>
      <c r="B13" s="28"/>
      <c r="C13" s="28"/>
      <c r="D13" s="28"/>
      <c r="E13" s="28"/>
      <c r="F13" s="28"/>
      <c r="G13" s="28"/>
      <c r="H13" s="28"/>
      <c r="I13" s="28"/>
      <c r="J13" s="26"/>
      <c r="K13" s="28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7" t="str">
        <f aca="false">IF(COUNTIF(L13:W13,"N")=0,"Pass",IF(COUNTIF(L13:W13,"N")&lt;=2,"Conditional","Fail"))</f>
        <v>Pass</v>
      </c>
      <c r="Y13" s="28"/>
      <c r="Z13" s="26"/>
      <c r="AA13" s="26"/>
      <c r="AB13" s="28"/>
    </row>
    <row r="14" customFormat="false" ht="30" hidden="false" customHeight="true" outlineLevel="0" collapsed="false">
      <c r="A14" s="32" t="n">
        <v>12</v>
      </c>
      <c r="B14" s="31"/>
      <c r="C14" s="31"/>
      <c r="D14" s="31"/>
      <c r="E14" s="31"/>
      <c r="F14" s="31"/>
      <c r="G14" s="31"/>
      <c r="H14" s="31"/>
      <c r="I14" s="31"/>
      <c r="J14" s="33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4" t="str">
        <f aca="false">IF(COUNTIF(L14:W14,"N")=0,"Pass",IF(COUNTIF(L14:W14,"N")&lt;=2,"Conditional","Fail"))</f>
        <v>Pass</v>
      </c>
      <c r="Y14" s="31"/>
      <c r="Z14" s="33"/>
      <c r="AA14" s="33"/>
      <c r="AB14" s="31"/>
    </row>
    <row r="15" customFormat="false" ht="30" hidden="false" customHeight="true" outlineLevel="0" collapsed="false">
      <c r="A15" s="25" t="n">
        <v>13</v>
      </c>
      <c r="B15" s="28"/>
      <c r="C15" s="28"/>
      <c r="D15" s="28"/>
      <c r="E15" s="28"/>
      <c r="F15" s="28"/>
      <c r="G15" s="28"/>
      <c r="H15" s="28"/>
      <c r="I15" s="28"/>
      <c r="J15" s="26"/>
      <c r="K15" s="28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7" t="str">
        <f aca="false">IF(COUNTIF(L15:W15,"N")=0,"Pass",IF(COUNTIF(L15:W15,"N")&lt;=2,"Conditional","Fail"))</f>
        <v>Pass</v>
      </c>
      <c r="Y15" s="28"/>
      <c r="Z15" s="26"/>
      <c r="AA15" s="26"/>
      <c r="AB15" s="28"/>
    </row>
    <row r="16" customFormat="false" ht="30" hidden="false" customHeight="true" outlineLevel="0" collapsed="false">
      <c r="A16" s="32" t="n">
        <v>14</v>
      </c>
      <c r="B16" s="31"/>
      <c r="C16" s="31"/>
      <c r="D16" s="31"/>
      <c r="E16" s="31"/>
      <c r="F16" s="31"/>
      <c r="G16" s="31"/>
      <c r="H16" s="31"/>
      <c r="I16" s="31"/>
      <c r="J16" s="33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4" t="str">
        <f aca="false">IF(COUNTIF(L16:W16,"N")=0,"Pass",IF(COUNTIF(L16:W16,"N")&lt;=2,"Conditional","Fail"))</f>
        <v>Pass</v>
      </c>
      <c r="Y16" s="31"/>
      <c r="Z16" s="33"/>
      <c r="AA16" s="33"/>
      <c r="AB16" s="31"/>
    </row>
    <row r="17" customFormat="false" ht="30" hidden="false" customHeight="true" outlineLevel="0" collapsed="false">
      <c r="A17" s="25" t="n">
        <v>15</v>
      </c>
      <c r="B17" s="28"/>
      <c r="C17" s="28"/>
      <c r="D17" s="28"/>
      <c r="E17" s="28"/>
      <c r="F17" s="28"/>
      <c r="G17" s="28"/>
      <c r="H17" s="28"/>
      <c r="I17" s="28"/>
      <c r="J17" s="26"/>
      <c r="K17" s="28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7" t="str">
        <f aca="false">IF(COUNTIF(L17:W17,"N")=0,"Pass",IF(COUNTIF(L17:W17,"N")&lt;=2,"Conditional","Fail"))</f>
        <v>Pass</v>
      </c>
      <c r="Y17" s="28"/>
      <c r="Z17" s="26"/>
      <c r="AA17" s="26"/>
      <c r="AB17" s="28"/>
    </row>
    <row r="18" customFormat="false" ht="30" hidden="false" customHeight="true" outlineLevel="0" collapsed="false">
      <c r="A18" s="32" t="n">
        <v>16</v>
      </c>
      <c r="B18" s="31"/>
      <c r="C18" s="31"/>
      <c r="D18" s="31"/>
      <c r="E18" s="31"/>
      <c r="F18" s="31"/>
      <c r="G18" s="31"/>
      <c r="H18" s="31"/>
      <c r="I18" s="31"/>
      <c r="J18" s="33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4" t="str">
        <f aca="false">IF(COUNTIF(L18:W18,"N")=0,"Pass",IF(COUNTIF(L18:W18,"N")&lt;=2,"Conditional","Fail"))</f>
        <v>Pass</v>
      </c>
      <c r="Y18" s="31"/>
      <c r="Z18" s="33"/>
      <c r="AA18" s="33"/>
      <c r="AB18" s="31"/>
    </row>
    <row r="19" customFormat="false" ht="30" hidden="false" customHeight="true" outlineLevel="0" collapsed="false">
      <c r="A19" s="25" t="n">
        <v>17</v>
      </c>
      <c r="B19" s="28"/>
      <c r="C19" s="28"/>
      <c r="D19" s="28"/>
      <c r="E19" s="28"/>
      <c r="F19" s="28"/>
      <c r="G19" s="28"/>
      <c r="H19" s="28"/>
      <c r="I19" s="28"/>
      <c r="J19" s="26"/>
      <c r="K19" s="28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7" t="str">
        <f aca="false">IF(COUNTIF(L19:W19,"N")=0,"Pass",IF(COUNTIF(L19:W19,"N")&lt;=2,"Conditional","Fail"))</f>
        <v>Pass</v>
      </c>
      <c r="Y19" s="28"/>
      <c r="Z19" s="26"/>
      <c r="AA19" s="26"/>
      <c r="AB19" s="28"/>
    </row>
    <row r="20" customFormat="false" ht="30" hidden="false" customHeight="true" outlineLevel="0" collapsed="false">
      <c r="A20" s="32" t="n">
        <v>18</v>
      </c>
      <c r="B20" s="31"/>
      <c r="C20" s="31"/>
      <c r="D20" s="31"/>
      <c r="E20" s="31"/>
      <c r="F20" s="31"/>
      <c r="G20" s="31"/>
      <c r="H20" s="31"/>
      <c r="I20" s="31"/>
      <c r="J20" s="33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4" t="str">
        <f aca="false">IF(COUNTIF(L20:W20,"N")=0,"Pass",IF(COUNTIF(L20:W20,"N")&lt;=2,"Conditional","Fail"))</f>
        <v>Pass</v>
      </c>
      <c r="Y20" s="31"/>
      <c r="Z20" s="33"/>
      <c r="AA20" s="33"/>
      <c r="AB20" s="31"/>
    </row>
    <row r="21" customFormat="false" ht="30" hidden="false" customHeight="true" outlineLevel="0" collapsed="false">
      <c r="A21" s="25" t="n">
        <v>19</v>
      </c>
      <c r="B21" s="28"/>
      <c r="C21" s="28"/>
      <c r="D21" s="28"/>
      <c r="E21" s="28"/>
      <c r="F21" s="28"/>
      <c r="G21" s="28"/>
      <c r="H21" s="28"/>
      <c r="I21" s="28"/>
      <c r="J21" s="26"/>
      <c r="K21" s="28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7" t="str">
        <f aca="false">IF(COUNTIF(L21:W21,"N")=0,"Pass",IF(COUNTIF(L21:W21,"N")&lt;=2,"Conditional","Fail"))</f>
        <v>Pass</v>
      </c>
      <c r="Y21" s="28"/>
      <c r="Z21" s="26"/>
      <c r="AA21" s="26"/>
      <c r="AB21" s="28"/>
    </row>
    <row r="22" customFormat="false" ht="30" hidden="false" customHeight="true" outlineLevel="0" collapsed="false">
      <c r="A22" s="32" t="n">
        <v>20</v>
      </c>
      <c r="B22" s="31"/>
      <c r="C22" s="31"/>
      <c r="D22" s="31"/>
      <c r="E22" s="31"/>
      <c r="F22" s="31"/>
      <c r="G22" s="31"/>
      <c r="H22" s="31"/>
      <c r="I22" s="31"/>
      <c r="J22" s="33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4" t="str">
        <f aca="false">IF(COUNTIF(L22:W22,"N")=0,"Pass",IF(COUNTIF(L22:W22,"N")&lt;=2,"Conditional","Fail"))</f>
        <v>Pass</v>
      </c>
      <c r="Y22" s="31"/>
      <c r="Z22" s="33"/>
      <c r="AA22" s="33"/>
      <c r="AB22" s="31"/>
    </row>
    <row r="23" customFormat="false" ht="30" hidden="false" customHeight="true" outlineLevel="0" collapsed="false">
      <c r="A23" s="25" t="n">
        <v>21</v>
      </c>
      <c r="B23" s="28"/>
      <c r="C23" s="28"/>
      <c r="D23" s="28"/>
      <c r="E23" s="28"/>
      <c r="F23" s="28"/>
      <c r="G23" s="28"/>
      <c r="H23" s="28"/>
      <c r="I23" s="28"/>
      <c r="J23" s="26"/>
      <c r="K23" s="28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7" t="str">
        <f aca="false">IF(COUNTIF(L23:W23,"N")=0,"Pass",IF(COUNTIF(L23:W23,"N")&lt;=2,"Conditional","Fail"))</f>
        <v>Pass</v>
      </c>
      <c r="Y23" s="28"/>
      <c r="Z23" s="26"/>
      <c r="AA23" s="26"/>
      <c r="AB23" s="28"/>
    </row>
    <row r="24" customFormat="false" ht="30" hidden="false" customHeight="true" outlineLevel="0" collapsed="false">
      <c r="A24" s="32" t="n">
        <v>22</v>
      </c>
      <c r="B24" s="31"/>
      <c r="C24" s="31"/>
      <c r="D24" s="31"/>
      <c r="E24" s="31"/>
      <c r="F24" s="31"/>
      <c r="G24" s="31"/>
      <c r="H24" s="31"/>
      <c r="I24" s="31"/>
      <c r="J24" s="33"/>
      <c r="K24" s="31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4" t="str">
        <f aca="false">IF(COUNTIF(L24:W24,"N")=0,"Pass",IF(COUNTIF(L24:W24,"N")&lt;=2,"Conditional","Fail"))</f>
        <v>Pass</v>
      </c>
      <c r="Y24" s="31"/>
      <c r="Z24" s="33"/>
      <c r="AA24" s="33"/>
      <c r="AB24" s="31"/>
    </row>
    <row r="25" customFormat="false" ht="30" hidden="false" customHeight="true" outlineLevel="0" collapsed="false">
      <c r="A25" s="25" t="n">
        <v>23</v>
      </c>
      <c r="B25" s="28"/>
      <c r="C25" s="28"/>
      <c r="D25" s="28"/>
      <c r="E25" s="28"/>
      <c r="F25" s="28"/>
      <c r="G25" s="28"/>
      <c r="H25" s="28"/>
      <c r="I25" s="28"/>
      <c r="J25" s="26"/>
      <c r="K25" s="28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7" t="str">
        <f aca="false">IF(COUNTIF(L25:W25,"N")=0,"Pass",IF(COUNTIF(L25:W25,"N")&lt;=2,"Conditional","Fail"))</f>
        <v>Pass</v>
      </c>
      <c r="Y25" s="28"/>
      <c r="Z25" s="26"/>
      <c r="AA25" s="26"/>
      <c r="AB25" s="28"/>
    </row>
    <row r="26" customFormat="false" ht="30" hidden="false" customHeight="true" outlineLevel="0" collapsed="false">
      <c r="A26" s="32" t="n">
        <v>24</v>
      </c>
      <c r="B26" s="31"/>
      <c r="C26" s="31"/>
      <c r="D26" s="31"/>
      <c r="E26" s="31"/>
      <c r="F26" s="31"/>
      <c r="G26" s="31"/>
      <c r="H26" s="31"/>
      <c r="I26" s="31"/>
      <c r="J26" s="33"/>
      <c r="K26" s="31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4" t="str">
        <f aca="false">IF(COUNTIF(L26:W26,"N")=0,"Pass",IF(COUNTIF(L26:W26,"N")&lt;=2,"Conditional","Fail"))</f>
        <v>Pass</v>
      </c>
      <c r="Y26" s="31"/>
      <c r="Z26" s="33"/>
      <c r="AA26" s="33"/>
      <c r="AB26" s="31"/>
    </row>
    <row r="27" customFormat="false" ht="30" hidden="false" customHeight="true" outlineLevel="0" collapsed="false">
      <c r="A27" s="25" t="n">
        <v>25</v>
      </c>
      <c r="B27" s="28"/>
      <c r="C27" s="28"/>
      <c r="D27" s="28"/>
      <c r="E27" s="28"/>
      <c r="F27" s="28"/>
      <c r="G27" s="28"/>
      <c r="H27" s="28"/>
      <c r="I27" s="28"/>
      <c r="J27" s="26"/>
      <c r="K27" s="28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7" t="str">
        <f aca="false">IF(COUNTIF(L27:W27,"N")=0,"Pass",IF(COUNTIF(L27:W27,"N")&lt;=2,"Conditional","Fail"))</f>
        <v>Pass</v>
      </c>
      <c r="Y27" s="28"/>
      <c r="Z27" s="26"/>
      <c r="AA27" s="26"/>
      <c r="AB27" s="28"/>
    </row>
    <row r="28" customFormat="false" ht="30" hidden="false" customHeight="true" outlineLevel="0" collapsed="false">
      <c r="A28" s="32" t="n">
        <v>26</v>
      </c>
      <c r="B28" s="31"/>
      <c r="C28" s="31"/>
      <c r="D28" s="31"/>
      <c r="E28" s="31"/>
      <c r="F28" s="31"/>
      <c r="G28" s="31"/>
      <c r="H28" s="31"/>
      <c r="I28" s="31"/>
      <c r="J28" s="33"/>
      <c r="K28" s="31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4" t="str">
        <f aca="false">IF(COUNTIF(L28:W28,"N")=0,"Pass",IF(COUNTIF(L28:W28,"N")&lt;=2,"Conditional","Fail"))</f>
        <v>Pass</v>
      </c>
      <c r="Y28" s="31"/>
      <c r="Z28" s="33"/>
      <c r="AA28" s="33"/>
      <c r="AB28" s="31"/>
    </row>
    <row r="29" customFormat="false" ht="30" hidden="false" customHeight="true" outlineLevel="0" collapsed="false">
      <c r="A29" s="25" t="n">
        <v>27</v>
      </c>
      <c r="B29" s="28"/>
      <c r="C29" s="28"/>
      <c r="D29" s="28"/>
      <c r="E29" s="28"/>
      <c r="F29" s="28"/>
      <c r="G29" s="28"/>
      <c r="H29" s="28"/>
      <c r="I29" s="28"/>
      <c r="J29" s="26"/>
      <c r="K29" s="28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7" t="str">
        <f aca="false">IF(COUNTIF(L29:W29,"N")=0,"Pass",IF(COUNTIF(L29:W29,"N")&lt;=2,"Conditional","Fail"))</f>
        <v>Pass</v>
      </c>
      <c r="Y29" s="28"/>
      <c r="Z29" s="26"/>
      <c r="AA29" s="26"/>
      <c r="AB29" s="28"/>
    </row>
    <row r="30" customFormat="false" ht="30" hidden="false" customHeight="true" outlineLevel="0" collapsed="false">
      <c r="A30" s="32" t="n">
        <v>28</v>
      </c>
      <c r="B30" s="31"/>
      <c r="C30" s="31"/>
      <c r="D30" s="31"/>
      <c r="E30" s="31"/>
      <c r="F30" s="31"/>
      <c r="G30" s="31"/>
      <c r="H30" s="31"/>
      <c r="I30" s="31"/>
      <c r="J30" s="33"/>
      <c r="K30" s="31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4" t="str">
        <f aca="false">IF(COUNTIF(L30:W30,"N")=0,"Pass",IF(COUNTIF(L30:W30,"N")&lt;=2,"Conditional","Fail"))</f>
        <v>Pass</v>
      </c>
      <c r="Y30" s="31"/>
      <c r="Z30" s="33"/>
      <c r="AA30" s="33"/>
      <c r="AB30" s="31"/>
    </row>
    <row r="31" customFormat="false" ht="30" hidden="false" customHeight="true" outlineLevel="0" collapsed="false">
      <c r="A31" s="25" t="n">
        <v>29</v>
      </c>
      <c r="B31" s="28"/>
      <c r="C31" s="28"/>
      <c r="D31" s="28"/>
      <c r="E31" s="28"/>
      <c r="F31" s="28"/>
      <c r="G31" s="28"/>
      <c r="H31" s="28"/>
      <c r="I31" s="28"/>
      <c r="J31" s="26"/>
      <c r="K31" s="28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7" t="str">
        <f aca="false">IF(COUNTIF(L31:W31,"N")=0,"Pass",IF(COUNTIF(L31:W31,"N")&lt;=2,"Conditional","Fail"))</f>
        <v>Pass</v>
      </c>
      <c r="Y31" s="28"/>
      <c r="Z31" s="26"/>
      <c r="AA31" s="26"/>
      <c r="AB31" s="28"/>
    </row>
    <row r="32" customFormat="false" ht="30" hidden="false" customHeight="true" outlineLevel="0" collapsed="false">
      <c r="A32" s="32" t="n">
        <v>30</v>
      </c>
      <c r="B32" s="31"/>
      <c r="C32" s="31"/>
      <c r="D32" s="31"/>
      <c r="E32" s="31"/>
      <c r="F32" s="31"/>
      <c r="G32" s="31"/>
      <c r="H32" s="31"/>
      <c r="I32" s="31"/>
      <c r="J32" s="33"/>
      <c r="K32" s="31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4" t="str">
        <f aca="false">IF(COUNTIF(L32:W32,"N")=0,"Pass",IF(COUNTIF(L32:W32,"N")&lt;=2,"Conditional","Fail"))</f>
        <v>Pass</v>
      </c>
      <c r="Y32" s="31"/>
      <c r="Z32" s="33"/>
      <c r="AA32" s="33"/>
      <c r="AB32" s="31"/>
    </row>
    <row r="33" customFormat="false" ht="30" hidden="false" customHeight="true" outlineLevel="0" collapsed="false">
      <c r="A33" s="25" t="n">
        <v>31</v>
      </c>
      <c r="B33" s="28"/>
      <c r="C33" s="28"/>
      <c r="D33" s="28"/>
      <c r="E33" s="28"/>
      <c r="F33" s="28"/>
      <c r="G33" s="28"/>
      <c r="H33" s="28"/>
      <c r="I33" s="28"/>
      <c r="J33" s="26"/>
      <c r="K33" s="28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7" t="str">
        <f aca="false">IF(COUNTIF(L33:W33,"N")=0,"Pass",IF(COUNTIF(L33:W33,"N")&lt;=2,"Conditional","Fail"))</f>
        <v>Pass</v>
      </c>
      <c r="Y33" s="28"/>
      <c r="Z33" s="26"/>
      <c r="AA33" s="26"/>
      <c r="AB33" s="28"/>
    </row>
    <row r="34" customFormat="false" ht="30" hidden="false" customHeight="true" outlineLevel="0" collapsed="false">
      <c r="A34" s="32" t="n">
        <v>32</v>
      </c>
      <c r="B34" s="31"/>
      <c r="C34" s="31"/>
      <c r="D34" s="31"/>
      <c r="E34" s="31"/>
      <c r="F34" s="31"/>
      <c r="G34" s="31"/>
      <c r="H34" s="31"/>
      <c r="I34" s="31"/>
      <c r="J34" s="33"/>
      <c r="K34" s="31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4" t="str">
        <f aca="false">IF(COUNTIF(L34:W34,"N")=0,"Pass",IF(COUNTIF(L34:W34,"N")&lt;=2,"Conditional","Fail"))</f>
        <v>Pass</v>
      </c>
      <c r="Y34" s="31"/>
      <c r="Z34" s="33"/>
      <c r="AA34" s="33"/>
      <c r="AB34" s="31"/>
    </row>
    <row r="35" customFormat="false" ht="30" hidden="false" customHeight="true" outlineLevel="0" collapsed="false">
      <c r="A35" s="25" t="n">
        <v>33</v>
      </c>
      <c r="B35" s="28"/>
      <c r="C35" s="28"/>
      <c r="D35" s="28"/>
      <c r="E35" s="28"/>
      <c r="F35" s="28"/>
      <c r="G35" s="28"/>
      <c r="H35" s="28"/>
      <c r="I35" s="28"/>
      <c r="J35" s="26"/>
      <c r="K35" s="28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7" t="str">
        <f aca="false">IF(COUNTIF(L35:W35,"N")=0,"Pass",IF(COUNTIF(L35:W35,"N")&lt;=2,"Conditional","Fail"))</f>
        <v>Pass</v>
      </c>
      <c r="Y35" s="28"/>
      <c r="Z35" s="26"/>
      <c r="AA35" s="26"/>
      <c r="AB35" s="28"/>
    </row>
    <row r="36" customFormat="false" ht="30" hidden="false" customHeight="true" outlineLevel="0" collapsed="false">
      <c r="A36" s="32" t="n">
        <v>34</v>
      </c>
      <c r="B36" s="31"/>
      <c r="C36" s="31"/>
      <c r="D36" s="31"/>
      <c r="E36" s="31"/>
      <c r="F36" s="31"/>
      <c r="G36" s="31"/>
      <c r="H36" s="31"/>
      <c r="I36" s="31"/>
      <c r="J36" s="33"/>
      <c r="K36" s="31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4" t="str">
        <f aca="false">IF(COUNTIF(L36:W36,"N")=0,"Pass",IF(COUNTIF(L36:W36,"N")&lt;=2,"Conditional","Fail"))</f>
        <v>Pass</v>
      </c>
      <c r="Y36" s="31"/>
      <c r="Z36" s="33"/>
      <c r="AA36" s="33"/>
      <c r="AB36" s="31"/>
    </row>
    <row r="37" customFormat="false" ht="30" hidden="false" customHeight="true" outlineLevel="0" collapsed="false">
      <c r="A37" s="25" t="n">
        <v>35</v>
      </c>
      <c r="B37" s="28"/>
      <c r="C37" s="28"/>
      <c r="D37" s="28"/>
      <c r="E37" s="28"/>
      <c r="F37" s="28"/>
      <c r="G37" s="28"/>
      <c r="H37" s="28"/>
      <c r="I37" s="28"/>
      <c r="J37" s="26"/>
      <c r="K37" s="28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7" t="str">
        <f aca="false">IF(COUNTIF(L37:W37,"N")=0,"Pass",IF(COUNTIF(L37:W37,"N")&lt;=2,"Conditional","Fail"))</f>
        <v>Pass</v>
      </c>
      <c r="Y37" s="28"/>
      <c r="Z37" s="26"/>
      <c r="AA37" s="26"/>
      <c r="AB37" s="28"/>
    </row>
    <row r="38" customFormat="false" ht="30" hidden="false" customHeight="true" outlineLevel="0" collapsed="false">
      <c r="A38" s="32" t="n">
        <v>36</v>
      </c>
      <c r="B38" s="31"/>
      <c r="C38" s="31"/>
      <c r="D38" s="31"/>
      <c r="E38" s="31"/>
      <c r="F38" s="31"/>
      <c r="G38" s="31"/>
      <c r="H38" s="31"/>
      <c r="I38" s="31"/>
      <c r="J38" s="33"/>
      <c r="K38" s="31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4" t="str">
        <f aca="false">IF(COUNTIF(L38:W38,"N")=0,"Pass",IF(COUNTIF(L38:W38,"N")&lt;=2,"Conditional","Fail"))</f>
        <v>Pass</v>
      </c>
      <c r="Y38" s="31"/>
      <c r="Z38" s="33"/>
      <c r="AA38" s="33"/>
      <c r="AB38" s="31"/>
    </row>
    <row r="39" customFormat="false" ht="30" hidden="false" customHeight="true" outlineLevel="0" collapsed="false">
      <c r="A39" s="25" t="n">
        <v>37</v>
      </c>
      <c r="B39" s="28"/>
      <c r="C39" s="28"/>
      <c r="D39" s="28"/>
      <c r="E39" s="28"/>
      <c r="F39" s="28"/>
      <c r="G39" s="28"/>
      <c r="H39" s="28"/>
      <c r="I39" s="28"/>
      <c r="J39" s="26"/>
      <c r="K39" s="28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7" t="str">
        <f aca="false">IF(COUNTIF(L39:W39,"N")=0,"Pass",IF(COUNTIF(L39:W39,"N")&lt;=2,"Conditional","Fail"))</f>
        <v>Pass</v>
      </c>
      <c r="Y39" s="28"/>
      <c r="Z39" s="26"/>
      <c r="AA39" s="26"/>
      <c r="AB39" s="28"/>
    </row>
    <row r="40" customFormat="false" ht="30" hidden="false" customHeight="true" outlineLevel="0" collapsed="false">
      <c r="A40" s="32" t="n">
        <v>38</v>
      </c>
      <c r="B40" s="31"/>
      <c r="C40" s="31"/>
      <c r="D40" s="31"/>
      <c r="E40" s="31"/>
      <c r="F40" s="31"/>
      <c r="G40" s="31"/>
      <c r="H40" s="31"/>
      <c r="I40" s="31"/>
      <c r="J40" s="33"/>
      <c r="K40" s="31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4" t="str">
        <f aca="false">IF(COUNTIF(L40:W40,"N")=0,"Pass",IF(COUNTIF(L40:W40,"N")&lt;=2,"Conditional","Fail"))</f>
        <v>Pass</v>
      </c>
      <c r="Y40" s="31"/>
      <c r="Z40" s="33"/>
      <c r="AA40" s="33"/>
      <c r="AB40" s="31"/>
    </row>
    <row r="41" customFormat="false" ht="30" hidden="false" customHeight="true" outlineLevel="0" collapsed="false">
      <c r="A41" s="25" t="n">
        <v>39</v>
      </c>
      <c r="B41" s="28"/>
      <c r="C41" s="28"/>
      <c r="D41" s="28"/>
      <c r="E41" s="28"/>
      <c r="F41" s="28"/>
      <c r="G41" s="28"/>
      <c r="H41" s="28"/>
      <c r="I41" s="28"/>
      <c r="J41" s="26"/>
      <c r="K41" s="28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7" t="str">
        <f aca="false">IF(COUNTIF(L41:W41,"N")=0,"Pass",IF(COUNTIF(L41:W41,"N")&lt;=2,"Conditional","Fail"))</f>
        <v>Pass</v>
      </c>
      <c r="Y41" s="28"/>
      <c r="Z41" s="26"/>
      <c r="AA41" s="26"/>
      <c r="AB41" s="28"/>
    </row>
    <row r="42" customFormat="false" ht="30" hidden="false" customHeight="true" outlineLevel="0" collapsed="false">
      <c r="A42" s="32" t="n">
        <v>40</v>
      </c>
      <c r="B42" s="31"/>
      <c r="C42" s="31"/>
      <c r="D42" s="31"/>
      <c r="E42" s="31"/>
      <c r="F42" s="31"/>
      <c r="G42" s="31"/>
      <c r="H42" s="31"/>
      <c r="I42" s="31"/>
      <c r="J42" s="33"/>
      <c r="K42" s="31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4" t="str">
        <f aca="false">IF(COUNTIF(L42:W42,"N")=0,"Pass",IF(COUNTIF(L42:W42,"N")&lt;=2,"Conditional","Fail"))</f>
        <v>Pass</v>
      </c>
      <c r="Y42" s="31"/>
      <c r="Z42" s="33"/>
      <c r="AA42" s="33"/>
      <c r="AB42" s="31"/>
    </row>
    <row r="43" customFormat="false" ht="30" hidden="false" customHeight="true" outlineLevel="0" collapsed="false">
      <c r="A43" s="25" t="n">
        <v>41</v>
      </c>
      <c r="B43" s="28"/>
      <c r="C43" s="28"/>
      <c r="D43" s="28"/>
      <c r="E43" s="28"/>
      <c r="F43" s="28"/>
      <c r="G43" s="28"/>
      <c r="H43" s="28"/>
      <c r="I43" s="28"/>
      <c r="J43" s="26"/>
      <c r="K43" s="28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7" t="str">
        <f aca="false">IF(COUNTIF(L43:W43,"N")=0,"Pass",IF(COUNTIF(L43:W43,"N")&lt;=2,"Conditional","Fail"))</f>
        <v>Pass</v>
      </c>
      <c r="Y43" s="28"/>
      <c r="Z43" s="26"/>
      <c r="AA43" s="26"/>
      <c r="AB43" s="28"/>
    </row>
    <row r="44" customFormat="false" ht="30" hidden="false" customHeight="true" outlineLevel="0" collapsed="false">
      <c r="A44" s="32" t="n">
        <v>42</v>
      </c>
      <c r="B44" s="31"/>
      <c r="C44" s="31"/>
      <c r="D44" s="31"/>
      <c r="E44" s="31"/>
      <c r="F44" s="31"/>
      <c r="G44" s="31"/>
      <c r="H44" s="31"/>
      <c r="I44" s="31"/>
      <c r="J44" s="33"/>
      <c r="K44" s="31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4" t="str">
        <f aca="false">IF(COUNTIF(L44:W44,"N")=0,"Pass",IF(COUNTIF(L44:W44,"N")&lt;=2,"Conditional","Fail"))</f>
        <v>Pass</v>
      </c>
      <c r="Y44" s="31"/>
      <c r="Z44" s="33"/>
      <c r="AA44" s="33"/>
      <c r="AB44" s="31"/>
    </row>
    <row r="45" customFormat="false" ht="30" hidden="false" customHeight="true" outlineLevel="0" collapsed="false">
      <c r="A45" s="25" t="n">
        <v>43</v>
      </c>
      <c r="B45" s="28"/>
      <c r="C45" s="28"/>
      <c r="D45" s="28"/>
      <c r="E45" s="28"/>
      <c r="F45" s="28"/>
      <c r="G45" s="28"/>
      <c r="H45" s="28"/>
      <c r="I45" s="28"/>
      <c r="J45" s="26"/>
      <c r="K45" s="28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7" t="str">
        <f aca="false">IF(COUNTIF(L45:W45,"N")=0,"Pass",IF(COUNTIF(L45:W45,"N")&lt;=2,"Conditional","Fail"))</f>
        <v>Pass</v>
      </c>
      <c r="Y45" s="28"/>
      <c r="Z45" s="26"/>
      <c r="AA45" s="26"/>
      <c r="AB45" s="28"/>
    </row>
    <row r="46" customFormat="false" ht="30" hidden="false" customHeight="true" outlineLevel="0" collapsed="false">
      <c r="A46" s="32" t="n">
        <v>44</v>
      </c>
      <c r="B46" s="31"/>
      <c r="C46" s="31"/>
      <c r="D46" s="31"/>
      <c r="E46" s="31"/>
      <c r="F46" s="31"/>
      <c r="G46" s="31"/>
      <c r="H46" s="31"/>
      <c r="I46" s="31"/>
      <c r="J46" s="33"/>
      <c r="K46" s="31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4" t="str">
        <f aca="false">IF(COUNTIF(L46:W46,"N")=0,"Pass",IF(COUNTIF(L46:W46,"N")&lt;=2,"Conditional","Fail"))</f>
        <v>Pass</v>
      </c>
      <c r="Y46" s="31"/>
      <c r="Z46" s="33"/>
      <c r="AA46" s="33"/>
      <c r="AB46" s="31"/>
    </row>
    <row r="47" customFormat="false" ht="30" hidden="false" customHeight="true" outlineLevel="0" collapsed="false">
      <c r="A47" s="25" t="n">
        <v>45</v>
      </c>
      <c r="B47" s="28"/>
      <c r="C47" s="28"/>
      <c r="D47" s="28"/>
      <c r="E47" s="28"/>
      <c r="F47" s="28"/>
      <c r="G47" s="28"/>
      <c r="H47" s="28"/>
      <c r="I47" s="28"/>
      <c r="J47" s="26"/>
      <c r="K47" s="28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7" t="str">
        <f aca="false">IF(COUNTIF(L47:W47,"N")=0,"Pass",IF(COUNTIF(L47:W47,"N")&lt;=2,"Conditional","Fail"))</f>
        <v>Pass</v>
      </c>
      <c r="Y47" s="28"/>
      <c r="Z47" s="26"/>
      <c r="AA47" s="26"/>
      <c r="AB47" s="28"/>
    </row>
    <row r="48" customFormat="false" ht="30" hidden="false" customHeight="true" outlineLevel="0" collapsed="false">
      <c r="A48" s="32" t="n">
        <v>46</v>
      </c>
      <c r="B48" s="31"/>
      <c r="C48" s="31"/>
      <c r="D48" s="31"/>
      <c r="E48" s="31"/>
      <c r="F48" s="31"/>
      <c r="G48" s="31"/>
      <c r="H48" s="31"/>
      <c r="I48" s="31"/>
      <c r="J48" s="33"/>
      <c r="K48" s="31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4" t="str">
        <f aca="false">IF(COUNTIF(L48:W48,"N")=0,"Pass",IF(COUNTIF(L48:W48,"N")&lt;=2,"Conditional","Fail"))</f>
        <v>Pass</v>
      </c>
      <c r="Y48" s="31"/>
      <c r="Z48" s="33"/>
      <c r="AA48" s="33"/>
      <c r="AB48" s="31"/>
    </row>
    <row r="49" customFormat="false" ht="30" hidden="false" customHeight="true" outlineLevel="0" collapsed="false">
      <c r="A49" s="25" t="n">
        <v>47</v>
      </c>
      <c r="B49" s="28"/>
      <c r="C49" s="28"/>
      <c r="D49" s="28"/>
      <c r="E49" s="28"/>
      <c r="F49" s="28"/>
      <c r="G49" s="28"/>
      <c r="H49" s="28"/>
      <c r="I49" s="28"/>
      <c r="J49" s="26"/>
      <c r="K49" s="28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7" t="str">
        <f aca="false">IF(COUNTIF(L49:W49,"N")=0,"Pass",IF(COUNTIF(L49:W49,"N")&lt;=2,"Conditional","Fail"))</f>
        <v>Pass</v>
      </c>
      <c r="Y49" s="28"/>
      <c r="Z49" s="26"/>
      <c r="AA49" s="26"/>
      <c r="AB49" s="28"/>
    </row>
    <row r="50" customFormat="false" ht="30" hidden="false" customHeight="true" outlineLevel="0" collapsed="false">
      <c r="A50" s="32" t="n">
        <v>48</v>
      </c>
      <c r="B50" s="31"/>
      <c r="C50" s="31"/>
      <c r="D50" s="31"/>
      <c r="E50" s="31"/>
      <c r="F50" s="31"/>
      <c r="G50" s="31"/>
      <c r="H50" s="31"/>
      <c r="I50" s="31"/>
      <c r="J50" s="33"/>
      <c r="K50" s="31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4" t="str">
        <f aca="false">IF(COUNTIF(L50:W50,"N")=0,"Pass",IF(COUNTIF(L50:W50,"N")&lt;=2,"Conditional","Fail"))</f>
        <v>Pass</v>
      </c>
      <c r="Y50" s="31"/>
      <c r="Z50" s="33"/>
      <c r="AA50" s="33"/>
      <c r="AB50" s="31"/>
    </row>
    <row r="51" customFormat="false" ht="30" hidden="false" customHeight="true" outlineLevel="0" collapsed="false">
      <c r="A51" s="25" t="n">
        <v>49</v>
      </c>
      <c r="B51" s="28"/>
      <c r="C51" s="28"/>
      <c r="D51" s="28"/>
      <c r="E51" s="28"/>
      <c r="F51" s="28"/>
      <c r="G51" s="28"/>
      <c r="H51" s="28"/>
      <c r="I51" s="28"/>
      <c r="J51" s="26"/>
      <c r="K51" s="28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7" t="str">
        <f aca="false">IF(COUNTIF(L51:W51,"N")=0,"Pass",IF(COUNTIF(L51:W51,"N")&lt;=2,"Conditional","Fail"))</f>
        <v>Pass</v>
      </c>
      <c r="Y51" s="28"/>
      <c r="Z51" s="26"/>
      <c r="AA51" s="26"/>
      <c r="AB51" s="28"/>
    </row>
    <row r="52" customFormat="false" ht="30" hidden="false" customHeight="true" outlineLevel="0" collapsed="false">
      <c r="A52" s="32" t="n">
        <v>50</v>
      </c>
      <c r="B52" s="31"/>
      <c r="C52" s="31"/>
      <c r="D52" s="31"/>
      <c r="E52" s="31"/>
      <c r="F52" s="31"/>
      <c r="G52" s="31"/>
      <c r="H52" s="31"/>
      <c r="I52" s="31"/>
      <c r="J52" s="33"/>
      <c r="K52" s="31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4" t="str">
        <f aca="false">IF(COUNTIF(L52:W52,"N")=0,"Pass",IF(COUNTIF(L52:W52,"N")&lt;=2,"Conditional","Fail"))</f>
        <v>Pass</v>
      </c>
      <c r="Y52" s="31"/>
      <c r="Z52" s="33"/>
      <c r="AA52" s="33"/>
      <c r="AB52" s="31"/>
    </row>
  </sheetData>
  <mergeCells count="1">
    <mergeCell ref="A1:AA1"/>
  </mergeCells>
  <conditionalFormatting sqref="L3:W202">
    <cfRule type="expression" priority="2" aboveAverage="0" equalAverage="0" bottom="0" percent="0" rank="0" text="" dxfId="3">
      <formula>L3="N"</formula>
    </cfRule>
  </conditionalFormatting>
  <conditionalFormatting sqref="X3:X202">
    <cfRule type="expression" priority="3" aboveAverage="0" equalAverage="0" bottom="0" percent="0" rank="0" text="" dxfId="4">
      <formula>X3="Pass"</formula>
    </cfRule>
    <cfRule type="expression" priority="4" aboveAverage="0" equalAverage="0" bottom="0" percent="0" rank="0" text="" dxfId="5">
      <formula>X3="Conditional"</formula>
    </cfRule>
    <cfRule type="expression" priority="5" aboveAverage="0" equalAverage="0" bottom="0" percent="0" rank="0" text="" dxfId="6">
      <formula>X3="Fail"</formula>
    </cfRule>
  </conditionalFormatting>
  <conditionalFormatting sqref="Y3:Y202">
    <cfRule type="expression" priority="6" aboveAverage="0" equalAverage="0" bottom="0" percent="0" rank="0" text="" dxfId="7">
      <formula>AND(Y3&lt;&gt;"",AA3="")</formula>
    </cfRule>
  </conditionalFormatting>
  <dataValidations count="2">
    <dataValidation allowBlank="true" errorStyle="stop" operator="between" showDropDown="false" showErrorMessage="false" showInputMessage="false" sqref="L3:W202" type="list">
      <formula1>"Y,N,N/A"</formula1>
      <formula2>0</formula2>
    </dataValidation>
    <dataValidation allowBlank="true" errorStyle="stop" operator="between" showDropDown="false" showErrorMessage="false" showInputMessage="false" sqref="X3:X202" type="list">
      <formula1>"Pass,Conditional,Fail"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F00"/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3" min="3" style="1" width="44"/>
    <col collapsed="false" customWidth="true" hidden="false" outlineLevel="0" max="4" min="4" style="1" width="50"/>
    <col collapsed="false" customWidth="true" hidden="false" outlineLevel="0" max="5" min="5" style="1" width="22"/>
    <col collapsed="false" customWidth="true" hidden="false" outlineLevel="0" max="6" min="6" style="1" width="45"/>
  </cols>
  <sheetData>
    <row r="1" customFormat="false" ht="27.75" hidden="false" customHeight="true" outlineLevel="0" collapsed="false">
      <c r="A1" s="21" t="s">
        <v>78</v>
      </c>
      <c r="B1" s="21"/>
      <c r="C1" s="21"/>
      <c r="D1" s="21"/>
      <c r="E1" s="21"/>
      <c r="F1" s="21"/>
    </row>
    <row r="2" customFormat="false" ht="13.5" hidden="false" customHeight="true" outlineLevel="0" collapsed="false">
      <c r="A2" s="36" t="s">
        <v>79</v>
      </c>
      <c r="B2" s="36"/>
      <c r="C2" s="36"/>
      <c r="D2" s="36"/>
      <c r="E2" s="36"/>
      <c r="F2" s="36"/>
    </row>
    <row r="3" customFormat="false" ht="36" hidden="false" customHeight="true" outlineLevel="0" collapsed="false">
      <c r="A3" s="16" t="s">
        <v>80</v>
      </c>
      <c r="B3" s="16" t="s">
        <v>81</v>
      </c>
      <c r="C3" s="16" t="s">
        <v>82</v>
      </c>
      <c r="D3" s="16" t="s">
        <v>83</v>
      </c>
      <c r="E3" s="16" t="s">
        <v>84</v>
      </c>
      <c r="F3" s="16" t="s">
        <v>85</v>
      </c>
    </row>
    <row r="4" customFormat="false" ht="45" hidden="false" customHeight="true" outlineLevel="0" collapsed="false">
      <c r="A4" s="23" t="s">
        <v>86</v>
      </c>
      <c r="B4" s="28" t="s">
        <v>87</v>
      </c>
      <c r="C4" s="28" t="s">
        <v>88</v>
      </c>
      <c r="D4" s="28" t="s">
        <v>89</v>
      </c>
      <c r="E4" s="28" t="s">
        <v>90</v>
      </c>
      <c r="F4" s="28" t="s">
        <v>91</v>
      </c>
    </row>
    <row r="5" customFormat="false" ht="45" hidden="false" customHeight="true" outlineLevel="0" collapsed="false">
      <c r="A5" s="30" t="s">
        <v>86</v>
      </c>
      <c r="B5" s="31" t="s">
        <v>92</v>
      </c>
      <c r="C5" s="31" t="s">
        <v>93</v>
      </c>
      <c r="D5" s="31" t="s">
        <v>94</v>
      </c>
      <c r="E5" s="31" t="s">
        <v>95</v>
      </c>
      <c r="F5" s="31" t="s">
        <v>96</v>
      </c>
    </row>
    <row r="6" customFormat="false" ht="45" hidden="false" customHeight="true" outlineLevel="0" collapsed="false">
      <c r="A6" s="23" t="s">
        <v>86</v>
      </c>
      <c r="B6" s="28" t="s">
        <v>97</v>
      </c>
      <c r="C6" s="28" t="s">
        <v>98</v>
      </c>
      <c r="D6" s="28" t="s">
        <v>99</v>
      </c>
      <c r="E6" s="28" t="s">
        <v>100</v>
      </c>
      <c r="F6" s="28" t="s">
        <v>101</v>
      </c>
    </row>
    <row r="7" customFormat="false" ht="45" hidden="false" customHeight="true" outlineLevel="0" collapsed="false">
      <c r="A7" s="30" t="s">
        <v>86</v>
      </c>
      <c r="B7" s="31" t="s">
        <v>102</v>
      </c>
      <c r="C7" s="31" t="s">
        <v>103</v>
      </c>
      <c r="D7" s="31" t="s">
        <v>104</v>
      </c>
      <c r="E7" s="31" t="s">
        <v>105</v>
      </c>
      <c r="F7" s="31" t="s">
        <v>106</v>
      </c>
    </row>
    <row r="8" customFormat="false" ht="45" hidden="false" customHeight="true" outlineLevel="0" collapsed="false">
      <c r="A8" s="23" t="s">
        <v>86</v>
      </c>
      <c r="B8" s="28" t="s">
        <v>107</v>
      </c>
      <c r="C8" s="28" t="s">
        <v>108</v>
      </c>
      <c r="D8" s="28" t="s">
        <v>109</v>
      </c>
      <c r="E8" s="28" t="s">
        <v>110</v>
      </c>
      <c r="F8" s="28" t="s">
        <v>111</v>
      </c>
    </row>
    <row r="9" customFormat="false" ht="45" hidden="false" customHeight="true" outlineLevel="0" collapsed="false">
      <c r="A9" s="30" t="s">
        <v>86</v>
      </c>
      <c r="B9" s="31" t="s">
        <v>112</v>
      </c>
      <c r="C9" s="31" t="s">
        <v>113</v>
      </c>
      <c r="D9" s="31" t="s">
        <v>114</v>
      </c>
      <c r="E9" s="31" t="s">
        <v>115</v>
      </c>
      <c r="F9" s="31" t="s">
        <v>116</v>
      </c>
    </row>
    <row r="10" customFormat="false" ht="45" hidden="false" customHeight="true" outlineLevel="0" collapsed="false">
      <c r="A10" s="23" t="s">
        <v>117</v>
      </c>
      <c r="B10" s="28" t="s">
        <v>118</v>
      </c>
      <c r="C10" s="28" t="s">
        <v>119</v>
      </c>
      <c r="D10" s="28" t="s">
        <v>120</v>
      </c>
      <c r="E10" s="28" t="s">
        <v>121</v>
      </c>
      <c r="F10" s="28" t="s">
        <v>122</v>
      </c>
    </row>
    <row r="11" customFormat="false" ht="45" hidden="false" customHeight="true" outlineLevel="0" collapsed="false">
      <c r="A11" s="30" t="s">
        <v>117</v>
      </c>
      <c r="B11" s="31" t="s">
        <v>123</v>
      </c>
      <c r="C11" s="31" t="s">
        <v>124</v>
      </c>
      <c r="D11" s="31" t="s">
        <v>125</v>
      </c>
      <c r="E11" s="31" t="s">
        <v>126</v>
      </c>
      <c r="F11" s="31" t="s">
        <v>127</v>
      </c>
    </row>
    <row r="12" customFormat="false" ht="45" hidden="false" customHeight="true" outlineLevel="0" collapsed="false">
      <c r="A12" s="23" t="s">
        <v>117</v>
      </c>
      <c r="B12" s="28" t="s">
        <v>128</v>
      </c>
      <c r="C12" s="28" t="s">
        <v>129</v>
      </c>
      <c r="D12" s="28" t="s">
        <v>130</v>
      </c>
      <c r="E12" s="28" t="s">
        <v>131</v>
      </c>
      <c r="F12" s="28" t="s">
        <v>132</v>
      </c>
    </row>
    <row r="13" customFormat="false" ht="45" hidden="false" customHeight="true" outlineLevel="0" collapsed="false">
      <c r="A13" s="30" t="s">
        <v>117</v>
      </c>
      <c r="B13" s="31" t="s">
        <v>133</v>
      </c>
      <c r="C13" s="31" t="s">
        <v>134</v>
      </c>
      <c r="D13" s="31" t="s">
        <v>135</v>
      </c>
      <c r="E13" s="31" t="s">
        <v>136</v>
      </c>
      <c r="F13" s="31" t="s">
        <v>137</v>
      </c>
    </row>
    <row r="14" customFormat="false" ht="45" hidden="false" customHeight="true" outlineLevel="0" collapsed="false">
      <c r="A14" s="23" t="s">
        <v>138</v>
      </c>
      <c r="B14" s="28" t="s">
        <v>139</v>
      </c>
      <c r="C14" s="28" t="s">
        <v>140</v>
      </c>
      <c r="D14" s="28" t="s">
        <v>141</v>
      </c>
      <c r="E14" s="28" t="s">
        <v>142</v>
      </c>
      <c r="F14" s="28" t="s">
        <v>143</v>
      </c>
    </row>
    <row r="15" customFormat="false" ht="45" hidden="false" customHeight="true" outlineLevel="0" collapsed="false">
      <c r="A15" s="30" t="s">
        <v>144</v>
      </c>
      <c r="B15" s="31" t="s">
        <v>145</v>
      </c>
      <c r="C15" s="31" t="s">
        <v>146</v>
      </c>
      <c r="D15" s="31" t="s">
        <v>147</v>
      </c>
      <c r="E15" s="31" t="s">
        <v>148</v>
      </c>
      <c r="F15" s="31" t="s">
        <v>149</v>
      </c>
    </row>
    <row r="16" customFormat="false" ht="45" hidden="false" customHeight="true" outlineLevel="0" collapsed="false">
      <c r="A16" s="23" t="s">
        <v>144</v>
      </c>
      <c r="B16" s="28" t="s">
        <v>150</v>
      </c>
      <c r="C16" s="28" t="s">
        <v>151</v>
      </c>
      <c r="D16" s="28" t="s">
        <v>152</v>
      </c>
      <c r="E16" s="28" t="s">
        <v>153</v>
      </c>
      <c r="F16" s="28" t="s">
        <v>154</v>
      </c>
    </row>
    <row r="17" customFormat="false" ht="45" hidden="false" customHeight="true" outlineLevel="0" collapsed="false">
      <c r="A17" s="30" t="s">
        <v>144</v>
      </c>
      <c r="B17" s="31" t="s">
        <v>155</v>
      </c>
      <c r="C17" s="31" t="s">
        <v>156</v>
      </c>
      <c r="D17" s="31" t="s">
        <v>157</v>
      </c>
      <c r="E17" s="31" t="s">
        <v>158</v>
      </c>
      <c r="F17" s="31" t="s">
        <v>159</v>
      </c>
    </row>
    <row r="18" customFormat="false" ht="45" hidden="false" customHeight="true" outlineLevel="0" collapsed="false">
      <c r="A18" s="23" t="s">
        <v>144</v>
      </c>
      <c r="B18" s="28" t="s">
        <v>160</v>
      </c>
      <c r="C18" s="28" t="s">
        <v>161</v>
      </c>
      <c r="D18" s="28" t="s">
        <v>162</v>
      </c>
      <c r="E18" s="28" t="s">
        <v>163</v>
      </c>
      <c r="F18" s="28" t="s">
        <v>164</v>
      </c>
    </row>
    <row r="19" customFormat="false" ht="45" hidden="false" customHeight="true" outlineLevel="0" collapsed="false">
      <c r="A19" s="30" t="s">
        <v>144</v>
      </c>
      <c r="B19" s="31" t="s">
        <v>165</v>
      </c>
      <c r="C19" s="31" t="s">
        <v>166</v>
      </c>
      <c r="D19" s="31" t="s">
        <v>167</v>
      </c>
      <c r="E19" s="31" t="s">
        <v>168</v>
      </c>
      <c r="F19" s="31" t="s">
        <v>169</v>
      </c>
    </row>
    <row r="21" customFormat="false" ht="9.75" hidden="false" customHeight="true" outlineLevel="0" collapsed="false"/>
    <row r="22" customFormat="false" ht="15" hidden="false" customHeight="false" outlineLevel="0" collapsed="false">
      <c r="A22" s="5" t="s">
        <v>170</v>
      </c>
      <c r="B22" s="5"/>
      <c r="C22" s="5"/>
      <c r="D22" s="5"/>
      <c r="E22" s="5"/>
      <c r="F22" s="5"/>
    </row>
    <row r="23" customFormat="false" ht="34.5" hidden="false" customHeight="true" outlineLevel="0" collapsed="false">
      <c r="A23" s="19" t="s">
        <v>171</v>
      </c>
      <c r="B23" s="19"/>
      <c r="C23" s="19"/>
      <c r="D23" s="19"/>
      <c r="E23" s="19"/>
      <c r="F23" s="19"/>
    </row>
    <row r="24" customFormat="false" ht="34.5" hidden="false" customHeight="true" outlineLevel="0" collapsed="false">
      <c r="A24" s="20" t="s">
        <v>172</v>
      </c>
      <c r="B24" s="20"/>
      <c r="C24" s="20"/>
      <c r="D24" s="20"/>
      <c r="E24" s="20"/>
      <c r="F24" s="20"/>
    </row>
    <row r="25" customFormat="false" ht="34.5" hidden="false" customHeight="true" outlineLevel="0" collapsed="false">
      <c r="A25" s="19" t="s">
        <v>173</v>
      </c>
      <c r="B25" s="19"/>
      <c r="C25" s="19"/>
      <c r="D25" s="19"/>
      <c r="E25" s="19"/>
      <c r="F25" s="19"/>
    </row>
    <row r="26" customFormat="false" ht="34.5" hidden="false" customHeight="true" outlineLevel="0" collapsed="false">
      <c r="A26" s="20" t="s">
        <v>174</v>
      </c>
      <c r="B26" s="20"/>
      <c r="C26" s="20"/>
      <c r="D26" s="20"/>
      <c r="E26" s="20"/>
      <c r="F26" s="20"/>
    </row>
    <row r="27" customFormat="false" ht="34.5" hidden="false" customHeight="true" outlineLevel="0" collapsed="false">
      <c r="A27" s="19" t="s">
        <v>175</v>
      </c>
      <c r="B27" s="19"/>
      <c r="C27" s="19"/>
      <c r="D27" s="19"/>
      <c r="E27" s="19"/>
      <c r="F27" s="19"/>
    </row>
    <row r="28" customFormat="false" ht="34.5" hidden="false" customHeight="true" outlineLevel="0" collapsed="false">
      <c r="A28" s="20" t="s">
        <v>176</v>
      </c>
      <c r="B28" s="20"/>
      <c r="C28" s="20"/>
      <c r="D28" s="20"/>
      <c r="E28" s="20"/>
      <c r="F28" s="20"/>
    </row>
    <row r="29" customFormat="false" ht="34.5" hidden="false" customHeight="true" outlineLevel="0" collapsed="false">
      <c r="A29" s="19" t="s">
        <v>177</v>
      </c>
      <c r="B29" s="19"/>
      <c r="C29" s="19"/>
      <c r="D29" s="19"/>
      <c r="E29" s="19"/>
      <c r="F29" s="19"/>
    </row>
  </sheetData>
  <mergeCells count="10">
    <mergeCell ref="A1:F1"/>
    <mergeCell ref="A2:F2"/>
    <mergeCell ref="A22:F22"/>
    <mergeCell ref="A23:F23"/>
    <mergeCell ref="A24:F24"/>
    <mergeCell ref="A25:F25"/>
    <mergeCell ref="A26:F26"/>
    <mergeCell ref="A27:F27"/>
    <mergeCell ref="A28:F28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099"/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16" activeCellId="0" sqref="T1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34"/>
    <col collapsed="false" customWidth="true" hidden="false" outlineLevel="0" max="6" min="6" style="1" width="28"/>
    <col collapsed="false" customWidth="true" hidden="false" outlineLevel="0" max="7" min="7" style="1" width="34"/>
  </cols>
  <sheetData>
    <row r="1" customFormat="false" ht="27.75" hidden="false" customHeight="true" outlineLevel="0" collapsed="false">
      <c r="A1" s="37" t="s">
        <v>178</v>
      </c>
      <c r="B1" s="37"/>
      <c r="C1" s="37"/>
      <c r="D1" s="37"/>
      <c r="E1" s="37"/>
      <c r="F1" s="37"/>
      <c r="G1" s="37"/>
    </row>
    <row r="2" customFormat="false" ht="21.75" hidden="false" customHeight="true" outlineLevel="0" collapsed="false">
      <c r="A2" s="36" t="s">
        <v>179</v>
      </c>
      <c r="B2" s="36"/>
      <c r="C2" s="36"/>
      <c r="D2" s="36"/>
      <c r="E2" s="36"/>
      <c r="F2" s="36"/>
      <c r="G2" s="36"/>
    </row>
    <row r="3" customFormat="false" ht="36" hidden="false" customHeight="true" outlineLevel="0" collapsed="false">
      <c r="A3" s="16" t="s">
        <v>41</v>
      </c>
      <c r="B3" s="16" t="s">
        <v>42</v>
      </c>
      <c r="C3" s="16" t="s">
        <v>43</v>
      </c>
      <c r="D3" s="16" t="s">
        <v>44</v>
      </c>
      <c r="E3" s="16" t="s">
        <v>45</v>
      </c>
      <c r="F3" s="16" t="s">
        <v>46</v>
      </c>
      <c r="G3" s="16" t="s">
        <v>47</v>
      </c>
    </row>
    <row r="4" customFormat="false" ht="36" hidden="false" customHeight="true" outlineLevel="0" collapsed="false">
      <c r="A4" s="25" t="n">
        <v>1</v>
      </c>
      <c r="B4" s="24" t="s">
        <v>180</v>
      </c>
      <c r="C4" s="24" t="s">
        <v>70</v>
      </c>
      <c r="D4" s="24" t="s">
        <v>181</v>
      </c>
      <c r="E4" s="24" t="s">
        <v>182</v>
      </c>
      <c r="F4" s="24" t="s">
        <v>183</v>
      </c>
      <c r="G4" s="24" t="s">
        <v>184</v>
      </c>
    </row>
    <row r="5" customFormat="false" ht="36" hidden="false" customHeight="true" outlineLevel="0" collapsed="false">
      <c r="A5" s="32" t="n">
        <v>2</v>
      </c>
      <c r="B5" s="31"/>
      <c r="C5" s="31"/>
      <c r="D5" s="31"/>
      <c r="E5" s="31"/>
      <c r="F5" s="31"/>
      <c r="G5" s="31"/>
    </row>
    <row r="6" customFormat="false" ht="36" hidden="false" customHeight="true" outlineLevel="0" collapsed="false">
      <c r="A6" s="25" t="n">
        <v>3</v>
      </c>
      <c r="B6" s="28"/>
      <c r="C6" s="28"/>
      <c r="D6" s="28"/>
      <c r="E6" s="28"/>
      <c r="F6" s="28"/>
      <c r="G6" s="28"/>
    </row>
    <row r="7" customFormat="false" ht="36" hidden="false" customHeight="true" outlineLevel="0" collapsed="false">
      <c r="A7" s="32" t="n">
        <v>4</v>
      </c>
      <c r="B7" s="31"/>
      <c r="C7" s="31"/>
      <c r="D7" s="31"/>
      <c r="E7" s="31"/>
      <c r="F7" s="31"/>
      <c r="G7" s="31"/>
    </row>
    <row r="8" customFormat="false" ht="36" hidden="false" customHeight="true" outlineLevel="0" collapsed="false">
      <c r="A8" s="25" t="n">
        <v>5</v>
      </c>
      <c r="B8" s="28"/>
      <c r="C8" s="28"/>
      <c r="D8" s="28"/>
      <c r="E8" s="28"/>
      <c r="F8" s="28"/>
      <c r="G8" s="28"/>
    </row>
    <row r="9" customFormat="false" ht="36" hidden="false" customHeight="true" outlineLevel="0" collapsed="false">
      <c r="A9" s="32" t="n">
        <v>6</v>
      </c>
      <c r="B9" s="31"/>
      <c r="C9" s="31"/>
      <c r="D9" s="31"/>
      <c r="E9" s="31"/>
      <c r="F9" s="31"/>
      <c r="G9" s="31"/>
    </row>
    <row r="10" customFormat="false" ht="36" hidden="false" customHeight="true" outlineLevel="0" collapsed="false">
      <c r="A10" s="25" t="n">
        <v>7</v>
      </c>
      <c r="B10" s="28"/>
      <c r="C10" s="28"/>
      <c r="D10" s="28"/>
      <c r="E10" s="28"/>
      <c r="F10" s="28"/>
      <c r="G10" s="28"/>
    </row>
    <row r="11" customFormat="false" ht="36" hidden="false" customHeight="true" outlineLevel="0" collapsed="false">
      <c r="A11" s="32" t="n">
        <v>8</v>
      </c>
      <c r="B11" s="31"/>
      <c r="C11" s="31"/>
      <c r="D11" s="31"/>
      <c r="E11" s="31"/>
      <c r="F11" s="31"/>
      <c r="G11" s="31"/>
    </row>
    <row r="12" customFormat="false" ht="36" hidden="false" customHeight="true" outlineLevel="0" collapsed="false">
      <c r="A12" s="25" t="n">
        <v>9</v>
      </c>
      <c r="B12" s="28"/>
      <c r="C12" s="28"/>
      <c r="D12" s="28"/>
      <c r="E12" s="28"/>
      <c r="F12" s="28"/>
      <c r="G12" s="28"/>
    </row>
    <row r="13" customFormat="false" ht="36" hidden="false" customHeight="true" outlineLevel="0" collapsed="false">
      <c r="A13" s="32" t="n">
        <v>10</v>
      </c>
      <c r="B13" s="31"/>
      <c r="C13" s="31"/>
      <c r="D13" s="31"/>
      <c r="E13" s="31"/>
      <c r="F13" s="31"/>
      <c r="G13" s="31"/>
    </row>
    <row r="14" customFormat="false" ht="36" hidden="false" customHeight="true" outlineLevel="0" collapsed="false">
      <c r="A14" s="25" t="n">
        <v>11</v>
      </c>
      <c r="B14" s="28"/>
      <c r="C14" s="28"/>
      <c r="D14" s="28"/>
      <c r="E14" s="28"/>
      <c r="F14" s="28"/>
      <c r="G14" s="28"/>
    </row>
    <row r="15" customFormat="false" ht="36" hidden="false" customHeight="true" outlineLevel="0" collapsed="false">
      <c r="A15" s="32" t="n">
        <v>12</v>
      </c>
      <c r="B15" s="31"/>
      <c r="C15" s="31"/>
      <c r="D15" s="31"/>
      <c r="E15" s="31"/>
      <c r="F15" s="31"/>
      <c r="G15" s="31"/>
    </row>
    <row r="16" customFormat="false" ht="36" hidden="false" customHeight="true" outlineLevel="0" collapsed="false">
      <c r="A16" s="25" t="n">
        <v>13</v>
      </c>
      <c r="B16" s="28"/>
      <c r="C16" s="28"/>
      <c r="D16" s="28"/>
      <c r="E16" s="28"/>
      <c r="F16" s="28"/>
      <c r="G16" s="28"/>
    </row>
    <row r="17" customFormat="false" ht="36" hidden="false" customHeight="true" outlineLevel="0" collapsed="false">
      <c r="A17" s="32" t="n">
        <v>14</v>
      </c>
      <c r="B17" s="31"/>
      <c r="C17" s="31"/>
      <c r="D17" s="31"/>
      <c r="E17" s="31"/>
      <c r="F17" s="31"/>
      <c r="G17" s="31"/>
    </row>
    <row r="18" customFormat="false" ht="36" hidden="false" customHeight="true" outlineLevel="0" collapsed="false">
      <c r="A18" s="25" t="n">
        <v>15</v>
      </c>
      <c r="B18" s="28"/>
      <c r="C18" s="28"/>
      <c r="D18" s="28"/>
      <c r="E18" s="28"/>
      <c r="F18" s="28"/>
      <c r="G18" s="28"/>
    </row>
    <row r="19" customFormat="false" ht="36" hidden="false" customHeight="true" outlineLevel="0" collapsed="false">
      <c r="A19" s="32" t="n">
        <v>16</v>
      </c>
      <c r="B19" s="31"/>
      <c r="C19" s="31"/>
      <c r="D19" s="31"/>
      <c r="E19" s="31"/>
      <c r="F19" s="31"/>
      <c r="G19" s="31"/>
    </row>
    <row r="20" customFormat="false" ht="36" hidden="false" customHeight="true" outlineLevel="0" collapsed="false">
      <c r="A20" s="25" t="n">
        <v>17</v>
      </c>
      <c r="B20" s="28"/>
      <c r="C20" s="28"/>
      <c r="D20" s="28"/>
      <c r="E20" s="28"/>
      <c r="F20" s="28"/>
      <c r="G20" s="28"/>
    </row>
    <row r="21" customFormat="false" ht="36" hidden="false" customHeight="true" outlineLevel="0" collapsed="false">
      <c r="A21" s="32" t="n">
        <v>18</v>
      </c>
      <c r="B21" s="31"/>
      <c r="C21" s="31"/>
      <c r="D21" s="31"/>
      <c r="E21" s="31"/>
      <c r="F21" s="31"/>
      <c r="G21" s="31"/>
    </row>
    <row r="22" customFormat="false" ht="36" hidden="false" customHeight="true" outlineLevel="0" collapsed="false">
      <c r="A22" s="25" t="n">
        <v>19</v>
      </c>
      <c r="B22" s="28"/>
      <c r="C22" s="28"/>
      <c r="D22" s="28"/>
      <c r="E22" s="28"/>
      <c r="F22" s="28"/>
      <c r="G22" s="28"/>
    </row>
    <row r="23" customFormat="false" ht="36" hidden="false" customHeight="true" outlineLevel="0" collapsed="false">
      <c r="A23" s="32" t="n">
        <v>20</v>
      </c>
      <c r="B23" s="31"/>
      <c r="C23" s="31"/>
      <c r="D23" s="31"/>
      <c r="E23" s="31"/>
      <c r="F23" s="31"/>
      <c r="G23" s="31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2026-06-10T20:07:42Z</dcterms:created>
  <dc:creator>openpyxl</dc:creator>
  <dc:description/>
  <dc:language>en-US</dc:language>
  <cp:lastModifiedBy/>
  <dcterms:modified xsi:type="dcterms:W3CDTF">2026-06-10T16:33:48Z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