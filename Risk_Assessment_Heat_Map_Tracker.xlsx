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isk Matrix" sheetId="2" state="visible" r:id="rId4"/>
    <sheet name="Definitions" sheetId="3" state="visible" r:id="rId5"/>
    <sheet name="Regulatory 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<sst xmlns="http://schemas.openxmlformats.org/spreadsheetml/2006/main" count="139" uniqueCount="123">
  <si>
    <t xml:space="preserve">RISK ASSESSMENT REGISTER</t>
  </si>
  <si>
    <t xml:space="preserve">Log each hazard/risk below. Enter Likelihood and Severity (1-5) using the dropdowns; Risk Score and Risk Level calculate automatically. See the Definitions tab for rating criteria and the Risk Matrix tab for the live heat map.</t>
  </si>
  <si>
    <t xml:space="preserve">Risk ID</t>
  </si>
  <si>
    <t xml:space="preserve">Date Identified</t>
  </si>
  <si>
    <t xml:space="preserve">Department / Area</t>
  </si>
  <si>
    <t xml:space="preserve">Hazard / Risk Description</t>
  </si>
  <si>
    <t xml:space="preserve">Likelihood
(1-5)</t>
  </si>
  <si>
    <t xml:space="preserve">Severity
(1-5)</t>
  </si>
  <si>
    <t xml:space="preserve">Risk Score</t>
  </si>
  <si>
    <t xml:space="preserve">Risk Level</t>
  </si>
  <si>
    <t xml:space="preserve">Existing Controls</t>
  </si>
  <si>
    <t xml:space="preserve">Additional Controls Needed</t>
  </si>
  <si>
    <t xml:space="preserve">Risk Owner</t>
  </si>
  <si>
    <t xml:space="preserve">Target Completion Date</t>
  </si>
  <si>
    <t xml:space="preserve">Status</t>
  </si>
  <si>
    <t xml:space="preserve">Date Last Reviewed</t>
  </si>
  <si>
    <t xml:space="preserve">Notes</t>
  </si>
  <si>
    <t xml:space="preserve">Low X</t>
  </si>
  <si>
    <t xml:space="preserve">Low Y</t>
  </si>
  <si>
    <t xml:space="preserve">Medium X</t>
  </si>
  <si>
    <t xml:space="preserve">Medium Y</t>
  </si>
  <si>
    <t xml:space="preserve">High X</t>
  </si>
  <si>
    <t xml:space="preserve">High Y</t>
  </si>
  <si>
    <t xml:space="preserve">Critical X</t>
  </si>
  <si>
    <t xml:space="preserve">Critical Y</t>
  </si>
  <si>
    <t xml:space="preserve">EXAMPLE</t>
  </si>
  <si>
    <t xml:space="preserve">Warehouse</t>
  </si>
  <si>
    <t xml:space="preserve">Forklift travel paths cross pedestrian walkway</t>
  </si>
  <si>
    <t xml:space="preserve">Painted floor lines; convex mirrors at blind corners</t>
  </si>
  <si>
    <t xml:space="preserve">Install physical barrier or pedestrian gate</t>
  </si>
  <si>
    <t xml:space="preserve">Warehouse Supervisor</t>
  </si>
  <si>
    <t xml:space="preserve">Open</t>
  </si>
  <si>
    <t xml:space="preserve">Maintenance Shop</t>
  </si>
  <si>
    <t xml:space="preserve">Compressed gas cylinders stored without secure restraint</t>
  </si>
  <si>
    <t xml:space="preserve">Cylinders capped when not in use</t>
  </si>
  <si>
    <t xml:space="preserve">Install wall-mounted cylinder racks with chains</t>
  </si>
  <si>
    <t xml:space="preserve">EHS Coordinator</t>
  </si>
  <si>
    <t xml:space="preserve">In Progress</t>
  </si>
  <si>
    <t xml:space="preserve">Lab</t>
  </si>
  <si>
    <t xml:space="preserve">Incompatible chemicals stored on same shelf</t>
  </si>
  <si>
    <t xml:space="preserve">SDS on file for all chemicals</t>
  </si>
  <si>
    <t xml:space="preserve">Segregate per compatibility chart; add secondary containment</t>
  </si>
  <si>
    <t xml:space="preserve">Lab Manager</t>
  </si>
  <si>
    <t xml:space="preserve">RISK MATRIX - LIVE HEAT MAP</t>
  </si>
  <si>
    <t xml:space="preserve">Each cell shows the count of risks currently logged in the Risk Register at that Likelihood / Severity combination. Counts update automatically as you edit the register.</t>
  </si>
  <si>
    <t xml:space="preserve">LIKELIHOOD</t>
  </si>
  <si>
    <t xml:space="preserve">SEVERITY</t>
  </si>
  <si>
    <t xml:space="preserve">1 = Rare / Negligible      5 = Almost Certain / Catastrophic  -  see Definitions tab</t>
  </si>
  <si>
    <t xml:space="preserve">LEGEND</t>
  </si>
  <si>
    <t xml:space="preserve">Level</t>
  </si>
  <si>
    <t xml:space="preserve">Score Range</t>
  </si>
  <si>
    <t xml:space="preserve">Suggested Response</t>
  </si>
  <si>
    <t xml:space="preserve">Low</t>
  </si>
  <si>
    <t xml:space="preserve">1-4</t>
  </si>
  <si>
    <t xml:space="preserve">Acceptable with routine monitoring; no immediate action required.</t>
  </si>
  <si>
    <t xml:space="preserve">Medium</t>
  </si>
  <si>
    <t xml:space="preserve">5-9</t>
  </si>
  <si>
    <t xml:space="preserve">Address with planned corrective action; reassess on a routine schedule.</t>
  </si>
  <si>
    <t xml:space="preserve">High</t>
  </si>
  <si>
    <t xml:space="preserve">10-15</t>
  </si>
  <si>
    <t xml:space="preserve">Prioritize corrective action; assign an owner and target date promptly.</t>
  </si>
  <si>
    <t xml:space="preserve">Critical</t>
  </si>
  <si>
    <t xml:space="preserve">16-25</t>
  </si>
  <si>
    <t xml:space="preserve">Stop the activity or implement immediate interim controls; escalate to leadership.</t>
  </si>
  <si>
    <t xml:space="preserve">RATING DEFINITIONS</t>
  </si>
  <si>
    <t xml:space="preserve">Use these criteria consistently when rating Likelihood and Severity in the Risk Register. Adjust wording to fit your operation, but keep the 1-5 scale intact so the matrix and formulas continue to work.</t>
  </si>
  <si>
    <t xml:space="preserve">LIKELIHOOD - how often could this occur?</t>
  </si>
  <si>
    <t xml:space="preserve">Rating</t>
  </si>
  <si>
    <t xml:space="preserve">Term</t>
  </si>
  <si>
    <t xml:space="preserve">Description</t>
  </si>
  <si>
    <t xml:space="preserve">Rare</t>
  </si>
  <si>
    <t xml:space="preserve">Conceivable but not expected to occur during the life of the operation; no known history of occurrence.</t>
  </si>
  <si>
    <t xml:space="preserve">Unlikely</t>
  </si>
  <si>
    <t xml:space="preserve">Could occur at some point; has happened rarely in similar operations.</t>
  </si>
  <si>
    <t xml:space="preserve">Possible</t>
  </si>
  <si>
    <t xml:space="preserve">Might occur occasionally; has happened before in this operation or similar ones.</t>
  </si>
  <si>
    <t xml:space="preserve">Likely</t>
  </si>
  <si>
    <t xml:space="preserve">Will probably occur in most circumstances; has happened more than once here.</t>
  </si>
  <si>
    <t xml:space="preserve">Almost Certain</t>
  </si>
  <si>
    <t xml:space="preserve">Expected to occur in most circumstances; happens regularly or is ongoing.</t>
  </si>
  <si>
    <t xml:space="preserve">SEVERITY - how bad could the outcome be?</t>
  </si>
  <si>
    <t xml:space="preserve">Negligible</t>
  </si>
  <si>
    <t xml:space="preserve">No injury or first-aid only; no environmental release; minimal or no cost impact.</t>
  </si>
  <si>
    <t xml:space="preserve">Minor</t>
  </si>
  <si>
    <t xml:space="preserve">Minor injury with no lost time; small reportable spill fully contained on site; low cost impact.</t>
  </si>
  <si>
    <t xml:space="preserve">Moderate</t>
  </si>
  <si>
    <t xml:space="preserve">Injury requiring medical treatment or lost work time; reportable release requiring agency notification; moderate cost impact.</t>
  </si>
  <si>
    <t xml:space="preserve">Major</t>
  </si>
  <si>
    <t xml:space="preserve">Serious injury, hospitalization, or permanent impairment; significant environmental release; major regulatory citation or cost impact.</t>
  </si>
  <si>
    <t xml:space="preserve">Catastrophic</t>
  </si>
  <si>
    <t xml:space="preserve">Fatality or multiple serious injuries; major environmental damage; facility shutdown, criminal liability, or severe financial impact.</t>
  </si>
  <si>
    <t xml:space="preserve">RISK LEVEL BANDS  (Risk Score = Likelihood x Severity)</t>
  </si>
  <si>
    <t xml:space="preserve">Meaning</t>
  </si>
  <si>
    <t xml:space="preserve">Acceptable; manage with routine procedures.</t>
  </si>
  <si>
    <t xml:space="preserve">Tolerable; plan and schedule corrective action.</t>
  </si>
  <si>
    <t xml:space="preserve">Significant; prioritize corrective action and assign an owner.</t>
  </si>
  <si>
    <t xml:space="preserve">Unacceptable; take immediate interim action and escalate.</t>
  </si>
  <si>
    <t xml:space="preserve">REGULATORY REFERENCE</t>
  </si>
  <si>
    <t xml:space="preserve">This tool supports, but does not replace, a documented risk/hazard assessment program. Verify current requirements with the citing agency or standards body.</t>
  </si>
  <si>
    <t xml:space="preserve">Standard</t>
  </si>
  <si>
    <t xml:space="preserve">Citation</t>
  </si>
  <si>
    <t xml:space="preserve">Relevance to Risk Assessment</t>
  </si>
  <si>
    <t xml:space="preserve">OSH Act - General Duty Clause</t>
  </si>
  <si>
    <t xml:space="preserve">Sec. 5(a)(1)</t>
  </si>
  <si>
    <t xml:space="preserve">Requires employers to furnish a workplace free from recognized hazards; documented risk ranking supports demonstrating hazard recognition and reasonable abatement priority.</t>
  </si>
  <si>
    <t xml:space="preserve">OSHA - PPE Hazard Assessment</t>
  </si>
  <si>
    <t xml:space="preserve">29 CFR 1910.132(d)</t>
  </si>
  <si>
    <t xml:space="preserve">Requires employers to assess the workplace for hazards and certify the assessment; a risk register documents this evaluation.</t>
  </si>
  <si>
    <t xml:space="preserve">OSHA - Process Safety Management</t>
  </si>
  <si>
    <t xml:space="preserve">29 CFR 1910.119</t>
  </si>
  <si>
    <t xml:space="preserve">Requires a process hazard analysis that includes a risk-ranking methodology for covered processes.</t>
  </si>
  <si>
    <t xml:space="preserve">OSHA - HazCom</t>
  </si>
  <si>
    <t xml:space="preserve">29 CFR 1910.1200</t>
  </si>
  <si>
    <t xml:space="preserve">SDS and label hazard information feed the Severity rating for chemical-related risks.</t>
  </si>
  <si>
    <t xml:space="preserve">ANSI/ASSP Z690.3</t>
  </si>
  <si>
    <t xml:space="preserve">Z690.3-2011 (R2021)</t>
  </si>
  <si>
    <t xml:space="preserve">National guidance on selecting and applying risk assessment techniques, including risk matrices.</t>
  </si>
  <si>
    <t xml:space="preserve">ANSI/ASSP Z10</t>
  </si>
  <si>
    <t xml:space="preserve">Z10-2019</t>
  </si>
  <si>
    <t xml:space="preserve">Occupational health and safety management systems standard requiring a documented hazard identification and risk assessment process.</t>
  </si>
  <si>
    <t xml:space="preserve">ISO 31000</t>
  </si>
  <si>
    <t xml:space="preserve">ISO 31000:2018</t>
  </si>
  <si>
    <t xml:space="preserve">International risk management guidelines referenced for risk evaluation criteria and treatment prioritization.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</si>
</sst>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A6A6A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74706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974706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4620"/>
        <bgColor rgb="FF375623"/>
      </patternFill>
    </fill>
    <fill>
      <patternFill patternType="solid">
        <fgColor rgb="FF375623"/>
        <bgColor rgb="FF1E4620"/>
      </patternFill>
    </fill>
    <fill>
      <patternFill patternType="solid">
        <fgColor rgb="FFFFEB9C"/>
        <bgColor rgb="FFFFFFCC"/>
      </patternFill>
    </fill>
    <fill>
      <patternFill patternType="solid">
        <fgColor rgb="FFFFD966"/>
        <bgColor rgb="FFFFEB9C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E2D9"/>
      </patternFill>
    </fill>
    <fill>
      <patternFill patternType="solid">
        <fgColor rgb="FFD9E2D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74706"/>
      </font>
      <fill>
        <patternFill>
          <bgColor rgb="FFFFD966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966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D9E2D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595959"/>
      <rgbColor rgb="FFA6A6A6"/>
      <rgbColor rgb="FF003366"/>
      <rgbColor rgb="FF339966"/>
      <rgbColor rgb="FF375623"/>
      <rgbColor rgb="FF1E4620"/>
      <rgbColor rgb="FF974706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Risk Plot (auto-updates from Risk Register)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b050"/>
            </a:solidFill>
            <a:ln w="28440">
              <a:noFill/>
            </a:ln>
          </c:spPr>
          <c:marker>
            <c:symbol val="circle"/>
            <c:size val="8"/>
            <c:spPr>
              <a:solidFill>
                <a:srgbClr val="00b050"/>
              </a:solidFill>
            </c:spPr>
          </c:marker>
          <c:smooth val="1"/>
        </c:ser>
        <c:ser>
          <c:idx val="1"/>
          <c:order val="1"/>
          <c:spPr>
            <a:solidFill>
              <a:srgbClr val="ffc000"/>
            </a:solidFill>
            <a:ln w="28440">
              <a:noFill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smooth val="1"/>
        </c:ser>
        <c:ser>
          <c:idx val="2"/>
          <c:order val="2"/>
          <c:spPr>
            <a:solidFill>
              <a:srgbClr val="ed7d31"/>
            </a:solidFill>
            <a:ln w="28440">
              <a:noFill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smooth val="1"/>
        </c:ser>
        <c:ser>
          <c:idx val="3"/>
          <c:order val="3"/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</c:spPr>
          </c:marker>
          <c:smooth val="1"/>
        </c:ser>
        <c:axId val="72599464"/>
        <c:axId val="92203781"/>
      </c:scatterChart>
      <c:valAx>
        <c:axId val="72599464"/>
        <c:scaling>
          <c:orientation val="minMax"/>
          <c:max val="6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Likelihood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03781"/>
        <c:crosses val="autoZero"/>
        <c:crossBetween val="midCat"/>
        <c:majorUnit val="1"/>
      </c:valAx>
      <c:valAx>
        <c:axId val="92203781"/>
        <c:scaling>
          <c:orientation val="minMax"/>
          <c:max val="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99464"/>
        <c:crosses val="autoZero"/>
        <c:crossBetween val="midCat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289080</xdr:colOff>
      <xdr:row>15</xdr:row>
      <xdr:rowOff>293040</xdr:rowOff>
    </xdr:to>
    <xdr:graphicFrame>
      <xdr:nvGraphicFramePr>
        <xdr:cNvPr id="0" name="Chart 1"/>
        <xdr:cNvGraphicFramePr/>
      </xdr:nvGraphicFramePr>
      <xdr:xfrm>
        <a:off x="5497920" y="1009800"/>
        <a:ext cx="6118200" cy="388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X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7" min="5" style="1" width="10"/>
    <col collapsed="false" customWidth="true" hidden="false" outlineLevel="0" max="8" min="8" style="1" width="11"/>
    <col collapsed="false" customWidth="true" hidden="false" outlineLevel="0" max="10" min="9" style="1" width="28"/>
    <col collapsed="false" customWidth="true" hidden="false" outlineLevel="0" max="12" min="11" style="1" width="16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24"/>
    <col collapsed="false" customWidth="true" hidden="true" outlineLevel="0" max="24" min="17" style="1" width="13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Q3" s="5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</row>
    <row r="4" customFormat="false" ht="30" hidden="false" customHeight="true" outlineLevel="0" collapsed="false">
      <c r="A4" s="6" t="str">
        <f aca="false">"R-"&amp;TEXT(ROW()-3,"000")</f>
        <v>R-001</v>
      </c>
      <c r="B4" s="7" t="s">
        <v>25</v>
      </c>
      <c r="C4" s="8" t="s">
        <v>26</v>
      </c>
      <c r="D4" s="9" t="s">
        <v>27</v>
      </c>
      <c r="E4" s="6" t="n">
        <v>3</v>
      </c>
      <c r="F4" s="6" t="n">
        <v>4</v>
      </c>
      <c r="G4" s="10" t="n">
        <f aca="false">E4*F4</f>
        <v>12</v>
      </c>
      <c r="H4" s="6" t="str">
        <f aca="false">IF(G4="","",IF(G4&lt;=4,"Low",IF(G4&lt;=9,"Medium",IF(G4&lt;=15,"High","Critical"))))</f>
        <v>High</v>
      </c>
      <c r="I4" s="9" t="s">
        <v>28</v>
      </c>
      <c r="J4" s="9" t="s">
        <v>29</v>
      </c>
      <c r="K4" s="8" t="s">
        <v>30</v>
      </c>
      <c r="L4" s="7"/>
      <c r="M4" s="6" t="s">
        <v>31</v>
      </c>
      <c r="N4" s="7"/>
      <c r="O4" s="9"/>
      <c r="Q4" s="1" t="str">
        <f aca="false">IF($H4="Low",$E4,"")</f>
        <v/>
      </c>
      <c r="R4" s="1" t="str">
        <f aca="false">IF($H4="Low",$F4,"")</f>
        <v/>
      </c>
      <c r="S4" s="1" t="str">
        <f aca="false">IF($H4="Medium",$E4,"")</f>
        <v/>
      </c>
      <c r="T4" s="1" t="str">
        <f aca="false">IF($H4="Medium",$F4,"")</f>
        <v/>
      </c>
      <c r="U4" s="1" t="n">
        <f aca="false">IF($H4="High",$E4,"")</f>
        <v>3</v>
      </c>
      <c r="V4" s="1" t="n">
        <f aca="false">IF($H4="High",$F4,"")</f>
        <v>4</v>
      </c>
      <c r="W4" s="1" t="str">
        <f aca="false">IF($H4="Critical",$E4,"")</f>
        <v/>
      </c>
      <c r="X4" s="1" t="str">
        <f aca="false">IF($H4="Critical",$F4,"")</f>
        <v/>
      </c>
    </row>
    <row r="5" customFormat="false" ht="30" hidden="false" customHeight="true" outlineLevel="0" collapsed="false">
      <c r="A5" s="6" t="str">
        <f aca="false">"R-"&amp;TEXT(ROW()-3,"000")</f>
        <v>R-002</v>
      </c>
      <c r="B5" s="7" t="s">
        <v>25</v>
      </c>
      <c r="C5" s="8" t="s">
        <v>32</v>
      </c>
      <c r="D5" s="9" t="s">
        <v>33</v>
      </c>
      <c r="E5" s="6" t="n">
        <v>2</v>
      </c>
      <c r="F5" s="6" t="n">
        <v>3</v>
      </c>
      <c r="G5" s="10" t="n">
        <f aca="false">E5*F5</f>
        <v>6</v>
      </c>
      <c r="H5" s="6" t="str">
        <f aca="false">IF(G5="","",IF(G5&lt;=4,"Low",IF(G5&lt;=9,"Medium",IF(G5&lt;=15,"High","Critical"))))</f>
        <v>Medium</v>
      </c>
      <c r="I5" s="9" t="s">
        <v>34</v>
      </c>
      <c r="J5" s="9" t="s">
        <v>35</v>
      </c>
      <c r="K5" s="8" t="s">
        <v>36</v>
      </c>
      <c r="L5" s="7"/>
      <c r="M5" s="6" t="s">
        <v>37</v>
      </c>
      <c r="N5" s="7"/>
      <c r="O5" s="9"/>
      <c r="Q5" s="1" t="str">
        <f aca="false">IF($H5="Low",$E5,"")</f>
        <v/>
      </c>
      <c r="R5" s="1" t="str">
        <f aca="false">IF($H5="Low",$F5,"")</f>
        <v/>
      </c>
      <c r="S5" s="1" t="n">
        <f aca="false">IF($H5="Medium",$E5,"")</f>
        <v>2</v>
      </c>
      <c r="T5" s="1" t="n">
        <f aca="false">IF($H5="Medium",$F5,"")</f>
        <v>3</v>
      </c>
      <c r="U5" s="1" t="str">
        <f aca="false">IF($H5="High",$E5,"")</f>
        <v/>
      </c>
      <c r="V5" s="1" t="str">
        <f aca="false">IF($H5="High",$F5,"")</f>
        <v/>
      </c>
      <c r="W5" s="1" t="str">
        <f aca="false">IF($H5="Critical",$E5,"")</f>
        <v/>
      </c>
      <c r="X5" s="1" t="str">
        <f aca="false">IF($H5="Critical",$F5,"")</f>
        <v/>
      </c>
    </row>
    <row r="6" customFormat="false" ht="30" hidden="false" customHeight="true" outlineLevel="0" collapsed="false">
      <c r="A6" s="6" t="str">
        <f aca="false">"R-"&amp;TEXT(ROW()-3,"000")</f>
        <v>R-003</v>
      </c>
      <c r="B6" s="7" t="s">
        <v>25</v>
      </c>
      <c r="C6" s="8" t="s">
        <v>38</v>
      </c>
      <c r="D6" s="9" t="s">
        <v>39</v>
      </c>
      <c r="E6" s="6" t="n">
        <v>2</v>
      </c>
      <c r="F6" s="6" t="n">
        <v>5</v>
      </c>
      <c r="G6" s="10" t="n">
        <f aca="false">E6*F6</f>
        <v>10</v>
      </c>
      <c r="H6" s="6" t="str">
        <f aca="false">IF(G6="","",IF(G6&lt;=4,"Low",IF(G6&lt;=9,"Medium",IF(G6&lt;=15,"High","Critical"))))</f>
        <v>High</v>
      </c>
      <c r="I6" s="9" t="s">
        <v>40</v>
      </c>
      <c r="J6" s="9" t="s">
        <v>41</v>
      </c>
      <c r="K6" s="8" t="s">
        <v>42</v>
      </c>
      <c r="L6" s="7"/>
      <c r="M6" s="6" t="s">
        <v>31</v>
      </c>
      <c r="N6" s="7"/>
      <c r="O6" s="9"/>
      <c r="Q6" s="1" t="str">
        <f aca="false">IF($H6="Low",$E6,"")</f>
        <v/>
      </c>
      <c r="R6" s="1" t="str">
        <f aca="false">IF($H6="Low",$F6,"")</f>
        <v/>
      </c>
      <c r="S6" s="1" t="str">
        <f aca="false">IF($H6="Medium",$E6,"")</f>
        <v/>
      </c>
      <c r="T6" s="1" t="str">
        <f aca="false">IF($H6="Medium",$F6,"")</f>
        <v/>
      </c>
      <c r="U6" s="1" t="n">
        <f aca="false">IF($H6="High",$E6,"")</f>
        <v>2</v>
      </c>
      <c r="V6" s="1" t="n">
        <f aca="false">IF($H6="High",$F6,"")</f>
        <v>5</v>
      </c>
      <c r="W6" s="1" t="str">
        <f aca="false">IF($H6="Critical",$E6,"")</f>
        <v/>
      </c>
      <c r="X6" s="1" t="str">
        <f aca="false">IF($H6="Critical",$F6,"")</f>
        <v/>
      </c>
    </row>
    <row r="7" customFormat="false" ht="30" hidden="false" customHeight="true" outlineLevel="0" collapsed="false">
      <c r="A7" s="11" t="str">
        <f aca="false">"R-"&amp;TEXT(ROW()-3,"000")</f>
        <v>R-004</v>
      </c>
      <c r="B7" s="12"/>
      <c r="C7" s="13"/>
      <c r="D7" s="14"/>
      <c r="E7" s="11"/>
      <c r="F7" s="11"/>
      <c r="G7" s="11" t="str">
        <f aca="false">IF(OR(E7="",F7=""),"",E7*F7)</f>
        <v/>
      </c>
      <c r="H7" s="11" t="str">
        <f aca="false">IF(G7="","",IF(G7&lt;=4,"Low",IF(G7&lt;=9,"Medium",IF(G7&lt;=15,"High","Critical"))))</f>
        <v/>
      </c>
      <c r="I7" s="14"/>
      <c r="J7" s="14"/>
      <c r="K7" s="13"/>
      <c r="L7" s="12"/>
      <c r="M7" s="11"/>
      <c r="N7" s="12"/>
      <c r="O7" s="14"/>
      <c r="Q7" s="1" t="str">
        <f aca="false">IF($H7="Low",$E7,"")</f>
        <v/>
      </c>
      <c r="R7" s="1" t="str">
        <f aca="false">IF($H7="Low",$F7,"")</f>
        <v/>
      </c>
      <c r="S7" s="1" t="str">
        <f aca="false">IF($H7="Medium",$E7,"")</f>
        <v/>
      </c>
      <c r="T7" s="1" t="str">
        <f aca="false">IF($H7="Medium",$F7,"")</f>
        <v/>
      </c>
      <c r="U7" s="1" t="str">
        <f aca="false">IF($H7="High",$E7,"")</f>
        <v/>
      </c>
      <c r="V7" s="1" t="str">
        <f aca="false">IF($H7="High",$F7,"")</f>
        <v/>
      </c>
      <c r="W7" s="1" t="str">
        <f aca="false">IF($H7="Critical",$E7,"")</f>
        <v/>
      </c>
      <c r="X7" s="1" t="str">
        <f aca="false">IF($H7="Critical",$F7,"")</f>
        <v/>
      </c>
    </row>
    <row r="8" customFormat="false" ht="30" hidden="false" customHeight="true" outlineLevel="0" collapsed="false">
      <c r="A8" s="11" t="str">
        <f aca="false">"R-"&amp;TEXT(ROW()-3,"000")</f>
        <v>R-005</v>
      </c>
      <c r="B8" s="12"/>
      <c r="C8" s="13"/>
      <c r="D8" s="14"/>
      <c r="E8" s="11"/>
      <c r="F8" s="11"/>
      <c r="G8" s="11" t="str">
        <f aca="false">IF(OR(E8="",F8=""),"",E8*F8)</f>
        <v/>
      </c>
      <c r="H8" s="11" t="str">
        <f aca="false">IF(G8="","",IF(G8&lt;=4,"Low",IF(G8&lt;=9,"Medium",IF(G8&lt;=15,"High","Critical"))))</f>
        <v/>
      </c>
      <c r="I8" s="14"/>
      <c r="J8" s="14"/>
      <c r="K8" s="13"/>
      <c r="L8" s="12"/>
      <c r="M8" s="11"/>
      <c r="N8" s="12"/>
      <c r="O8" s="14"/>
      <c r="Q8" s="1" t="str">
        <f aca="false">IF($H8="Low",$E8,"")</f>
        <v/>
      </c>
      <c r="R8" s="1" t="str">
        <f aca="false">IF($H8="Low",$F8,"")</f>
        <v/>
      </c>
      <c r="S8" s="1" t="str">
        <f aca="false">IF($H8="Medium",$E8,"")</f>
        <v/>
      </c>
      <c r="T8" s="1" t="str">
        <f aca="false">IF($H8="Medium",$F8,"")</f>
        <v/>
      </c>
      <c r="U8" s="1" t="str">
        <f aca="false">IF($H8="High",$E8,"")</f>
        <v/>
      </c>
      <c r="V8" s="1" t="str">
        <f aca="false">IF($H8="High",$F8,"")</f>
        <v/>
      </c>
      <c r="W8" s="1" t="str">
        <f aca="false">IF($H8="Critical",$E8,"")</f>
        <v/>
      </c>
      <c r="X8" s="1" t="str">
        <f aca="false">IF($H8="Critical",$F8,"")</f>
        <v/>
      </c>
    </row>
    <row r="9" customFormat="false" ht="30" hidden="false" customHeight="true" outlineLevel="0" collapsed="false">
      <c r="A9" s="11" t="str">
        <f aca="false">"R-"&amp;TEXT(ROW()-3,"000")</f>
        <v>R-006</v>
      </c>
      <c r="B9" s="12"/>
      <c r="C9" s="13"/>
      <c r="D9" s="14"/>
      <c r="E9" s="11"/>
      <c r="F9" s="11"/>
      <c r="G9" s="11" t="str">
        <f aca="false">IF(OR(E9="",F9=""),"",E9*F9)</f>
        <v/>
      </c>
      <c r="H9" s="11" t="str">
        <f aca="false">IF(G9="","",IF(G9&lt;=4,"Low",IF(G9&lt;=9,"Medium",IF(G9&lt;=15,"High","Critical"))))</f>
        <v/>
      </c>
      <c r="I9" s="14"/>
      <c r="J9" s="14"/>
      <c r="K9" s="13"/>
      <c r="L9" s="12"/>
      <c r="M9" s="11"/>
      <c r="N9" s="12"/>
      <c r="O9" s="14"/>
      <c r="Q9" s="1" t="str">
        <f aca="false">IF($H9="Low",$E9,"")</f>
        <v/>
      </c>
      <c r="R9" s="1" t="str">
        <f aca="false">IF($H9="Low",$F9,"")</f>
        <v/>
      </c>
      <c r="S9" s="1" t="str">
        <f aca="false">IF($H9="Medium",$E9,"")</f>
        <v/>
      </c>
      <c r="T9" s="1" t="str">
        <f aca="false">IF($H9="Medium",$F9,"")</f>
        <v/>
      </c>
      <c r="U9" s="1" t="str">
        <f aca="false">IF($H9="High",$E9,"")</f>
        <v/>
      </c>
      <c r="V9" s="1" t="str">
        <f aca="false">IF($H9="High",$F9,"")</f>
        <v/>
      </c>
      <c r="W9" s="1" t="str">
        <f aca="false">IF($H9="Critical",$E9,"")</f>
        <v/>
      </c>
      <c r="X9" s="1" t="str">
        <f aca="false">IF($H9="Critical",$F9,"")</f>
        <v/>
      </c>
    </row>
    <row r="10" customFormat="false" ht="30" hidden="false" customHeight="true" outlineLevel="0" collapsed="false">
      <c r="A10" s="11" t="str">
        <f aca="false">"R-"&amp;TEXT(ROW()-3,"000")</f>
        <v>R-007</v>
      </c>
      <c r="B10" s="12"/>
      <c r="C10" s="13"/>
      <c r="D10" s="14"/>
      <c r="E10" s="11"/>
      <c r="F10" s="11"/>
      <c r="G10" s="11" t="str">
        <f aca="false">IF(OR(E10="",F10=""),"",E10*F10)</f>
        <v/>
      </c>
      <c r="H10" s="11" t="str">
        <f aca="false">IF(G10="","",IF(G10&lt;=4,"Low",IF(G10&lt;=9,"Medium",IF(G10&lt;=15,"High","Critical"))))</f>
        <v/>
      </c>
      <c r="I10" s="14"/>
      <c r="J10" s="14"/>
      <c r="K10" s="13"/>
      <c r="L10" s="12"/>
      <c r="M10" s="11"/>
      <c r="N10" s="12"/>
      <c r="O10" s="14"/>
      <c r="Q10" s="1" t="str">
        <f aca="false">IF($H10="Low",$E10,"")</f>
        <v/>
      </c>
      <c r="R10" s="1" t="str">
        <f aca="false">IF($H10="Low",$F10,"")</f>
        <v/>
      </c>
      <c r="S10" s="1" t="str">
        <f aca="false">IF($H10="Medium",$E10,"")</f>
        <v/>
      </c>
      <c r="T10" s="1" t="str">
        <f aca="false">IF($H10="Medium",$F10,"")</f>
        <v/>
      </c>
      <c r="U10" s="1" t="str">
        <f aca="false">IF($H10="High",$E10,"")</f>
        <v/>
      </c>
      <c r="V10" s="1" t="str">
        <f aca="false">IF($H10="High",$F10,"")</f>
        <v/>
      </c>
      <c r="W10" s="1" t="str">
        <f aca="false">IF($H10="Critical",$E10,"")</f>
        <v/>
      </c>
      <c r="X10" s="1" t="str">
        <f aca="false">IF($H10="Critical",$F10,"")</f>
        <v/>
      </c>
    </row>
    <row r="11" customFormat="false" ht="30" hidden="false" customHeight="true" outlineLevel="0" collapsed="false">
      <c r="A11" s="11" t="str">
        <f aca="false">"R-"&amp;TEXT(ROW()-3,"000")</f>
        <v>R-008</v>
      </c>
      <c r="B11" s="12"/>
      <c r="C11" s="13"/>
      <c r="D11" s="14"/>
      <c r="E11" s="11"/>
      <c r="F11" s="11"/>
      <c r="G11" s="11" t="str">
        <f aca="false">IF(OR(E11="",F11=""),"",E11*F11)</f>
        <v/>
      </c>
      <c r="H11" s="11" t="str">
        <f aca="false">IF(G11="","",IF(G11&lt;=4,"Low",IF(G11&lt;=9,"Medium",IF(G11&lt;=15,"High","Critical"))))</f>
        <v/>
      </c>
      <c r="I11" s="14"/>
      <c r="J11" s="14"/>
      <c r="K11" s="13"/>
      <c r="L11" s="12"/>
      <c r="M11" s="11"/>
      <c r="N11" s="12"/>
      <c r="O11" s="14"/>
      <c r="Q11" s="1" t="str">
        <f aca="false">IF($H11="Low",$E11,"")</f>
        <v/>
      </c>
      <c r="R11" s="1" t="str">
        <f aca="false">IF($H11="Low",$F11,"")</f>
        <v/>
      </c>
      <c r="S11" s="1" t="str">
        <f aca="false">IF($H11="Medium",$E11,"")</f>
        <v/>
      </c>
      <c r="T11" s="1" t="str">
        <f aca="false">IF($H11="Medium",$F11,"")</f>
        <v/>
      </c>
      <c r="U11" s="1" t="str">
        <f aca="false">IF($H11="High",$E11,"")</f>
        <v/>
      </c>
      <c r="V11" s="1" t="str">
        <f aca="false">IF($H11="High",$F11,"")</f>
        <v/>
      </c>
      <c r="W11" s="1" t="str">
        <f aca="false">IF($H11="Critical",$E11,"")</f>
        <v/>
      </c>
      <c r="X11" s="1" t="str">
        <f aca="false">IF($H11="Critical",$F11,"")</f>
        <v/>
      </c>
    </row>
    <row r="12" customFormat="false" ht="30" hidden="false" customHeight="true" outlineLevel="0" collapsed="false">
      <c r="A12" s="11" t="str">
        <f aca="false">"R-"&amp;TEXT(ROW()-3,"000")</f>
        <v>R-009</v>
      </c>
      <c r="B12" s="12"/>
      <c r="C12" s="13"/>
      <c r="D12" s="14"/>
      <c r="E12" s="11"/>
      <c r="F12" s="11"/>
      <c r="G12" s="11" t="str">
        <f aca="false">IF(OR(E12="",F12=""),"",E12*F12)</f>
        <v/>
      </c>
      <c r="H12" s="11" t="str">
        <f aca="false">IF(G12="","",IF(G12&lt;=4,"Low",IF(G12&lt;=9,"Medium",IF(G12&lt;=15,"High","Critical"))))</f>
        <v/>
      </c>
      <c r="I12" s="14"/>
      <c r="J12" s="14"/>
      <c r="K12" s="13"/>
      <c r="L12" s="12"/>
      <c r="M12" s="11"/>
      <c r="N12" s="12"/>
      <c r="O12" s="14"/>
      <c r="Q12" s="1" t="str">
        <f aca="false">IF($H12="Low",$E12,"")</f>
        <v/>
      </c>
      <c r="R12" s="1" t="str">
        <f aca="false">IF($H12="Low",$F12,"")</f>
        <v/>
      </c>
      <c r="S12" s="1" t="str">
        <f aca="false">IF($H12="Medium",$E12,"")</f>
        <v/>
      </c>
      <c r="T12" s="1" t="str">
        <f aca="false">IF($H12="Medium",$F12,"")</f>
        <v/>
      </c>
      <c r="U12" s="1" t="str">
        <f aca="false">IF($H12="High",$E12,"")</f>
        <v/>
      </c>
      <c r="V12" s="1" t="str">
        <f aca="false">IF($H12="High",$F12,"")</f>
        <v/>
      </c>
      <c r="W12" s="1" t="str">
        <f aca="false">IF($H12="Critical",$E12,"")</f>
        <v/>
      </c>
      <c r="X12" s="1" t="str">
        <f aca="false">IF($H12="Critical",$F12,"")</f>
        <v/>
      </c>
    </row>
    <row r="13" customFormat="false" ht="30" hidden="false" customHeight="true" outlineLevel="0" collapsed="false">
      <c r="A13" s="11" t="str">
        <f aca="false">"R-"&amp;TEXT(ROW()-3,"000")</f>
        <v>R-010</v>
      </c>
      <c r="B13" s="12"/>
      <c r="C13" s="13"/>
      <c r="D13" s="14"/>
      <c r="E13" s="11"/>
      <c r="F13" s="11"/>
      <c r="G13" s="11" t="str">
        <f aca="false">IF(OR(E13="",F13=""),"",E13*F13)</f>
        <v/>
      </c>
      <c r="H13" s="11" t="str">
        <f aca="false">IF(G13="","",IF(G13&lt;=4,"Low",IF(G13&lt;=9,"Medium",IF(G13&lt;=15,"High","Critical"))))</f>
        <v/>
      </c>
      <c r="I13" s="14"/>
      <c r="J13" s="14"/>
      <c r="K13" s="13"/>
      <c r="L13" s="12"/>
      <c r="M13" s="11"/>
      <c r="N13" s="12"/>
      <c r="O13" s="14"/>
      <c r="Q13" s="1" t="str">
        <f aca="false">IF($H13="Low",$E13,"")</f>
        <v/>
      </c>
      <c r="R13" s="1" t="str">
        <f aca="false">IF($H13="Low",$F13,"")</f>
        <v/>
      </c>
      <c r="S13" s="1" t="str">
        <f aca="false">IF($H13="Medium",$E13,"")</f>
        <v/>
      </c>
      <c r="T13" s="1" t="str">
        <f aca="false">IF($H13="Medium",$F13,"")</f>
        <v/>
      </c>
      <c r="U13" s="1" t="str">
        <f aca="false">IF($H13="High",$E13,"")</f>
        <v/>
      </c>
      <c r="V13" s="1" t="str">
        <f aca="false">IF($H13="High",$F13,"")</f>
        <v/>
      </c>
      <c r="W13" s="1" t="str">
        <f aca="false">IF($H13="Critical",$E13,"")</f>
        <v/>
      </c>
      <c r="X13" s="1" t="str">
        <f aca="false">IF($H13="Critical",$F13,"")</f>
        <v/>
      </c>
    </row>
    <row r="14" customFormat="false" ht="30" hidden="false" customHeight="true" outlineLevel="0" collapsed="false">
      <c r="A14" s="11" t="str">
        <f aca="false">"R-"&amp;TEXT(ROW()-3,"000")</f>
        <v>R-011</v>
      </c>
      <c r="B14" s="12"/>
      <c r="C14" s="13"/>
      <c r="D14" s="14"/>
      <c r="E14" s="11"/>
      <c r="F14" s="11"/>
      <c r="G14" s="11" t="str">
        <f aca="false">IF(OR(E14="",F14=""),"",E14*F14)</f>
        <v/>
      </c>
      <c r="H14" s="11" t="str">
        <f aca="false">IF(G14="","",IF(G14&lt;=4,"Low",IF(G14&lt;=9,"Medium",IF(G14&lt;=15,"High","Critical"))))</f>
        <v/>
      </c>
      <c r="I14" s="14"/>
      <c r="J14" s="14"/>
      <c r="K14" s="13"/>
      <c r="L14" s="12"/>
      <c r="M14" s="11"/>
      <c r="N14" s="12"/>
      <c r="O14" s="14"/>
      <c r="Q14" s="1" t="str">
        <f aca="false">IF($H14="Low",$E14,"")</f>
        <v/>
      </c>
      <c r="R14" s="1" t="str">
        <f aca="false">IF($H14="Low",$F14,"")</f>
        <v/>
      </c>
      <c r="S14" s="1" t="str">
        <f aca="false">IF($H14="Medium",$E14,"")</f>
        <v/>
      </c>
      <c r="T14" s="1" t="str">
        <f aca="false">IF($H14="Medium",$F14,"")</f>
        <v/>
      </c>
      <c r="U14" s="1" t="str">
        <f aca="false">IF($H14="High",$E14,"")</f>
        <v/>
      </c>
      <c r="V14" s="1" t="str">
        <f aca="false">IF($H14="High",$F14,"")</f>
        <v/>
      </c>
      <c r="W14" s="1" t="str">
        <f aca="false">IF($H14="Critical",$E14,"")</f>
        <v/>
      </c>
      <c r="X14" s="1" t="str">
        <f aca="false">IF($H14="Critical",$F14,"")</f>
        <v/>
      </c>
    </row>
    <row r="15" customFormat="false" ht="30" hidden="false" customHeight="true" outlineLevel="0" collapsed="false">
      <c r="A15" s="11" t="str">
        <f aca="false">"R-"&amp;TEXT(ROW()-3,"000")</f>
        <v>R-012</v>
      </c>
      <c r="B15" s="12"/>
      <c r="C15" s="13"/>
      <c r="D15" s="14"/>
      <c r="E15" s="11"/>
      <c r="F15" s="11"/>
      <c r="G15" s="11" t="str">
        <f aca="false">IF(OR(E15="",F15=""),"",E15*F15)</f>
        <v/>
      </c>
      <c r="H15" s="11" t="str">
        <f aca="false">IF(G15="","",IF(G15&lt;=4,"Low",IF(G15&lt;=9,"Medium",IF(G15&lt;=15,"High","Critical"))))</f>
        <v/>
      </c>
      <c r="I15" s="14"/>
      <c r="J15" s="14"/>
      <c r="K15" s="13"/>
      <c r="L15" s="12"/>
      <c r="M15" s="11"/>
      <c r="N15" s="12"/>
      <c r="O15" s="14"/>
      <c r="Q15" s="1" t="str">
        <f aca="false">IF($H15="Low",$E15,"")</f>
        <v/>
      </c>
      <c r="R15" s="1" t="str">
        <f aca="false">IF($H15="Low",$F15,"")</f>
        <v/>
      </c>
      <c r="S15" s="1" t="str">
        <f aca="false">IF($H15="Medium",$E15,"")</f>
        <v/>
      </c>
      <c r="T15" s="1" t="str">
        <f aca="false">IF($H15="Medium",$F15,"")</f>
        <v/>
      </c>
      <c r="U15" s="1" t="str">
        <f aca="false">IF($H15="High",$E15,"")</f>
        <v/>
      </c>
      <c r="V15" s="1" t="str">
        <f aca="false">IF($H15="High",$F15,"")</f>
        <v/>
      </c>
      <c r="W15" s="1" t="str">
        <f aca="false">IF($H15="Critical",$E15,"")</f>
        <v/>
      </c>
      <c r="X15" s="1" t="str">
        <f aca="false">IF($H15="Critical",$F15,"")</f>
        <v/>
      </c>
    </row>
    <row r="16" customFormat="false" ht="30" hidden="false" customHeight="true" outlineLevel="0" collapsed="false">
      <c r="A16" s="11" t="str">
        <f aca="false">"R-"&amp;TEXT(ROW()-3,"000")</f>
        <v>R-013</v>
      </c>
      <c r="B16" s="12"/>
      <c r="C16" s="13"/>
      <c r="D16" s="14"/>
      <c r="E16" s="11"/>
      <c r="F16" s="11"/>
      <c r="G16" s="11" t="str">
        <f aca="false">IF(OR(E16="",F16=""),"",E16*F16)</f>
        <v/>
      </c>
      <c r="H16" s="11" t="str">
        <f aca="false">IF(G16="","",IF(G16&lt;=4,"Low",IF(G16&lt;=9,"Medium",IF(G16&lt;=15,"High","Critical"))))</f>
        <v/>
      </c>
      <c r="I16" s="14"/>
      <c r="J16" s="14"/>
      <c r="K16" s="13"/>
      <c r="L16" s="12"/>
      <c r="M16" s="11"/>
      <c r="N16" s="12"/>
      <c r="O16" s="14"/>
      <c r="Q16" s="1" t="str">
        <f aca="false">IF($H16="Low",$E16,"")</f>
        <v/>
      </c>
      <c r="R16" s="1" t="str">
        <f aca="false">IF($H16="Low",$F16,"")</f>
        <v/>
      </c>
      <c r="S16" s="1" t="str">
        <f aca="false">IF($H16="Medium",$E16,"")</f>
        <v/>
      </c>
      <c r="T16" s="1" t="str">
        <f aca="false">IF($H16="Medium",$F16,"")</f>
        <v/>
      </c>
      <c r="U16" s="1" t="str">
        <f aca="false">IF($H16="High",$E16,"")</f>
        <v/>
      </c>
      <c r="V16" s="1" t="str">
        <f aca="false">IF($H16="High",$F16,"")</f>
        <v/>
      </c>
      <c r="W16" s="1" t="str">
        <f aca="false">IF($H16="Critical",$E16,"")</f>
        <v/>
      </c>
      <c r="X16" s="1" t="str">
        <f aca="false">IF($H16="Critical",$F16,"")</f>
        <v/>
      </c>
    </row>
    <row r="17" customFormat="false" ht="30" hidden="false" customHeight="true" outlineLevel="0" collapsed="false">
      <c r="A17" s="11" t="str">
        <f aca="false">"R-"&amp;TEXT(ROW()-3,"000")</f>
        <v>R-014</v>
      </c>
      <c r="B17" s="12"/>
      <c r="C17" s="13"/>
      <c r="D17" s="14"/>
      <c r="E17" s="11"/>
      <c r="F17" s="11"/>
      <c r="G17" s="11" t="str">
        <f aca="false">IF(OR(E17="",F17=""),"",E17*F17)</f>
        <v/>
      </c>
      <c r="H17" s="11" t="str">
        <f aca="false">IF(G17="","",IF(G17&lt;=4,"Low",IF(G17&lt;=9,"Medium",IF(G17&lt;=15,"High","Critical"))))</f>
        <v/>
      </c>
      <c r="I17" s="14"/>
      <c r="J17" s="14"/>
      <c r="K17" s="13"/>
      <c r="L17" s="12"/>
      <c r="M17" s="11"/>
      <c r="N17" s="12"/>
      <c r="O17" s="14"/>
      <c r="Q17" s="1" t="str">
        <f aca="false">IF($H17="Low",$E17,"")</f>
        <v/>
      </c>
      <c r="R17" s="1" t="str">
        <f aca="false">IF($H17="Low",$F17,"")</f>
        <v/>
      </c>
      <c r="S17" s="1" t="str">
        <f aca="false">IF($H17="Medium",$E17,"")</f>
        <v/>
      </c>
      <c r="T17" s="1" t="str">
        <f aca="false">IF($H17="Medium",$F17,"")</f>
        <v/>
      </c>
      <c r="U17" s="1" t="str">
        <f aca="false">IF($H17="High",$E17,"")</f>
        <v/>
      </c>
      <c r="V17" s="1" t="str">
        <f aca="false">IF($H17="High",$F17,"")</f>
        <v/>
      </c>
      <c r="W17" s="1" t="str">
        <f aca="false">IF($H17="Critical",$E17,"")</f>
        <v/>
      </c>
      <c r="X17" s="1" t="str">
        <f aca="false">IF($H17="Critical",$F17,"")</f>
        <v/>
      </c>
    </row>
    <row r="18" customFormat="false" ht="30" hidden="false" customHeight="true" outlineLevel="0" collapsed="false">
      <c r="A18" s="11" t="str">
        <f aca="false">"R-"&amp;TEXT(ROW()-3,"000")</f>
        <v>R-015</v>
      </c>
      <c r="B18" s="12"/>
      <c r="C18" s="13"/>
      <c r="D18" s="14"/>
      <c r="E18" s="11"/>
      <c r="F18" s="11"/>
      <c r="G18" s="11" t="str">
        <f aca="false">IF(OR(E18="",F18=""),"",E18*F18)</f>
        <v/>
      </c>
      <c r="H18" s="11" t="str">
        <f aca="false">IF(G18="","",IF(G18&lt;=4,"Low",IF(G18&lt;=9,"Medium",IF(G18&lt;=15,"High","Critical"))))</f>
        <v/>
      </c>
      <c r="I18" s="14"/>
      <c r="J18" s="14"/>
      <c r="K18" s="13"/>
      <c r="L18" s="12"/>
      <c r="M18" s="11"/>
      <c r="N18" s="12"/>
      <c r="O18" s="14"/>
      <c r="Q18" s="1" t="str">
        <f aca="false">IF($H18="Low",$E18,"")</f>
        <v/>
      </c>
      <c r="R18" s="1" t="str">
        <f aca="false">IF($H18="Low",$F18,"")</f>
        <v/>
      </c>
      <c r="S18" s="1" t="str">
        <f aca="false">IF($H18="Medium",$E18,"")</f>
        <v/>
      </c>
      <c r="T18" s="1" t="str">
        <f aca="false">IF($H18="Medium",$F18,"")</f>
        <v/>
      </c>
      <c r="U18" s="1" t="str">
        <f aca="false">IF($H18="High",$E18,"")</f>
        <v/>
      </c>
      <c r="V18" s="1" t="str">
        <f aca="false">IF($H18="High",$F18,"")</f>
        <v/>
      </c>
      <c r="W18" s="1" t="str">
        <f aca="false">IF($H18="Critical",$E18,"")</f>
        <v/>
      </c>
      <c r="X18" s="1" t="str">
        <f aca="false">IF($H18="Critical",$F18,"")</f>
        <v/>
      </c>
    </row>
    <row r="19" customFormat="false" ht="30" hidden="false" customHeight="true" outlineLevel="0" collapsed="false">
      <c r="A19" s="11" t="str">
        <f aca="false">"R-"&amp;TEXT(ROW()-3,"000")</f>
        <v>R-016</v>
      </c>
      <c r="B19" s="12"/>
      <c r="C19" s="13"/>
      <c r="D19" s="14"/>
      <c r="E19" s="11"/>
      <c r="F19" s="11"/>
      <c r="G19" s="11" t="str">
        <f aca="false">IF(OR(E19="",F19=""),"",E19*F19)</f>
        <v/>
      </c>
      <c r="H19" s="11" t="str">
        <f aca="false">IF(G19="","",IF(G19&lt;=4,"Low",IF(G19&lt;=9,"Medium",IF(G19&lt;=15,"High","Critical"))))</f>
        <v/>
      </c>
      <c r="I19" s="14"/>
      <c r="J19" s="14"/>
      <c r="K19" s="13"/>
      <c r="L19" s="12"/>
      <c r="M19" s="11"/>
      <c r="N19" s="12"/>
      <c r="O19" s="14"/>
      <c r="Q19" s="1" t="str">
        <f aca="false">IF($H19="Low",$E19,"")</f>
        <v/>
      </c>
      <c r="R19" s="1" t="str">
        <f aca="false">IF($H19="Low",$F19,"")</f>
        <v/>
      </c>
      <c r="S19" s="1" t="str">
        <f aca="false">IF($H19="Medium",$E19,"")</f>
        <v/>
      </c>
      <c r="T19" s="1" t="str">
        <f aca="false">IF($H19="Medium",$F19,"")</f>
        <v/>
      </c>
      <c r="U19" s="1" t="str">
        <f aca="false">IF($H19="High",$E19,"")</f>
        <v/>
      </c>
      <c r="V19" s="1" t="str">
        <f aca="false">IF($H19="High",$F19,"")</f>
        <v/>
      </c>
      <c r="W19" s="1" t="str">
        <f aca="false">IF($H19="Critical",$E19,"")</f>
        <v/>
      </c>
      <c r="X19" s="1" t="str">
        <f aca="false">IF($H19="Critical",$F19,"")</f>
        <v/>
      </c>
    </row>
    <row r="20" customFormat="false" ht="30" hidden="false" customHeight="true" outlineLevel="0" collapsed="false">
      <c r="A20" s="11" t="str">
        <f aca="false">"R-"&amp;TEXT(ROW()-3,"000")</f>
        <v>R-017</v>
      </c>
      <c r="B20" s="12"/>
      <c r="C20" s="13"/>
      <c r="D20" s="14"/>
      <c r="E20" s="11"/>
      <c r="F20" s="11"/>
      <c r="G20" s="11" t="str">
        <f aca="false">IF(OR(E20="",F20=""),"",E20*F20)</f>
        <v/>
      </c>
      <c r="H20" s="11" t="str">
        <f aca="false">IF(G20="","",IF(G20&lt;=4,"Low",IF(G20&lt;=9,"Medium",IF(G20&lt;=15,"High","Critical"))))</f>
        <v/>
      </c>
      <c r="I20" s="14"/>
      <c r="J20" s="14"/>
      <c r="K20" s="13"/>
      <c r="L20" s="12"/>
      <c r="M20" s="11"/>
      <c r="N20" s="12"/>
      <c r="O20" s="14"/>
      <c r="Q20" s="1" t="str">
        <f aca="false">IF($H20="Low",$E20,"")</f>
        <v/>
      </c>
      <c r="R20" s="1" t="str">
        <f aca="false">IF($H20="Low",$F20,"")</f>
        <v/>
      </c>
      <c r="S20" s="1" t="str">
        <f aca="false">IF($H20="Medium",$E20,"")</f>
        <v/>
      </c>
      <c r="T20" s="1" t="str">
        <f aca="false">IF($H20="Medium",$F20,"")</f>
        <v/>
      </c>
      <c r="U20" s="1" t="str">
        <f aca="false">IF($H20="High",$E20,"")</f>
        <v/>
      </c>
      <c r="V20" s="1" t="str">
        <f aca="false">IF($H20="High",$F20,"")</f>
        <v/>
      </c>
      <c r="W20" s="1" t="str">
        <f aca="false">IF($H20="Critical",$E20,"")</f>
        <v/>
      </c>
      <c r="X20" s="1" t="str">
        <f aca="false">IF($H20="Critical",$F20,"")</f>
        <v/>
      </c>
    </row>
    <row r="21" customFormat="false" ht="30" hidden="false" customHeight="true" outlineLevel="0" collapsed="false">
      <c r="A21" s="11" t="str">
        <f aca="false">"R-"&amp;TEXT(ROW()-3,"000")</f>
        <v>R-018</v>
      </c>
      <c r="B21" s="12"/>
      <c r="C21" s="13"/>
      <c r="D21" s="14"/>
      <c r="E21" s="11"/>
      <c r="F21" s="11"/>
      <c r="G21" s="11" t="str">
        <f aca="false">IF(OR(E21="",F21=""),"",E21*F21)</f>
        <v/>
      </c>
      <c r="H21" s="11" t="str">
        <f aca="false">IF(G21="","",IF(G21&lt;=4,"Low",IF(G21&lt;=9,"Medium",IF(G21&lt;=15,"High","Critical"))))</f>
        <v/>
      </c>
      <c r="I21" s="14"/>
      <c r="J21" s="14"/>
      <c r="K21" s="13"/>
      <c r="L21" s="12"/>
      <c r="M21" s="11"/>
      <c r="N21" s="12"/>
      <c r="O21" s="14"/>
      <c r="Q21" s="1" t="str">
        <f aca="false">IF($H21="Low",$E21,"")</f>
        <v/>
      </c>
      <c r="R21" s="1" t="str">
        <f aca="false">IF($H21="Low",$F21,"")</f>
        <v/>
      </c>
      <c r="S21" s="1" t="str">
        <f aca="false">IF($H21="Medium",$E21,"")</f>
        <v/>
      </c>
      <c r="T21" s="1" t="str">
        <f aca="false">IF($H21="Medium",$F21,"")</f>
        <v/>
      </c>
      <c r="U21" s="1" t="str">
        <f aca="false">IF($H21="High",$E21,"")</f>
        <v/>
      </c>
      <c r="V21" s="1" t="str">
        <f aca="false">IF($H21="High",$F21,"")</f>
        <v/>
      </c>
      <c r="W21" s="1" t="str">
        <f aca="false">IF($H21="Critical",$E21,"")</f>
        <v/>
      </c>
      <c r="X21" s="1" t="str">
        <f aca="false">IF($H21="Critical",$F21,"")</f>
        <v/>
      </c>
    </row>
    <row r="22" customFormat="false" ht="30" hidden="false" customHeight="true" outlineLevel="0" collapsed="false">
      <c r="A22" s="11" t="str">
        <f aca="false">"R-"&amp;TEXT(ROW()-3,"000")</f>
        <v>R-019</v>
      </c>
      <c r="B22" s="12"/>
      <c r="C22" s="13"/>
      <c r="D22" s="14"/>
      <c r="E22" s="11"/>
      <c r="F22" s="11"/>
      <c r="G22" s="11" t="str">
        <f aca="false">IF(OR(E22="",F22=""),"",E22*F22)</f>
        <v/>
      </c>
      <c r="H22" s="11" t="str">
        <f aca="false">IF(G22="","",IF(G22&lt;=4,"Low",IF(G22&lt;=9,"Medium",IF(G22&lt;=15,"High","Critical"))))</f>
        <v/>
      </c>
      <c r="I22" s="14"/>
      <c r="J22" s="14"/>
      <c r="K22" s="13"/>
      <c r="L22" s="12"/>
      <c r="M22" s="11"/>
      <c r="N22" s="12"/>
      <c r="O22" s="14"/>
      <c r="Q22" s="1" t="str">
        <f aca="false">IF($H22="Low",$E22,"")</f>
        <v/>
      </c>
      <c r="R22" s="1" t="str">
        <f aca="false">IF($H22="Low",$F22,"")</f>
        <v/>
      </c>
      <c r="S22" s="1" t="str">
        <f aca="false">IF($H22="Medium",$E22,"")</f>
        <v/>
      </c>
      <c r="T22" s="1" t="str">
        <f aca="false">IF($H22="Medium",$F22,"")</f>
        <v/>
      </c>
      <c r="U22" s="1" t="str">
        <f aca="false">IF($H22="High",$E22,"")</f>
        <v/>
      </c>
      <c r="V22" s="1" t="str">
        <f aca="false">IF($H22="High",$F22,"")</f>
        <v/>
      </c>
      <c r="W22" s="1" t="str">
        <f aca="false">IF($H22="Critical",$E22,"")</f>
        <v/>
      </c>
      <c r="X22" s="1" t="str">
        <f aca="false">IF($H22="Critical",$F22,"")</f>
        <v/>
      </c>
    </row>
    <row r="23" customFormat="false" ht="30" hidden="false" customHeight="true" outlineLevel="0" collapsed="false">
      <c r="A23" s="11" t="str">
        <f aca="false">"R-"&amp;TEXT(ROW()-3,"000")</f>
        <v>R-020</v>
      </c>
      <c r="B23" s="12"/>
      <c r="C23" s="13"/>
      <c r="D23" s="14"/>
      <c r="E23" s="11"/>
      <c r="F23" s="11"/>
      <c r="G23" s="11" t="str">
        <f aca="false">IF(OR(E23="",F23=""),"",E23*F23)</f>
        <v/>
      </c>
      <c r="H23" s="11" t="str">
        <f aca="false">IF(G23="","",IF(G23&lt;=4,"Low",IF(G23&lt;=9,"Medium",IF(G23&lt;=15,"High","Critical"))))</f>
        <v/>
      </c>
      <c r="I23" s="14"/>
      <c r="J23" s="14"/>
      <c r="K23" s="13"/>
      <c r="L23" s="12"/>
      <c r="M23" s="11"/>
      <c r="N23" s="12"/>
      <c r="O23" s="14"/>
      <c r="Q23" s="1" t="str">
        <f aca="false">IF($H23="Low",$E23,"")</f>
        <v/>
      </c>
      <c r="R23" s="1" t="str">
        <f aca="false">IF($H23="Low",$F23,"")</f>
        <v/>
      </c>
      <c r="S23" s="1" t="str">
        <f aca="false">IF($H23="Medium",$E23,"")</f>
        <v/>
      </c>
      <c r="T23" s="1" t="str">
        <f aca="false">IF($H23="Medium",$F23,"")</f>
        <v/>
      </c>
      <c r="U23" s="1" t="str">
        <f aca="false">IF($H23="High",$E23,"")</f>
        <v/>
      </c>
      <c r="V23" s="1" t="str">
        <f aca="false">IF($H23="High",$F23,"")</f>
        <v/>
      </c>
      <c r="W23" s="1" t="str">
        <f aca="false">IF($H23="Critical",$E23,"")</f>
        <v/>
      </c>
      <c r="X23" s="1" t="str">
        <f aca="false">IF($H23="Critical",$F23,"")</f>
        <v/>
      </c>
    </row>
    <row r="24" customFormat="false" ht="30" hidden="false" customHeight="true" outlineLevel="0" collapsed="false">
      <c r="A24" s="11" t="str">
        <f aca="false">"R-"&amp;TEXT(ROW()-3,"000")</f>
        <v>R-021</v>
      </c>
      <c r="B24" s="12"/>
      <c r="C24" s="13"/>
      <c r="D24" s="14"/>
      <c r="E24" s="11"/>
      <c r="F24" s="11"/>
      <c r="G24" s="11" t="str">
        <f aca="false">IF(OR(E24="",F24=""),"",E24*F24)</f>
        <v/>
      </c>
      <c r="H24" s="11" t="str">
        <f aca="false">IF(G24="","",IF(G24&lt;=4,"Low",IF(G24&lt;=9,"Medium",IF(G24&lt;=15,"High","Critical"))))</f>
        <v/>
      </c>
      <c r="I24" s="14"/>
      <c r="J24" s="14"/>
      <c r="K24" s="13"/>
      <c r="L24" s="12"/>
      <c r="M24" s="11"/>
      <c r="N24" s="12"/>
      <c r="O24" s="14"/>
      <c r="Q24" s="1" t="str">
        <f aca="false">IF($H24="Low",$E24,"")</f>
        <v/>
      </c>
      <c r="R24" s="1" t="str">
        <f aca="false">IF($H24="Low",$F24,"")</f>
        <v/>
      </c>
      <c r="S24" s="1" t="str">
        <f aca="false">IF($H24="Medium",$E24,"")</f>
        <v/>
      </c>
      <c r="T24" s="1" t="str">
        <f aca="false">IF($H24="Medium",$F24,"")</f>
        <v/>
      </c>
      <c r="U24" s="1" t="str">
        <f aca="false">IF($H24="High",$E24,"")</f>
        <v/>
      </c>
      <c r="V24" s="1" t="str">
        <f aca="false">IF($H24="High",$F24,"")</f>
        <v/>
      </c>
      <c r="W24" s="1" t="str">
        <f aca="false">IF($H24="Critical",$E24,"")</f>
        <v/>
      </c>
      <c r="X24" s="1" t="str">
        <f aca="false">IF($H24="Critical",$F24,"")</f>
        <v/>
      </c>
    </row>
    <row r="25" customFormat="false" ht="30" hidden="false" customHeight="true" outlineLevel="0" collapsed="false">
      <c r="A25" s="11" t="str">
        <f aca="false">"R-"&amp;TEXT(ROW()-3,"000")</f>
        <v>R-022</v>
      </c>
      <c r="B25" s="12"/>
      <c r="C25" s="13"/>
      <c r="D25" s="14"/>
      <c r="E25" s="11"/>
      <c r="F25" s="11"/>
      <c r="G25" s="11" t="str">
        <f aca="false">IF(OR(E25="",F25=""),"",E25*F25)</f>
        <v/>
      </c>
      <c r="H25" s="11" t="str">
        <f aca="false">IF(G25="","",IF(G25&lt;=4,"Low",IF(G25&lt;=9,"Medium",IF(G25&lt;=15,"High","Critical"))))</f>
        <v/>
      </c>
      <c r="I25" s="14"/>
      <c r="J25" s="14"/>
      <c r="K25" s="13"/>
      <c r="L25" s="12"/>
      <c r="M25" s="11"/>
      <c r="N25" s="12"/>
      <c r="O25" s="14"/>
      <c r="Q25" s="1" t="str">
        <f aca="false">IF($H25="Low",$E25,"")</f>
        <v/>
      </c>
      <c r="R25" s="1" t="str">
        <f aca="false">IF($H25="Low",$F25,"")</f>
        <v/>
      </c>
      <c r="S25" s="1" t="str">
        <f aca="false">IF($H25="Medium",$E25,"")</f>
        <v/>
      </c>
      <c r="T25" s="1" t="str">
        <f aca="false">IF($H25="Medium",$F25,"")</f>
        <v/>
      </c>
      <c r="U25" s="1" t="str">
        <f aca="false">IF($H25="High",$E25,"")</f>
        <v/>
      </c>
      <c r="V25" s="1" t="str">
        <f aca="false">IF($H25="High",$F25,"")</f>
        <v/>
      </c>
      <c r="W25" s="1" t="str">
        <f aca="false">IF($H25="Critical",$E25,"")</f>
        <v/>
      </c>
      <c r="X25" s="1" t="str">
        <f aca="false">IF($H25="Critical",$F25,"")</f>
        <v/>
      </c>
    </row>
    <row r="26" customFormat="false" ht="30" hidden="false" customHeight="true" outlineLevel="0" collapsed="false">
      <c r="A26" s="11" t="str">
        <f aca="false">"R-"&amp;TEXT(ROW()-3,"000")</f>
        <v>R-023</v>
      </c>
      <c r="B26" s="12"/>
      <c r="C26" s="13"/>
      <c r="D26" s="14"/>
      <c r="E26" s="11"/>
      <c r="F26" s="11"/>
      <c r="G26" s="11" t="str">
        <f aca="false">IF(OR(E26="",F26=""),"",E26*F26)</f>
        <v/>
      </c>
      <c r="H26" s="11" t="str">
        <f aca="false">IF(G26="","",IF(G26&lt;=4,"Low",IF(G26&lt;=9,"Medium",IF(G26&lt;=15,"High","Critical"))))</f>
        <v/>
      </c>
      <c r="I26" s="14"/>
      <c r="J26" s="14"/>
      <c r="K26" s="13"/>
      <c r="L26" s="12"/>
      <c r="M26" s="11"/>
      <c r="N26" s="12"/>
      <c r="O26" s="14"/>
      <c r="Q26" s="1" t="str">
        <f aca="false">IF($H26="Low",$E26,"")</f>
        <v/>
      </c>
      <c r="R26" s="1" t="str">
        <f aca="false">IF($H26="Low",$F26,"")</f>
        <v/>
      </c>
      <c r="S26" s="1" t="str">
        <f aca="false">IF($H26="Medium",$E26,"")</f>
        <v/>
      </c>
      <c r="T26" s="1" t="str">
        <f aca="false">IF($H26="Medium",$F26,"")</f>
        <v/>
      </c>
      <c r="U26" s="1" t="str">
        <f aca="false">IF($H26="High",$E26,"")</f>
        <v/>
      </c>
      <c r="V26" s="1" t="str">
        <f aca="false">IF($H26="High",$F26,"")</f>
        <v/>
      </c>
      <c r="W26" s="1" t="str">
        <f aca="false">IF($H26="Critical",$E26,"")</f>
        <v/>
      </c>
      <c r="X26" s="1" t="str">
        <f aca="false">IF($H26="Critical",$F26,"")</f>
        <v/>
      </c>
    </row>
    <row r="27" customFormat="false" ht="30" hidden="false" customHeight="true" outlineLevel="0" collapsed="false">
      <c r="A27" s="11" t="str">
        <f aca="false">"R-"&amp;TEXT(ROW()-3,"000")</f>
        <v>R-024</v>
      </c>
      <c r="B27" s="12"/>
      <c r="C27" s="13"/>
      <c r="D27" s="14"/>
      <c r="E27" s="11"/>
      <c r="F27" s="11"/>
      <c r="G27" s="11" t="str">
        <f aca="false">IF(OR(E27="",F27=""),"",E27*F27)</f>
        <v/>
      </c>
      <c r="H27" s="11" t="str">
        <f aca="false">IF(G27="","",IF(G27&lt;=4,"Low",IF(G27&lt;=9,"Medium",IF(G27&lt;=15,"High","Critical"))))</f>
        <v/>
      </c>
      <c r="I27" s="14"/>
      <c r="J27" s="14"/>
      <c r="K27" s="13"/>
      <c r="L27" s="12"/>
      <c r="M27" s="11"/>
      <c r="N27" s="12"/>
      <c r="O27" s="14"/>
      <c r="Q27" s="1" t="str">
        <f aca="false">IF($H27="Low",$E27,"")</f>
        <v/>
      </c>
      <c r="R27" s="1" t="str">
        <f aca="false">IF($H27="Low",$F27,"")</f>
        <v/>
      </c>
      <c r="S27" s="1" t="str">
        <f aca="false">IF($H27="Medium",$E27,"")</f>
        <v/>
      </c>
      <c r="T27" s="1" t="str">
        <f aca="false">IF($H27="Medium",$F27,"")</f>
        <v/>
      </c>
      <c r="U27" s="1" t="str">
        <f aca="false">IF($H27="High",$E27,"")</f>
        <v/>
      </c>
      <c r="V27" s="1" t="str">
        <f aca="false">IF($H27="High",$F27,"")</f>
        <v/>
      </c>
      <c r="W27" s="1" t="str">
        <f aca="false">IF($H27="Critical",$E27,"")</f>
        <v/>
      </c>
      <c r="X27" s="1" t="str">
        <f aca="false">IF($H27="Critical",$F27,"")</f>
        <v/>
      </c>
    </row>
    <row r="28" customFormat="false" ht="30" hidden="false" customHeight="true" outlineLevel="0" collapsed="false">
      <c r="A28" s="11" t="str">
        <f aca="false">"R-"&amp;TEXT(ROW()-3,"000")</f>
        <v>R-025</v>
      </c>
      <c r="B28" s="12"/>
      <c r="C28" s="13"/>
      <c r="D28" s="14"/>
      <c r="E28" s="11"/>
      <c r="F28" s="11"/>
      <c r="G28" s="11" t="str">
        <f aca="false">IF(OR(E28="",F28=""),"",E28*F28)</f>
        <v/>
      </c>
      <c r="H28" s="11" t="str">
        <f aca="false">IF(G28="","",IF(G28&lt;=4,"Low",IF(G28&lt;=9,"Medium",IF(G28&lt;=15,"High","Critical"))))</f>
        <v/>
      </c>
      <c r="I28" s="14"/>
      <c r="J28" s="14"/>
      <c r="K28" s="13"/>
      <c r="L28" s="12"/>
      <c r="M28" s="11"/>
      <c r="N28" s="12"/>
      <c r="O28" s="14"/>
      <c r="Q28" s="1" t="str">
        <f aca="false">IF($H28="Low",$E28,"")</f>
        <v/>
      </c>
      <c r="R28" s="1" t="str">
        <f aca="false">IF($H28="Low",$F28,"")</f>
        <v/>
      </c>
      <c r="S28" s="1" t="str">
        <f aca="false">IF($H28="Medium",$E28,"")</f>
        <v/>
      </c>
      <c r="T28" s="1" t="str">
        <f aca="false">IF($H28="Medium",$F28,"")</f>
        <v/>
      </c>
      <c r="U28" s="1" t="str">
        <f aca="false">IF($H28="High",$E28,"")</f>
        <v/>
      </c>
      <c r="V28" s="1" t="str">
        <f aca="false">IF($H28="High",$F28,"")</f>
        <v/>
      </c>
      <c r="W28" s="1" t="str">
        <f aca="false">IF($H28="Critical",$E28,"")</f>
        <v/>
      </c>
      <c r="X28" s="1" t="str">
        <f aca="false">IF($H28="Critical",$F28,"")</f>
        <v/>
      </c>
    </row>
    <row r="29" customFormat="false" ht="30" hidden="false" customHeight="true" outlineLevel="0" collapsed="false">
      <c r="A29" s="11" t="str">
        <f aca="false">"R-"&amp;TEXT(ROW()-3,"000")</f>
        <v>R-026</v>
      </c>
      <c r="B29" s="12"/>
      <c r="C29" s="13"/>
      <c r="D29" s="14"/>
      <c r="E29" s="11"/>
      <c r="F29" s="11"/>
      <c r="G29" s="11" t="str">
        <f aca="false">IF(OR(E29="",F29=""),"",E29*F29)</f>
        <v/>
      </c>
      <c r="H29" s="11" t="str">
        <f aca="false">IF(G29="","",IF(G29&lt;=4,"Low",IF(G29&lt;=9,"Medium",IF(G29&lt;=15,"High","Critical"))))</f>
        <v/>
      </c>
      <c r="I29" s="14"/>
      <c r="J29" s="14"/>
      <c r="K29" s="13"/>
      <c r="L29" s="12"/>
      <c r="M29" s="11"/>
      <c r="N29" s="12"/>
      <c r="O29" s="14"/>
      <c r="Q29" s="1" t="str">
        <f aca="false">IF($H29="Low",$E29,"")</f>
        <v/>
      </c>
      <c r="R29" s="1" t="str">
        <f aca="false">IF($H29="Low",$F29,"")</f>
        <v/>
      </c>
      <c r="S29" s="1" t="str">
        <f aca="false">IF($H29="Medium",$E29,"")</f>
        <v/>
      </c>
      <c r="T29" s="1" t="str">
        <f aca="false">IF($H29="Medium",$F29,"")</f>
        <v/>
      </c>
      <c r="U29" s="1" t="str">
        <f aca="false">IF($H29="High",$E29,"")</f>
        <v/>
      </c>
      <c r="V29" s="1" t="str">
        <f aca="false">IF($H29="High",$F29,"")</f>
        <v/>
      </c>
      <c r="W29" s="1" t="str">
        <f aca="false">IF($H29="Critical",$E29,"")</f>
        <v/>
      </c>
      <c r="X29" s="1" t="str">
        <f aca="false">IF($H29="Critical",$F29,"")</f>
        <v/>
      </c>
    </row>
    <row r="30" customFormat="false" ht="30" hidden="false" customHeight="true" outlineLevel="0" collapsed="false">
      <c r="A30" s="11" t="str">
        <f aca="false">"R-"&amp;TEXT(ROW()-3,"000")</f>
        <v>R-027</v>
      </c>
      <c r="B30" s="12"/>
      <c r="C30" s="13"/>
      <c r="D30" s="14"/>
      <c r="E30" s="11"/>
      <c r="F30" s="11"/>
      <c r="G30" s="11" t="str">
        <f aca="false">IF(OR(E30="",F30=""),"",E30*F30)</f>
        <v/>
      </c>
      <c r="H30" s="11" t="str">
        <f aca="false">IF(G30="","",IF(G30&lt;=4,"Low",IF(G30&lt;=9,"Medium",IF(G30&lt;=15,"High","Critical"))))</f>
        <v/>
      </c>
      <c r="I30" s="14"/>
      <c r="J30" s="14"/>
      <c r="K30" s="13"/>
      <c r="L30" s="12"/>
      <c r="M30" s="11"/>
      <c r="N30" s="12"/>
      <c r="O30" s="14"/>
      <c r="Q30" s="1" t="str">
        <f aca="false">IF($H30="Low",$E30,"")</f>
        <v/>
      </c>
      <c r="R30" s="1" t="str">
        <f aca="false">IF($H30="Low",$F30,"")</f>
        <v/>
      </c>
      <c r="S30" s="1" t="str">
        <f aca="false">IF($H30="Medium",$E30,"")</f>
        <v/>
      </c>
      <c r="T30" s="1" t="str">
        <f aca="false">IF($H30="Medium",$F30,"")</f>
        <v/>
      </c>
      <c r="U30" s="1" t="str">
        <f aca="false">IF($H30="High",$E30,"")</f>
        <v/>
      </c>
      <c r="V30" s="1" t="str">
        <f aca="false">IF($H30="High",$F30,"")</f>
        <v/>
      </c>
      <c r="W30" s="1" t="str">
        <f aca="false">IF($H30="Critical",$E30,"")</f>
        <v/>
      </c>
      <c r="X30" s="1" t="str">
        <f aca="false">IF($H30="Critical",$F30,"")</f>
        <v/>
      </c>
    </row>
    <row r="31" customFormat="false" ht="30" hidden="false" customHeight="true" outlineLevel="0" collapsed="false">
      <c r="A31" s="11" t="str">
        <f aca="false">"R-"&amp;TEXT(ROW()-3,"000")</f>
        <v>R-028</v>
      </c>
      <c r="B31" s="12"/>
      <c r="C31" s="13"/>
      <c r="D31" s="14"/>
      <c r="E31" s="11"/>
      <c r="F31" s="11"/>
      <c r="G31" s="11" t="str">
        <f aca="false">IF(OR(E31="",F31=""),"",E31*F31)</f>
        <v/>
      </c>
      <c r="H31" s="11" t="str">
        <f aca="false">IF(G31="","",IF(G31&lt;=4,"Low",IF(G31&lt;=9,"Medium",IF(G31&lt;=15,"High","Critical"))))</f>
        <v/>
      </c>
      <c r="I31" s="14"/>
      <c r="J31" s="14"/>
      <c r="K31" s="13"/>
      <c r="L31" s="12"/>
      <c r="M31" s="11"/>
      <c r="N31" s="12"/>
      <c r="O31" s="14"/>
      <c r="Q31" s="1" t="str">
        <f aca="false">IF($H31="Low",$E31,"")</f>
        <v/>
      </c>
      <c r="R31" s="1" t="str">
        <f aca="false">IF($H31="Low",$F31,"")</f>
        <v/>
      </c>
      <c r="S31" s="1" t="str">
        <f aca="false">IF($H31="Medium",$E31,"")</f>
        <v/>
      </c>
      <c r="T31" s="1" t="str">
        <f aca="false">IF($H31="Medium",$F31,"")</f>
        <v/>
      </c>
      <c r="U31" s="1" t="str">
        <f aca="false">IF($H31="High",$E31,"")</f>
        <v/>
      </c>
      <c r="V31" s="1" t="str">
        <f aca="false">IF($H31="High",$F31,"")</f>
        <v/>
      </c>
      <c r="W31" s="1" t="str">
        <f aca="false">IF($H31="Critical",$E31,"")</f>
        <v/>
      </c>
      <c r="X31" s="1" t="str">
        <f aca="false">IF($H31="Critical",$F31,"")</f>
        <v/>
      </c>
    </row>
    <row r="32" customFormat="false" ht="30" hidden="false" customHeight="true" outlineLevel="0" collapsed="false">
      <c r="A32" s="11" t="str">
        <f aca="false">"R-"&amp;TEXT(ROW()-3,"000")</f>
        <v>R-029</v>
      </c>
      <c r="B32" s="12"/>
      <c r="C32" s="13"/>
      <c r="D32" s="14"/>
      <c r="E32" s="11"/>
      <c r="F32" s="11"/>
      <c r="G32" s="11" t="str">
        <f aca="false">IF(OR(E32="",F32=""),"",E32*F32)</f>
        <v/>
      </c>
      <c r="H32" s="11" t="str">
        <f aca="false">IF(G32="","",IF(G32&lt;=4,"Low",IF(G32&lt;=9,"Medium",IF(G32&lt;=15,"High","Critical"))))</f>
        <v/>
      </c>
      <c r="I32" s="14"/>
      <c r="J32" s="14"/>
      <c r="K32" s="13"/>
      <c r="L32" s="12"/>
      <c r="M32" s="11"/>
      <c r="N32" s="12"/>
      <c r="O32" s="14"/>
      <c r="Q32" s="1" t="str">
        <f aca="false">IF($H32="Low",$E32,"")</f>
        <v/>
      </c>
      <c r="R32" s="1" t="str">
        <f aca="false">IF($H32="Low",$F32,"")</f>
        <v/>
      </c>
      <c r="S32" s="1" t="str">
        <f aca="false">IF($H32="Medium",$E32,"")</f>
        <v/>
      </c>
      <c r="T32" s="1" t="str">
        <f aca="false">IF($H32="Medium",$F32,"")</f>
        <v/>
      </c>
      <c r="U32" s="1" t="str">
        <f aca="false">IF($H32="High",$E32,"")</f>
        <v/>
      </c>
      <c r="V32" s="1" t="str">
        <f aca="false">IF($H32="High",$F32,"")</f>
        <v/>
      </c>
      <c r="W32" s="1" t="str">
        <f aca="false">IF($H32="Critical",$E32,"")</f>
        <v/>
      </c>
      <c r="X32" s="1" t="str">
        <f aca="false">IF($H32="Critical",$F32,"")</f>
        <v/>
      </c>
    </row>
    <row r="33" customFormat="false" ht="30" hidden="false" customHeight="true" outlineLevel="0" collapsed="false">
      <c r="A33" s="11" t="str">
        <f aca="false">"R-"&amp;TEXT(ROW()-3,"000")</f>
        <v>R-030</v>
      </c>
      <c r="B33" s="12"/>
      <c r="C33" s="13"/>
      <c r="D33" s="14"/>
      <c r="E33" s="11"/>
      <c r="F33" s="11"/>
      <c r="G33" s="11" t="str">
        <f aca="false">IF(OR(E33="",F33=""),"",E33*F33)</f>
        <v/>
      </c>
      <c r="H33" s="11" t="str">
        <f aca="false">IF(G33="","",IF(G33&lt;=4,"Low",IF(G33&lt;=9,"Medium",IF(G33&lt;=15,"High","Critical"))))</f>
        <v/>
      </c>
      <c r="I33" s="14"/>
      <c r="J33" s="14"/>
      <c r="K33" s="13"/>
      <c r="L33" s="12"/>
      <c r="M33" s="11"/>
      <c r="N33" s="12"/>
      <c r="O33" s="14"/>
      <c r="Q33" s="1" t="str">
        <f aca="false">IF($H33="Low",$E33,"")</f>
        <v/>
      </c>
      <c r="R33" s="1" t="str">
        <f aca="false">IF($H33="Low",$F33,"")</f>
        <v/>
      </c>
      <c r="S33" s="1" t="str">
        <f aca="false">IF($H33="Medium",$E33,"")</f>
        <v/>
      </c>
      <c r="T33" s="1" t="str">
        <f aca="false">IF($H33="Medium",$F33,"")</f>
        <v/>
      </c>
      <c r="U33" s="1" t="str">
        <f aca="false">IF($H33="High",$E33,"")</f>
        <v/>
      </c>
      <c r="V33" s="1" t="str">
        <f aca="false">IF($H33="High",$F33,"")</f>
        <v/>
      </c>
      <c r="W33" s="1" t="str">
        <f aca="false">IF($H33="Critical",$E33,"")</f>
        <v/>
      </c>
      <c r="X33" s="1" t="str">
        <f aca="false">IF($H33="Critical",$F33,"")</f>
        <v/>
      </c>
    </row>
    <row r="34" customFormat="false" ht="30" hidden="false" customHeight="true" outlineLevel="0" collapsed="false">
      <c r="A34" s="11" t="str">
        <f aca="false">"R-"&amp;TEXT(ROW()-3,"000")</f>
        <v>R-031</v>
      </c>
      <c r="B34" s="12"/>
      <c r="C34" s="13"/>
      <c r="D34" s="14"/>
      <c r="E34" s="11"/>
      <c r="F34" s="11"/>
      <c r="G34" s="11" t="str">
        <f aca="false">IF(OR(E34="",F34=""),"",E34*F34)</f>
        <v/>
      </c>
      <c r="H34" s="11" t="str">
        <f aca="false">IF(G34="","",IF(G34&lt;=4,"Low",IF(G34&lt;=9,"Medium",IF(G34&lt;=15,"High","Critical"))))</f>
        <v/>
      </c>
      <c r="I34" s="14"/>
      <c r="J34" s="14"/>
      <c r="K34" s="13"/>
      <c r="L34" s="12"/>
      <c r="M34" s="11"/>
      <c r="N34" s="12"/>
      <c r="O34" s="14"/>
      <c r="Q34" s="1" t="str">
        <f aca="false">IF($H34="Low",$E34,"")</f>
        <v/>
      </c>
      <c r="R34" s="1" t="str">
        <f aca="false">IF($H34="Low",$F34,"")</f>
        <v/>
      </c>
      <c r="S34" s="1" t="str">
        <f aca="false">IF($H34="Medium",$E34,"")</f>
        <v/>
      </c>
      <c r="T34" s="1" t="str">
        <f aca="false">IF($H34="Medium",$F34,"")</f>
        <v/>
      </c>
      <c r="U34" s="1" t="str">
        <f aca="false">IF($H34="High",$E34,"")</f>
        <v/>
      </c>
      <c r="V34" s="1" t="str">
        <f aca="false">IF($H34="High",$F34,"")</f>
        <v/>
      </c>
      <c r="W34" s="1" t="str">
        <f aca="false">IF($H34="Critical",$E34,"")</f>
        <v/>
      </c>
      <c r="X34" s="1" t="str">
        <f aca="false">IF($H34="Critical",$F34,"")</f>
        <v/>
      </c>
    </row>
    <row r="35" customFormat="false" ht="30" hidden="false" customHeight="true" outlineLevel="0" collapsed="false">
      <c r="A35" s="11" t="str">
        <f aca="false">"R-"&amp;TEXT(ROW()-3,"000")</f>
        <v>R-032</v>
      </c>
      <c r="B35" s="12"/>
      <c r="C35" s="13"/>
      <c r="D35" s="14"/>
      <c r="E35" s="11"/>
      <c r="F35" s="11"/>
      <c r="G35" s="11" t="str">
        <f aca="false">IF(OR(E35="",F35=""),"",E35*F35)</f>
        <v/>
      </c>
      <c r="H35" s="11" t="str">
        <f aca="false">IF(G35="","",IF(G35&lt;=4,"Low",IF(G35&lt;=9,"Medium",IF(G35&lt;=15,"High","Critical"))))</f>
        <v/>
      </c>
      <c r="I35" s="14"/>
      <c r="J35" s="14"/>
      <c r="K35" s="13"/>
      <c r="L35" s="12"/>
      <c r="M35" s="11"/>
      <c r="N35" s="12"/>
      <c r="O35" s="14"/>
      <c r="Q35" s="1" t="str">
        <f aca="false">IF($H35="Low",$E35,"")</f>
        <v/>
      </c>
      <c r="R35" s="1" t="str">
        <f aca="false">IF($H35="Low",$F35,"")</f>
        <v/>
      </c>
      <c r="S35" s="1" t="str">
        <f aca="false">IF($H35="Medium",$E35,"")</f>
        <v/>
      </c>
      <c r="T35" s="1" t="str">
        <f aca="false">IF($H35="Medium",$F35,"")</f>
        <v/>
      </c>
      <c r="U35" s="1" t="str">
        <f aca="false">IF($H35="High",$E35,"")</f>
        <v/>
      </c>
      <c r="V35" s="1" t="str">
        <f aca="false">IF($H35="High",$F35,"")</f>
        <v/>
      </c>
      <c r="W35" s="1" t="str">
        <f aca="false">IF($H35="Critical",$E35,"")</f>
        <v/>
      </c>
      <c r="X35" s="1" t="str">
        <f aca="false">IF($H35="Critical",$F35,"")</f>
        <v/>
      </c>
    </row>
    <row r="36" customFormat="false" ht="30" hidden="false" customHeight="true" outlineLevel="0" collapsed="false">
      <c r="A36" s="11" t="str">
        <f aca="false">"R-"&amp;TEXT(ROW()-3,"000")</f>
        <v>R-033</v>
      </c>
      <c r="B36" s="12"/>
      <c r="C36" s="13"/>
      <c r="D36" s="14"/>
      <c r="E36" s="11"/>
      <c r="F36" s="11"/>
      <c r="G36" s="11" t="str">
        <f aca="false">IF(OR(E36="",F36=""),"",E36*F36)</f>
        <v/>
      </c>
      <c r="H36" s="11" t="str">
        <f aca="false">IF(G36="","",IF(G36&lt;=4,"Low",IF(G36&lt;=9,"Medium",IF(G36&lt;=15,"High","Critical"))))</f>
        <v/>
      </c>
      <c r="I36" s="14"/>
      <c r="J36" s="14"/>
      <c r="K36" s="13"/>
      <c r="L36" s="12"/>
      <c r="M36" s="11"/>
      <c r="N36" s="12"/>
      <c r="O36" s="14"/>
      <c r="Q36" s="1" t="str">
        <f aca="false">IF($H36="Low",$E36,"")</f>
        <v/>
      </c>
      <c r="R36" s="1" t="str">
        <f aca="false">IF($H36="Low",$F36,"")</f>
        <v/>
      </c>
      <c r="S36" s="1" t="str">
        <f aca="false">IF($H36="Medium",$E36,"")</f>
        <v/>
      </c>
      <c r="T36" s="1" t="str">
        <f aca="false">IF($H36="Medium",$F36,"")</f>
        <v/>
      </c>
      <c r="U36" s="1" t="str">
        <f aca="false">IF($H36="High",$E36,"")</f>
        <v/>
      </c>
      <c r="V36" s="1" t="str">
        <f aca="false">IF($H36="High",$F36,"")</f>
        <v/>
      </c>
      <c r="W36" s="1" t="str">
        <f aca="false">IF($H36="Critical",$E36,"")</f>
        <v/>
      </c>
      <c r="X36" s="1" t="str">
        <f aca="false">IF($H36="Critical",$F36,"")</f>
        <v/>
      </c>
    </row>
    <row r="37" customFormat="false" ht="30" hidden="false" customHeight="true" outlineLevel="0" collapsed="false">
      <c r="A37" s="11" t="str">
        <f aca="false">"R-"&amp;TEXT(ROW()-3,"000")</f>
        <v>R-034</v>
      </c>
      <c r="B37" s="12"/>
      <c r="C37" s="13"/>
      <c r="D37" s="14"/>
      <c r="E37" s="11"/>
      <c r="F37" s="11"/>
      <c r="G37" s="11" t="str">
        <f aca="false">IF(OR(E37="",F37=""),"",E37*F37)</f>
        <v/>
      </c>
      <c r="H37" s="11" t="str">
        <f aca="false">IF(G37="","",IF(G37&lt;=4,"Low",IF(G37&lt;=9,"Medium",IF(G37&lt;=15,"High","Critical"))))</f>
        <v/>
      </c>
      <c r="I37" s="14"/>
      <c r="J37" s="14"/>
      <c r="K37" s="13"/>
      <c r="L37" s="12"/>
      <c r="M37" s="11"/>
      <c r="N37" s="12"/>
      <c r="O37" s="14"/>
      <c r="Q37" s="1" t="str">
        <f aca="false">IF($H37="Low",$E37,"")</f>
        <v/>
      </c>
      <c r="R37" s="1" t="str">
        <f aca="false">IF($H37="Low",$F37,"")</f>
        <v/>
      </c>
      <c r="S37" s="1" t="str">
        <f aca="false">IF($H37="Medium",$E37,"")</f>
        <v/>
      </c>
      <c r="T37" s="1" t="str">
        <f aca="false">IF($H37="Medium",$F37,"")</f>
        <v/>
      </c>
      <c r="U37" s="1" t="str">
        <f aca="false">IF($H37="High",$E37,"")</f>
        <v/>
      </c>
      <c r="V37" s="1" t="str">
        <f aca="false">IF($H37="High",$F37,"")</f>
        <v/>
      </c>
      <c r="W37" s="1" t="str">
        <f aca="false">IF($H37="Critical",$E37,"")</f>
        <v/>
      </c>
      <c r="X37" s="1" t="str">
        <f aca="false">IF($H37="Critical",$F37,"")</f>
        <v/>
      </c>
    </row>
    <row r="38" customFormat="false" ht="30" hidden="false" customHeight="true" outlineLevel="0" collapsed="false">
      <c r="A38" s="11" t="str">
        <f aca="false">"R-"&amp;TEXT(ROW()-3,"000")</f>
        <v>R-035</v>
      </c>
      <c r="B38" s="12"/>
      <c r="C38" s="13"/>
      <c r="D38" s="14"/>
      <c r="E38" s="11"/>
      <c r="F38" s="11"/>
      <c r="G38" s="11" t="str">
        <f aca="false">IF(OR(E38="",F38=""),"",E38*F38)</f>
        <v/>
      </c>
      <c r="H38" s="11" t="str">
        <f aca="false">IF(G38="","",IF(G38&lt;=4,"Low",IF(G38&lt;=9,"Medium",IF(G38&lt;=15,"High","Critical"))))</f>
        <v/>
      </c>
      <c r="I38" s="14"/>
      <c r="J38" s="14"/>
      <c r="K38" s="13"/>
      <c r="L38" s="12"/>
      <c r="M38" s="11"/>
      <c r="N38" s="12"/>
      <c r="O38" s="14"/>
      <c r="Q38" s="1" t="str">
        <f aca="false">IF($H38="Low",$E38,"")</f>
        <v/>
      </c>
      <c r="R38" s="1" t="str">
        <f aca="false">IF($H38="Low",$F38,"")</f>
        <v/>
      </c>
      <c r="S38" s="1" t="str">
        <f aca="false">IF($H38="Medium",$E38,"")</f>
        <v/>
      </c>
      <c r="T38" s="1" t="str">
        <f aca="false">IF($H38="Medium",$F38,"")</f>
        <v/>
      </c>
      <c r="U38" s="1" t="str">
        <f aca="false">IF($H38="High",$E38,"")</f>
        <v/>
      </c>
      <c r="V38" s="1" t="str">
        <f aca="false">IF($H38="High",$F38,"")</f>
        <v/>
      </c>
      <c r="W38" s="1" t="str">
        <f aca="false">IF($H38="Critical",$E38,"")</f>
        <v/>
      </c>
      <c r="X38" s="1" t="str">
        <f aca="false">IF($H38="Critical",$F38,"")</f>
        <v/>
      </c>
    </row>
    <row r="39" customFormat="false" ht="30" hidden="false" customHeight="true" outlineLevel="0" collapsed="false">
      <c r="A39" s="11" t="str">
        <f aca="false">"R-"&amp;TEXT(ROW()-3,"000")</f>
        <v>R-036</v>
      </c>
      <c r="B39" s="12"/>
      <c r="C39" s="13"/>
      <c r="D39" s="14"/>
      <c r="E39" s="11"/>
      <c r="F39" s="11"/>
      <c r="G39" s="11" t="str">
        <f aca="false">IF(OR(E39="",F39=""),"",E39*F39)</f>
        <v/>
      </c>
      <c r="H39" s="11" t="str">
        <f aca="false">IF(G39="","",IF(G39&lt;=4,"Low",IF(G39&lt;=9,"Medium",IF(G39&lt;=15,"High","Critical"))))</f>
        <v/>
      </c>
      <c r="I39" s="14"/>
      <c r="J39" s="14"/>
      <c r="K39" s="13"/>
      <c r="L39" s="12"/>
      <c r="M39" s="11"/>
      <c r="N39" s="12"/>
      <c r="O39" s="14"/>
      <c r="Q39" s="1" t="str">
        <f aca="false">IF($H39="Low",$E39,"")</f>
        <v/>
      </c>
      <c r="R39" s="1" t="str">
        <f aca="false">IF($H39="Low",$F39,"")</f>
        <v/>
      </c>
      <c r="S39" s="1" t="str">
        <f aca="false">IF($H39="Medium",$E39,"")</f>
        <v/>
      </c>
      <c r="T39" s="1" t="str">
        <f aca="false">IF($H39="Medium",$F39,"")</f>
        <v/>
      </c>
      <c r="U39" s="1" t="str">
        <f aca="false">IF($H39="High",$E39,"")</f>
        <v/>
      </c>
      <c r="V39" s="1" t="str">
        <f aca="false">IF($H39="High",$F39,"")</f>
        <v/>
      </c>
      <c r="W39" s="1" t="str">
        <f aca="false">IF($H39="Critical",$E39,"")</f>
        <v/>
      </c>
      <c r="X39" s="1" t="str">
        <f aca="false">IF($H39="Critical",$F39,"")</f>
        <v/>
      </c>
    </row>
    <row r="40" customFormat="false" ht="30" hidden="false" customHeight="true" outlineLevel="0" collapsed="false">
      <c r="A40" s="11" t="str">
        <f aca="false">"R-"&amp;TEXT(ROW()-3,"000")</f>
        <v>R-037</v>
      </c>
      <c r="B40" s="12"/>
      <c r="C40" s="13"/>
      <c r="D40" s="14"/>
      <c r="E40" s="11"/>
      <c r="F40" s="11"/>
      <c r="G40" s="11" t="str">
        <f aca="false">IF(OR(E40="",F40=""),"",E40*F40)</f>
        <v/>
      </c>
      <c r="H40" s="11" t="str">
        <f aca="false">IF(G40="","",IF(G40&lt;=4,"Low",IF(G40&lt;=9,"Medium",IF(G40&lt;=15,"High","Critical"))))</f>
        <v/>
      </c>
      <c r="I40" s="14"/>
      <c r="J40" s="14"/>
      <c r="K40" s="13"/>
      <c r="L40" s="12"/>
      <c r="M40" s="11"/>
      <c r="N40" s="12"/>
      <c r="O40" s="14"/>
      <c r="Q40" s="1" t="str">
        <f aca="false">IF($H40="Low",$E40,"")</f>
        <v/>
      </c>
      <c r="R40" s="1" t="str">
        <f aca="false">IF($H40="Low",$F40,"")</f>
        <v/>
      </c>
      <c r="S40" s="1" t="str">
        <f aca="false">IF($H40="Medium",$E40,"")</f>
        <v/>
      </c>
      <c r="T40" s="1" t="str">
        <f aca="false">IF($H40="Medium",$F40,"")</f>
        <v/>
      </c>
      <c r="U40" s="1" t="str">
        <f aca="false">IF($H40="High",$E40,"")</f>
        <v/>
      </c>
      <c r="V40" s="1" t="str">
        <f aca="false">IF($H40="High",$F40,"")</f>
        <v/>
      </c>
      <c r="W40" s="1" t="str">
        <f aca="false">IF($H40="Critical",$E40,"")</f>
        <v/>
      </c>
      <c r="X40" s="1" t="str">
        <f aca="false">IF($H40="Critical",$F40,"")</f>
        <v/>
      </c>
    </row>
    <row r="41" customFormat="false" ht="30" hidden="false" customHeight="true" outlineLevel="0" collapsed="false">
      <c r="A41" s="11" t="str">
        <f aca="false">"R-"&amp;TEXT(ROW()-3,"000")</f>
        <v>R-038</v>
      </c>
      <c r="B41" s="12"/>
      <c r="C41" s="13"/>
      <c r="D41" s="14"/>
      <c r="E41" s="11"/>
      <c r="F41" s="11"/>
      <c r="G41" s="11" t="str">
        <f aca="false">IF(OR(E41="",F41=""),"",E41*F41)</f>
        <v/>
      </c>
      <c r="H41" s="11" t="str">
        <f aca="false">IF(G41="","",IF(G41&lt;=4,"Low",IF(G41&lt;=9,"Medium",IF(G41&lt;=15,"High","Critical"))))</f>
        <v/>
      </c>
      <c r="I41" s="14"/>
      <c r="J41" s="14"/>
      <c r="K41" s="13"/>
      <c r="L41" s="12"/>
      <c r="M41" s="11"/>
      <c r="N41" s="12"/>
      <c r="O41" s="14"/>
      <c r="Q41" s="1" t="str">
        <f aca="false">IF($H41="Low",$E41,"")</f>
        <v/>
      </c>
      <c r="R41" s="1" t="str">
        <f aca="false">IF($H41="Low",$F41,"")</f>
        <v/>
      </c>
      <c r="S41" s="1" t="str">
        <f aca="false">IF($H41="Medium",$E41,"")</f>
        <v/>
      </c>
      <c r="T41" s="1" t="str">
        <f aca="false">IF($H41="Medium",$F41,"")</f>
        <v/>
      </c>
      <c r="U41" s="1" t="str">
        <f aca="false">IF($H41="High",$E41,"")</f>
        <v/>
      </c>
      <c r="V41" s="1" t="str">
        <f aca="false">IF($H41="High",$F41,"")</f>
        <v/>
      </c>
      <c r="W41" s="1" t="str">
        <f aca="false">IF($H41="Critical",$E41,"")</f>
        <v/>
      </c>
      <c r="X41" s="1" t="str">
        <f aca="false">IF($H41="Critical",$F41,"")</f>
        <v/>
      </c>
    </row>
    <row r="42" customFormat="false" ht="30" hidden="false" customHeight="true" outlineLevel="0" collapsed="false">
      <c r="A42" s="11" t="str">
        <f aca="false">"R-"&amp;TEXT(ROW()-3,"000")</f>
        <v>R-039</v>
      </c>
      <c r="B42" s="12"/>
      <c r="C42" s="13"/>
      <c r="D42" s="14"/>
      <c r="E42" s="11"/>
      <c r="F42" s="11"/>
      <c r="G42" s="11" t="str">
        <f aca="false">IF(OR(E42="",F42=""),"",E42*F42)</f>
        <v/>
      </c>
      <c r="H42" s="11" t="str">
        <f aca="false">IF(G42="","",IF(G42&lt;=4,"Low",IF(G42&lt;=9,"Medium",IF(G42&lt;=15,"High","Critical"))))</f>
        <v/>
      </c>
      <c r="I42" s="14"/>
      <c r="J42" s="14"/>
      <c r="K42" s="13"/>
      <c r="L42" s="12"/>
      <c r="M42" s="11"/>
      <c r="N42" s="12"/>
      <c r="O42" s="14"/>
      <c r="Q42" s="1" t="str">
        <f aca="false">IF($H42="Low",$E42,"")</f>
        <v/>
      </c>
      <c r="R42" s="1" t="str">
        <f aca="false">IF($H42="Low",$F42,"")</f>
        <v/>
      </c>
      <c r="S42" s="1" t="str">
        <f aca="false">IF($H42="Medium",$E42,"")</f>
        <v/>
      </c>
      <c r="T42" s="1" t="str">
        <f aca="false">IF($H42="Medium",$F42,"")</f>
        <v/>
      </c>
      <c r="U42" s="1" t="str">
        <f aca="false">IF($H42="High",$E42,"")</f>
        <v/>
      </c>
      <c r="V42" s="1" t="str">
        <f aca="false">IF($H42="High",$F42,"")</f>
        <v/>
      </c>
      <c r="W42" s="1" t="str">
        <f aca="false">IF($H42="Critical",$E42,"")</f>
        <v/>
      </c>
      <c r="X42" s="1" t="str">
        <f aca="false">IF($H42="Critical",$F42,"")</f>
        <v/>
      </c>
    </row>
    <row r="43" customFormat="false" ht="30" hidden="false" customHeight="true" outlineLevel="0" collapsed="false">
      <c r="A43" s="11" t="str">
        <f aca="false">"R-"&amp;TEXT(ROW()-3,"000")</f>
        <v>R-040</v>
      </c>
      <c r="B43" s="12"/>
      <c r="C43" s="13"/>
      <c r="D43" s="14"/>
      <c r="E43" s="11"/>
      <c r="F43" s="11"/>
      <c r="G43" s="11" t="str">
        <f aca="false">IF(OR(E43="",F43=""),"",E43*F43)</f>
        <v/>
      </c>
      <c r="H43" s="11" t="str">
        <f aca="false">IF(G43="","",IF(G43&lt;=4,"Low",IF(G43&lt;=9,"Medium",IF(G43&lt;=15,"High","Critical"))))</f>
        <v/>
      </c>
      <c r="I43" s="14"/>
      <c r="J43" s="14"/>
      <c r="K43" s="13"/>
      <c r="L43" s="12"/>
      <c r="M43" s="11"/>
      <c r="N43" s="12"/>
      <c r="O43" s="14"/>
      <c r="Q43" s="1" t="str">
        <f aca="false">IF($H43="Low",$E43,"")</f>
        <v/>
      </c>
      <c r="R43" s="1" t="str">
        <f aca="false">IF($H43="Low",$F43,"")</f>
        <v/>
      </c>
      <c r="S43" s="1" t="str">
        <f aca="false">IF($H43="Medium",$E43,"")</f>
        <v/>
      </c>
      <c r="T43" s="1" t="str">
        <f aca="false">IF($H43="Medium",$F43,"")</f>
        <v/>
      </c>
      <c r="U43" s="1" t="str">
        <f aca="false">IF($H43="High",$E43,"")</f>
        <v/>
      </c>
      <c r="V43" s="1" t="str">
        <f aca="false">IF($H43="High",$F43,"")</f>
        <v/>
      </c>
      <c r="W43" s="1" t="str">
        <f aca="false">IF($H43="Critical",$E43,"")</f>
        <v/>
      </c>
      <c r="X43" s="1" t="str">
        <f aca="false">IF($H43="Critical",$F43,"")</f>
        <v/>
      </c>
    </row>
    <row r="44" customFormat="false" ht="30" hidden="false" customHeight="true" outlineLevel="0" collapsed="false">
      <c r="A44" s="11" t="str">
        <f aca="false">"R-"&amp;TEXT(ROW()-3,"000")</f>
        <v>R-041</v>
      </c>
      <c r="B44" s="12"/>
      <c r="C44" s="13"/>
      <c r="D44" s="14"/>
      <c r="E44" s="11"/>
      <c r="F44" s="11"/>
      <c r="G44" s="11" t="str">
        <f aca="false">IF(OR(E44="",F44=""),"",E44*F44)</f>
        <v/>
      </c>
      <c r="H44" s="11" t="str">
        <f aca="false">IF(G44="","",IF(G44&lt;=4,"Low",IF(G44&lt;=9,"Medium",IF(G44&lt;=15,"High","Critical"))))</f>
        <v/>
      </c>
      <c r="I44" s="14"/>
      <c r="J44" s="14"/>
      <c r="K44" s="13"/>
      <c r="L44" s="12"/>
      <c r="M44" s="11"/>
      <c r="N44" s="12"/>
      <c r="O44" s="14"/>
      <c r="Q44" s="1" t="str">
        <f aca="false">IF($H44="Low",$E44,"")</f>
        <v/>
      </c>
      <c r="R44" s="1" t="str">
        <f aca="false">IF($H44="Low",$F44,"")</f>
        <v/>
      </c>
      <c r="S44" s="1" t="str">
        <f aca="false">IF($H44="Medium",$E44,"")</f>
        <v/>
      </c>
      <c r="T44" s="1" t="str">
        <f aca="false">IF($H44="Medium",$F44,"")</f>
        <v/>
      </c>
      <c r="U44" s="1" t="str">
        <f aca="false">IF($H44="High",$E44,"")</f>
        <v/>
      </c>
      <c r="V44" s="1" t="str">
        <f aca="false">IF($H44="High",$F44,"")</f>
        <v/>
      </c>
      <c r="W44" s="1" t="str">
        <f aca="false">IF($H44="Critical",$E44,"")</f>
        <v/>
      </c>
      <c r="X44" s="1" t="str">
        <f aca="false">IF($H44="Critical",$F44,"")</f>
        <v/>
      </c>
    </row>
    <row r="45" customFormat="false" ht="30" hidden="false" customHeight="true" outlineLevel="0" collapsed="false">
      <c r="A45" s="11" t="str">
        <f aca="false">"R-"&amp;TEXT(ROW()-3,"000")</f>
        <v>R-042</v>
      </c>
      <c r="B45" s="12"/>
      <c r="C45" s="13"/>
      <c r="D45" s="14"/>
      <c r="E45" s="11"/>
      <c r="F45" s="11"/>
      <c r="G45" s="11" t="str">
        <f aca="false">IF(OR(E45="",F45=""),"",E45*F45)</f>
        <v/>
      </c>
      <c r="H45" s="11" t="str">
        <f aca="false">IF(G45="","",IF(G45&lt;=4,"Low",IF(G45&lt;=9,"Medium",IF(G45&lt;=15,"High","Critical"))))</f>
        <v/>
      </c>
      <c r="I45" s="14"/>
      <c r="J45" s="14"/>
      <c r="K45" s="13"/>
      <c r="L45" s="12"/>
      <c r="M45" s="11"/>
      <c r="N45" s="12"/>
      <c r="O45" s="14"/>
      <c r="Q45" s="1" t="str">
        <f aca="false">IF($H45="Low",$E45,"")</f>
        <v/>
      </c>
      <c r="R45" s="1" t="str">
        <f aca="false">IF($H45="Low",$F45,"")</f>
        <v/>
      </c>
      <c r="S45" s="1" t="str">
        <f aca="false">IF($H45="Medium",$E45,"")</f>
        <v/>
      </c>
      <c r="T45" s="1" t="str">
        <f aca="false">IF($H45="Medium",$F45,"")</f>
        <v/>
      </c>
      <c r="U45" s="1" t="str">
        <f aca="false">IF($H45="High",$E45,"")</f>
        <v/>
      </c>
      <c r="V45" s="1" t="str">
        <f aca="false">IF($H45="High",$F45,"")</f>
        <v/>
      </c>
      <c r="W45" s="1" t="str">
        <f aca="false">IF($H45="Critical",$E45,"")</f>
        <v/>
      </c>
      <c r="X45" s="1" t="str">
        <f aca="false">IF($H45="Critical",$F45,"")</f>
        <v/>
      </c>
    </row>
    <row r="46" customFormat="false" ht="30" hidden="false" customHeight="true" outlineLevel="0" collapsed="false">
      <c r="A46" s="11" t="str">
        <f aca="false">"R-"&amp;TEXT(ROW()-3,"000")</f>
        <v>R-043</v>
      </c>
      <c r="B46" s="12"/>
      <c r="C46" s="13"/>
      <c r="D46" s="14"/>
      <c r="E46" s="11"/>
      <c r="F46" s="11"/>
      <c r="G46" s="11" t="str">
        <f aca="false">IF(OR(E46="",F46=""),"",E46*F46)</f>
        <v/>
      </c>
      <c r="H46" s="11" t="str">
        <f aca="false">IF(G46="","",IF(G46&lt;=4,"Low",IF(G46&lt;=9,"Medium",IF(G46&lt;=15,"High","Critical"))))</f>
        <v/>
      </c>
      <c r="I46" s="14"/>
      <c r="J46" s="14"/>
      <c r="K46" s="13"/>
      <c r="L46" s="12"/>
      <c r="M46" s="11"/>
      <c r="N46" s="12"/>
      <c r="O46" s="14"/>
      <c r="Q46" s="1" t="str">
        <f aca="false">IF($H46="Low",$E46,"")</f>
        <v/>
      </c>
      <c r="R46" s="1" t="str">
        <f aca="false">IF($H46="Low",$F46,"")</f>
        <v/>
      </c>
      <c r="S46" s="1" t="str">
        <f aca="false">IF($H46="Medium",$E46,"")</f>
        <v/>
      </c>
      <c r="T46" s="1" t="str">
        <f aca="false">IF($H46="Medium",$F46,"")</f>
        <v/>
      </c>
      <c r="U46" s="1" t="str">
        <f aca="false">IF($H46="High",$E46,"")</f>
        <v/>
      </c>
      <c r="V46" s="1" t="str">
        <f aca="false">IF($H46="High",$F46,"")</f>
        <v/>
      </c>
      <c r="W46" s="1" t="str">
        <f aca="false">IF($H46="Critical",$E46,"")</f>
        <v/>
      </c>
      <c r="X46" s="1" t="str">
        <f aca="false">IF($H46="Critical",$F46,"")</f>
        <v/>
      </c>
    </row>
    <row r="47" customFormat="false" ht="30" hidden="false" customHeight="true" outlineLevel="0" collapsed="false">
      <c r="A47" s="11" t="str">
        <f aca="false">"R-"&amp;TEXT(ROW()-3,"000")</f>
        <v>R-044</v>
      </c>
      <c r="B47" s="12"/>
      <c r="C47" s="13"/>
      <c r="D47" s="14"/>
      <c r="E47" s="11"/>
      <c r="F47" s="11"/>
      <c r="G47" s="11" t="str">
        <f aca="false">IF(OR(E47="",F47=""),"",E47*F47)</f>
        <v/>
      </c>
      <c r="H47" s="11" t="str">
        <f aca="false">IF(G47="","",IF(G47&lt;=4,"Low",IF(G47&lt;=9,"Medium",IF(G47&lt;=15,"High","Critical"))))</f>
        <v/>
      </c>
      <c r="I47" s="14"/>
      <c r="J47" s="14"/>
      <c r="K47" s="13"/>
      <c r="L47" s="12"/>
      <c r="M47" s="11"/>
      <c r="N47" s="12"/>
      <c r="O47" s="14"/>
      <c r="Q47" s="1" t="str">
        <f aca="false">IF($H47="Low",$E47,"")</f>
        <v/>
      </c>
      <c r="R47" s="1" t="str">
        <f aca="false">IF($H47="Low",$F47,"")</f>
        <v/>
      </c>
      <c r="S47" s="1" t="str">
        <f aca="false">IF($H47="Medium",$E47,"")</f>
        <v/>
      </c>
      <c r="T47" s="1" t="str">
        <f aca="false">IF($H47="Medium",$F47,"")</f>
        <v/>
      </c>
      <c r="U47" s="1" t="str">
        <f aca="false">IF($H47="High",$E47,"")</f>
        <v/>
      </c>
      <c r="V47" s="1" t="str">
        <f aca="false">IF($H47="High",$F47,"")</f>
        <v/>
      </c>
      <c r="W47" s="1" t="str">
        <f aca="false">IF($H47="Critical",$E47,"")</f>
        <v/>
      </c>
      <c r="X47" s="1" t="str">
        <f aca="false">IF($H47="Critical",$F47,"")</f>
        <v/>
      </c>
    </row>
    <row r="48" customFormat="false" ht="30" hidden="false" customHeight="true" outlineLevel="0" collapsed="false">
      <c r="A48" s="11" t="str">
        <f aca="false">"R-"&amp;TEXT(ROW()-3,"000")</f>
        <v>R-045</v>
      </c>
      <c r="B48" s="12"/>
      <c r="C48" s="13"/>
      <c r="D48" s="14"/>
      <c r="E48" s="11"/>
      <c r="F48" s="11"/>
      <c r="G48" s="11" t="str">
        <f aca="false">IF(OR(E48="",F48=""),"",E48*F48)</f>
        <v/>
      </c>
      <c r="H48" s="11" t="str">
        <f aca="false">IF(G48="","",IF(G48&lt;=4,"Low",IF(G48&lt;=9,"Medium",IF(G48&lt;=15,"High","Critical"))))</f>
        <v/>
      </c>
      <c r="I48" s="14"/>
      <c r="J48" s="14"/>
      <c r="K48" s="13"/>
      <c r="L48" s="12"/>
      <c r="M48" s="11"/>
      <c r="N48" s="12"/>
      <c r="O48" s="14"/>
      <c r="Q48" s="1" t="str">
        <f aca="false">IF($H48="Low",$E48,"")</f>
        <v/>
      </c>
      <c r="R48" s="1" t="str">
        <f aca="false">IF($H48="Low",$F48,"")</f>
        <v/>
      </c>
      <c r="S48" s="1" t="str">
        <f aca="false">IF($H48="Medium",$E48,"")</f>
        <v/>
      </c>
      <c r="T48" s="1" t="str">
        <f aca="false">IF($H48="Medium",$F48,"")</f>
        <v/>
      </c>
      <c r="U48" s="1" t="str">
        <f aca="false">IF($H48="High",$E48,"")</f>
        <v/>
      </c>
      <c r="V48" s="1" t="str">
        <f aca="false">IF($H48="High",$F48,"")</f>
        <v/>
      </c>
      <c r="W48" s="1" t="str">
        <f aca="false">IF($H48="Critical",$E48,"")</f>
        <v/>
      </c>
      <c r="X48" s="1" t="str">
        <f aca="false">IF($H48="Critical",$F48,"")</f>
        <v/>
      </c>
    </row>
    <row r="49" customFormat="false" ht="30" hidden="false" customHeight="true" outlineLevel="0" collapsed="false">
      <c r="A49" s="11" t="str">
        <f aca="false">"R-"&amp;TEXT(ROW()-3,"000")</f>
        <v>R-046</v>
      </c>
      <c r="B49" s="12"/>
      <c r="C49" s="13"/>
      <c r="D49" s="14"/>
      <c r="E49" s="11"/>
      <c r="F49" s="11"/>
      <c r="G49" s="11" t="str">
        <f aca="false">IF(OR(E49="",F49=""),"",E49*F49)</f>
        <v/>
      </c>
      <c r="H49" s="11" t="str">
        <f aca="false">IF(G49="","",IF(G49&lt;=4,"Low",IF(G49&lt;=9,"Medium",IF(G49&lt;=15,"High","Critical"))))</f>
        <v/>
      </c>
      <c r="I49" s="14"/>
      <c r="J49" s="14"/>
      <c r="K49" s="13"/>
      <c r="L49" s="12"/>
      <c r="M49" s="11"/>
      <c r="N49" s="12"/>
      <c r="O49" s="14"/>
      <c r="Q49" s="1" t="str">
        <f aca="false">IF($H49="Low",$E49,"")</f>
        <v/>
      </c>
      <c r="R49" s="1" t="str">
        <f aca="false">IF($H49="Low",$F49,"")</f>
        <v/>
      </c>
      <c r="S49" s="1" t="str">
        <f aca="false">IF($H49="Medium",$E49,"")</f>
        <v/>
      </c>
      <c r="T49" s="1" t="str">
        <f aca="false">IF($H49="Medium",$F49,"")</f>
        <v/>
      </c>
      <c r="U49" s="1" t="str">
        <f aca="false">IF($H49="High",$E49,"")</f>
        <v/>
      </c>
      <c r="V49" s="1" t="str">
        <f aca="false">IF($H49="High",$F49,"")</f>
        <v/>
      </c>
      <c r="W49" s="1" t="str">
        <f aca="false">IF($H49="Critical",$E49,"")</f>
        <v/>
      </c>
      <c r="X49" s="1" t="str">
        <f aca="false">IF($H49="Critical",$F49,"")</f>
        <v/>
      </c>
    </row>
    <row r="50" customFormat="false" ht="30" hidden="false" customHeight="true" outlineLevel="0" collapsed="false">
      <c r="A50" s="11" t="str">
        <f aca="false">"R-"&amp;TEXT(ROW()-3,"000")</f>
        <v>R-047</v>
      </c>
      <c r="B50" s="12"/>
      <c r="C50" s="13"/>
      <c r="D50" s="14"/>
      <c r="E50" s="11"/>
      <c r="F50" s="11"/>
      <c r="G50" s="11" t="str">
        <f aca="false">IF(OR(E50="",F50=""),"",E50*F50)</f>
        <v/>
      </c>
      <c r="H50" s="11" t="str">
        <f aca="false">IF(G50="","",IF(G50&lt;=4,"Low",IF(G50&lt;=9,"Medium",IF(G50&lt;=15,"High","Critical"))))</f>
        <v/>
      </c>
      <c r="I50" s="14"/>
      <c r="J50" s="14"/>
      <c r="K50" s="13"/>
      <c r="L50" s="12"/>
      <c r="M50" s="11"/>
      <c r="N50" s="12"/>
      <c r="O50" s="14"/>
      <c r="Q50" s="1" t="str">
        <f aca="false">IF($H50="Low",$E50,"")</f>
        <v/>
      </c>
      <c r="R50" s="1" t="str">
        <f aca="false">IF($H50="Low",$F50,"")</f>
        <v/>
      </c>
      <c r="S50" s="1" t="str">
        <f aca="false">IF($H50="Medium",$E50,"")</f>
        <v/>
      </c>
      <c r="T50" s="1" t="str">
        <f aca="false">IF($H50="Medium",$F50,"")</f>
        <v/>
      </c>
      <c r="U50" s="1" t="str">
        <f aca="false">IF($H50="High",$E50,"")</f>
        <v/>
      </c>
      <c r="V50" s="1" t="str">
        <f aca="false">IF($H50="High",$F50,"")</f>
        <v/>
      </c>
      <c r="W50" s="1" t="str">
        <f aca="false">IF($H50="Critical",$E50,"")</f>
        <v/>
      </c>
      <c r="X50" s="1" t="str">
        <f aca="false">IF($H50="Critical",$F50,"")</f>
        <v/>
      </c>
    </row>
    <row r="51" customFormat="false" ht="30" hidden="false" customHeight="true" outlineLevel="0" collapsed="false">
      <c r="A51" s="11" t="str">
        <f aca="false">"R-"&amp;TEXT(ROW()-3,"000")</f>
        <v>R-048</v>
      </c>
      <c r="B51" s="12"/>
      <c r="C51" s="13"/>
      <c r="D51" s="14"/>
      <c r="E51" s="11"/>
      <c r="F51" s="11"/>
      <c r="G51" s="11" t="str">
        <f aca="false">IF(OR(E51="",F51=""),"",E51*F51)</f>
        <v/>
      </c>
      <c r="H51" s="11" t="str">
        <f aca="false">IF(G51="","",IF(G51&lt;=4,"Low",IF(G51&lt;=9,"Medium",IF(G51&lt;=15,"High","Critical"))))</f>
        <v/>
      </c>
      <c r="I51" s="14"/>
      <c r="J51" s="14"/>
      <c r="K51" s="13"/>
      <c r="L51" s="12"/>
      <c r="M51" s="11"/>
      <c r="N51" s="12"/>
      <c r="O51" s="14"/>
      <c r="Q51" s="1" t="str">
        <f aca="false">IF($H51="Low",$E51,"")</f>
        <v/>
      </c>
      <c r="R51" s="1" t="str">
        <f aca="false">IF($H51="Low",$F51,"")</f>
        <v/>
      </c>
      <c r="S51" s="1" t="str">
        <f aca="false">IF($H51="Medium",$E51,"")</f>
        <v/>
      </c>
      <c r="T51" s="1" t="str">
        <f aca="false">IF($H51="Medium",$F51,"")</f>
        <v/>
      </c>
      <c r="U51" s="1" t="str">
        <f aca="false">IF($H51="High",$E51,"")</f>
        <v/>
      </c>
      <c r="V51" s="1" t="str">
        <f aca="false">IF($H51="High",$F51,"")</f>
        <v/>
      </c>
      <c r="W51" s="1" t="str">
        <f aca="false">IF($H51="Critical",$E51,"")</f>
        <v/>
      </c>
      <c r="X51" s="1" t="str">
        <f aca="false">IF($H51="Critical",$F51,"")</f>
        <v/>
      </c>
    </row>
    <row r="52" customFormat="false" ht="30" hidden="false" customHeight="true" outlineLevel="0" collapsed="false">
      <c r="A52" s="11" t="str">
        <f aca="false">"R-"&amp;TEXT(ROW()-3,"000")</f>
        <v>R-049</v>
      </c>
      <c r="B52" s="12"/>
      <c r="C52" s="13"/>
      <c r="D52" s="14"/>
      <c r="E52" s="11"/>
      <c r="F52" s="11"/>
      <c r="G52" s="11" t="str">
        <f aca="false">IF(OR(E52="",F52=""),"",E52*F52)</f>
        <v/>
      </c>
      <c r="H52" s="11" t="str">
        <f aca="false">IF(G52="","",IF(G52&lt;=4,"Low",IF(G52&lt;=9,"Medium",IF(G52&lt;=15,"High","Critical"))))</f>
        <v/>
      </c>
      <c r="I52" s="14"/>
      <c r="J52" s="14"/>
      <c r="K52" s="13"/>
      <c r="L52" s="12"/>
      <c r="M52" s="11"/>
      <c r="N52" s="12"/>
      <c r="O52" s="14"/>
      <c r="Q52" s="1" t="str">
        <f aca="false">IF($H52="Low",$E52,"")</f>
        <v/>
      </c>
      <c r="R52" s="1" t="str">
        <f aca="false">IF($H52="Low",$F52,"")</f>
        <v/>
      </c>
      <c r="S52" s="1" t="str">
        <f aca="false">IF($H52="Medium",$E52,"")</f>
        <v/>
      </c>
      <c r="T52" s="1" t="str">
        <f aca="false">IF($H52="Medium",$F52,"")</f>
        <v/>
      </c>
      <c r="U52" s="1" t="str">
        <f aca="false">IF($H52="High",$E52,"")</f>
        <v/>
      </c>
      <c r="V52" s="1" t="str">
        <f aca="false">IF($H52="High",$F52,"")</f>
        <v/>
      </c>
      <c r="W52" s="1" t="str">
        <f aca="false">IF($H52="Critical",$E52,"")</f>
        <v/>
      </c>
      <c r="X52" s="1" t="str">
        <f aca="false">IF($H52="Critical",$F52,"")</f>
        <v/>
      </c>
    </row>
    <row r="53" customFormat="false" ht="30" hidden="false" customHeight="true" outlineLevel="0" collapsed="false">
      <c r="A53" s="11" t="str">
        <f aca="false">"R-"&amp;TEXT(ROW()-3,"000")</f>
        <v>R-050</v>
      </c>
      <c r="B53" s="12"/>
      <c r="C53" s="13"/>
      <c r="D53" s="14"/>
      <c r="E53" s="11"/>
      <c r="F53" s="11"/>
      <c r="G53" s="11" t="str">
        <f aca="false">IF(OR(E53="",F53=""),"",E53*F53)</f>
        <v/>
      </c>
      <c r="H53" s="11" t="str">
        <f aca="false">IF(G53="","",IF(G53&lt;=4,"Low",IF(G53&lt;=9,"Medium",IF(G53&lt;=15,"High","Critical"))))</f>
        <v/>
      </c>
      <c r="I53" s="14"/>
      <c r="J53" s="14"/>
      <c r="K53" s="13"/>
      <c r="L53" s="12"/>
      <c r="M53" s="11"/>
      <c r="N53" s="12"/>
      <c r="O53" s="14"/>
      <c r="Q53" s="1" t="str">
        <f aca="false">IF($H53="Low",$E53,"")</f>
        <v/>
      </c>
      <c r="R53" s="1" t="str">
        <f aca="false">IF($H53="Low",$F53,"")</f>
        <v/>
      </c>
      <c r="S53" s="1" t="str">
        <f aca="false">IF($H53="Medium",$E53,"")</f>
        <v/>
      </c>
      <c r="T53" s="1" t="str">
        <f aca="false">IF($H53="Medium",$F53,"")</f>
        <v/>
      </c>
      <c r="U53" s="1" t="str">
        <f aca="false">IF($H53="High",$E53,"")</f>
        <v/>
      </c>
      <c r="V53" s="1" t="str">
        <f aca="false">IF($H53="High",$F53,"")</f>
        <v/>
      </c>
      <c r="W53" s="1" t="str">
        <f aca="false">IF($H53="Critical",$E53,"")</f>
        <v/>
      </c>
      <c r="X53" s="1" t="str">
        <f aca="false">IF($H53="Critical",$F53,"")</f>
        <v/>
      </c>
    </row>
  </sheetData>
  <mergeCells count="2">
    <mergeCell ref="A1:O1"/>
    <mergeCell ref="A2:O2"/>
  </mergeCells>
  <conditionalFormatting sqref="H4:H53">
    <cfRule type="expression" priority="2" aboveAverage="0" equalAverage="0" bottom="0" percent="0" rank="0" text="" dxfId="0">
      <formula>$H4="Low"</formula>
    </cfRule>
    <cfRule type="expression" priority="3" aboveAverage="0" equalAverage="0" bottom="0" percent="0" rank="0" text="" dxfId="1">
      <formula>$H4="Medium"</formula>
    </cfRule>
    <cfRule type="expression" priority="4" aboveAverage="0" equalAverage="0" bottom="0" percent="0" rank="0" text="" dxfId="2">
      <formula>$H4="High"</formula>
    </cfRule>
    <cfRule type="expression" priority="5" aboveAverage="0" equalAverage="0" bottom="0" percent="0" rank="0" text="" dxfId="3">
      <formula>$H4="Critical"</formula>
    </cfRule>
  </conditionalFormatting>
  <conditionalFormatting sqref="G4:G53">
    <cfRule type="expression" priority="6" aboveAverage="0" equalAverage="0" bottom="0" percent="0" rank="0" text="" dxfId="4">
      <formula>AND($G4&lt;&gt;"",$G4&lt;=4)</formula>
    </cfRule>
    <cfRule type="expression" priority="7" aboveAverage="0" equalAverage="0" bottom="0" percent="0" rank="0" text="" dxfId="5">
      <formula>AND($G4&gt;=5,$G4&lt;=9)</formula>
    </cfRule>
    <cfRule type="expression" priority="8" aboveAverage="0" equalAverage="0" bottom="0" percent="0" rank="0" text="" dxfId="6">
      <formula>AND($G4&gt;=10,$G4&lt;=15)</formula>
    </cfRule>
    <cfRule type="expression" priority="9" aboveAverage="0" equalAverage="0" bottom="0" percent="0" rank="0" text="" dxfId="7">
      <formula>$G4&gt;=16</formula>
    </cfRule>
  </conditionalFormatting>
  <dataValidations count="3">
    <dataValidation allowBlank="true" error="Enter a whole number from 1 to 5." errorStyle="stop" errorTitle="Invalid Likelihood" operator="between" showDropDown="false" showErrorMessage="true" showInputMessage="false" sqref="E4:E53" type="list">
      <formula1>"1,2,3,4,5"</formula1>
      <formula2>0</formula2>
    </dataValidation>
    <dataValidation allowBlank="true" error="Enter a whole number from 1 to 5." errorStyle="stop" errorTitle="Invalid Severity" operator="between" showDropDown="false" showErrorMessage="true" showInputMessage="false" sqref="F4:F53" type="list">
      <formula1>"1,2,3,4,5"</formula1>
      <formula2>0</formula2>
    </dataValidation>
    <dataValidation allowBlank="true" errorStyle="stop" operator="between" showDropDown="false" showErrorMessage="true" showInputMessage="false" sqref="M4:M53" type="list">
      <formula1>"Open,In Progress,Monitoring,Closed"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11" min="3" style="1" width="12"/>
  </cols>
  <sheetData>
    <row r="1" customFormat="false" ht="25.5" hidden="false" customHeight="true" outlineLevel="0" collapsed="false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4" hidden="false" customHeight="true" outlineLevel="0" collapsed="false">
      <c r="A2" s="3" t="s">
        <v>44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C4" s="15" t="s">
        <v>45</v>
      </c>
      <c r="D4" s="15"/>
      <c r="E4" s="15"/>
      <c r="F4" s="15"/>
      <c r="G4" s="15"/>
    </row>
    <row r="5" customFormat="false" ht="15" hidden="false" customHeight="true" outlineLevel="0" collapsed="false">
      <c r="C5" s="16" t="n">
        <v>1</v>
      </c>
      <c r="D5" s="16" t="n">
        <v>2</v>
      </c>
      <c r="E5" s="16" t="n">
        <v>3</v>
      </c>
      <c r="F5" s="16" t="n">
        <v>4</v>
      </c>
      <c r="G5" s="16" t="n">
        <v>5</v>
      </c>
    </row>
    <row r="6" customFormat="false" ht="36" hidden="false" customHeight="true" outlineLevel="0" collapsed="false">
      <c r="A6" s="17" t="s">
        <v>46</v>
      </c>
      <c r="B6" s="16" t="n">
        <v>5</v>
      </c>
      <c r="C6" s="18" t="str">
        <f aca="false" t="array" ref="C6:C6">IFERROR(_xlfn.TEXTJOIN(", ",TRUE(),IF(('Risk Register'!$E$4:$E$53=1)*('Risk Register'!$F$4:$F$53=5),'Risk Register'!$A$4:$A$53,"")),"")</f>
        <v/>
      </c>
      <c r="D6" s="19" t="str">
        <f aca="false" t="array" ref="D6:D6">IFERROR(_xlfn.TEXTJOIN(", ",TRUE(),IF(('Risk Register'!$E$4:$E$53=2)*('Risk Register'!$F$4:$F$53=5),'Risk Register'!$A$4:$A$53,"")),"")</f>
        <v>R-003</v>
      </c>
      <c r="E6" s="19" t="str">
        <f aca="false" t="array" ref="E6:E6">IFERROR(_xlfn.TEXTJOIN(", ",TRUE(),IF(('Risk Register'!$E$4:$E$53=3)*('Risk Register'!$F$4:$F$53=5),'Risk Register'!$A$4:$A$53,"")),"")</f>
        <v/>
      </c>
      <c r="F6" s="20" t="str">
        <f aca="false" t="array" ref="F6:F6">IFERROR(_xlfn.TEXTJOIN(", ",TRUE(),IF(('Risk Register'!$E$4:$E$53=4)*('Risk Register'!$F$4:$F$53=5),'Risk Register'!$A$4:$A$53,"")),"")</f>
        <v/>
      </c>
      <c r="G6" s="20" t="str">
        <f aca="false" t="array" ref="G6:G6">IFERROR(_xlfn.TEXTJOIN(", ",TRUE(),IF(('Risk Register'!$E$4:$E$53=5)*('Risk Register'!$F$4:$F$53=5),'Risk Register'!$A$4:$A$53,"")),"")</f>
        <v/>
      </c>
    </row>
    <row r="7" customFormat="false" ht="36" hidden="false" customHeight="true" outlineLevel="0" collapsed="false">
      <c r="A7" s="17"/>
      <c r="B7" s="16" t="n">
        <v>4</v>
      </c>
      <c r="C7" s="21" t="str">
        <f aca="false" t="array" ref="C7:C7">IFERROR(_xlfn.TEXTJOIN(", ",TRUE(),IF(('Risk Register'!$E$4:$E$53=1)*('Risk Register'!$F$4:$F$53=4),'Risk Register'!$A$4:$A$53,"")),"")</f>
        <v/>
      </c>
      <c r="D7" s="18" t="str">
        <f aca="false" t="array" ref="D7:D7">IFERROR(_xlfn.TEXTJOIN(", ",TRUE(),IF(('Risk Register'!$E$4:$E$53=2)*('Risk Register'!$F$4:$F$53=4),'Risk Register'!$A$4:$A$53,"")),"")</f>
        <v/>
      </c>
      <c r="E7" s="19" t="str">
        <f aca="false" t="array" ref="E7:E7">IFERROR(_xlfn.TEXTJOIN(", ",TRUE(),IF(('Risk Register'!$E$4:$E$53=3)*('Risk Register'!$F$4:$F$53=4),'Risk Register'!$A$4:$A$53,"")),"")</f>
        <v>R-001</v>
      </c>
      <c r="F7" s="20" t="str">
        <f aca="false" t="array" ref="F7:F7">IFERROR(_xlfn.TEXTJOIN(", ",TRUE(),IF(('Risk Register'!$E$4:$E$53=4)*('Risk Register'!$F$4:$F$53=4),'Risk Register'!$A$4:$A$53,"")),"")</f>
        <v/>
      </c>
      <c r="G7" s="20" t="str">
        <f aca="false" t="array" ref="G7:G7">IFERROR(_xlfn.TEXTJOIN(", ",TRUE(),IF(('Risk Register'!$E$4:$E$53=5)*('Risk Register'!$F$4:$F$53=4),'Risk Register'!$A$4:$A$53,"")),"")</f>
        <v/>
      </c>
    </row>
    <row r="8" customFormat="false" ht="36" hidden="false" customHeight="true" outlineLevel="0" collapsed="false">
      <c r="A8" s="17"/>
      <c r="B8" s="16" t="n">
        <v>3</v>
      </c>
      <c r="C8" s="21" t="str">
        <f aca="false" t="array" ref="C8:C8">IFERROR(_xlfn.TEXTJOIN(", ",TRUE(),IF(('Risk Register'!$E$4:$E$53=1)*('Risk Register'!$F$4:$F$53=3),'Risk Register'!$A$4:$A$53,"")),"")</f>
        <v/>
      </c>
      <c r="D8" s="18" t="str">
        <f aca="false" t="array" ref="D8:D8">IFERROR(_xlfn.TEXTJOIN(", ",TRUE(),IF(('Risk Register'!$E$4:$E$53=2)*('Risk Register'!$F$4:$F$53=3),'Risk Register'!$A$4:$A$53,"")),"")</f>
        <v>R-002</v>
      </c>
      <c r="E8" s="18" t="str">
        <f aca="false" t="array" ref="E8:E8">IFERROR(_xlfn.TEXTJOIN(", ",TRUE(),IF(('Risk Register'!$E$4:$E$53=3)*('Risk Register'!$F$4:$F$53=3),'Risk Register'!$A$4:$A$53,"")),"")</f>
        <v/>
      </c>
      <c r="F8" s="19" t="str">
        <f aca="false" t="array" ref="F8:F8">IFERROR(_xlfn.TEXTJOIN(", ",TRUE(),IF(('Risk Register'!$E$4:$E$53=4)*('Risk Register'!$F$4:$F$53=3),'Risk Register'!$A$4:$A$53,"")),"")</f>
        <v/>
      </c>
      <c r="G8" s="19" t="str">
        <f aca="false" t="array" ref="G8:G8">IFERROR(_xlfn.TEXTJOIN(", ",TRUE(),IF(('Risk Register'!$E$4:$E$53=5)*('Risk Register'!$F$4:$F$53=3),'Risk Register'!$A$4:$A$53,"")),"")</f>
        <v/>
      </c>
    </row>
    <row r="9" customFormat="false" ht="36" hidden="false" customHeight="true" outlineLevel="0" collapsed="false">
      <c r="A9" s="17"/>
      <c r="B9" s="16" t="n">
        <v>2</v>
      </c>
      <c r="C9" s="21" t="str">
        <f aca="false" t="array" ref="C9:C9">IFERROR(_xlfn.TEXTJOIN(", ",TRUE(),IF(('Risk Register'!$E$4:$E$53=1)*('Risk Register'!$F$4:$F$53=2),'Risk Register'!$A$4:$A$53,"")),"")</f>
        <v/>
      </c>
      <c r="D9" s="21" t="str">
        <f aca="false" t="array" ref="D9:D9">IFERROR(_xlfn.TEXTJOIN(", ",TRUE(),IF(('Risk Register'!$E$4:$E$53=2)*('Risk Register'!$F$4:$F$53=2),'Risk Register'!$A$4:$A$53,"")),"")</f>
        <v/>
      </c>
      <c r="E9" s="18" t="str">
        <f aca="false" t="array" ref="E9:E9">IFERROR(_xlfn.TEXTJOIN(", ",TRUE(),IF(('Risk Register'!$E$4:$E$53=3)*('Risk Register'!$F$4:$F$53=2),'Risk Register'!$A$4:$A$53,"")),"")</f>
        <v/>
      </c>
      <c r="F9" s="18" t="str">
        <f aca="false" t="array" ref="F9:F9">IFERROR(_xlfn.TEXTJOIN(", ",TRUE(),IF(('Risk Register'!$E$4:$E$53=4)*('Risk Register'!$F$4:$F$53=2),'Risk Register'!$A$4:$A$53,"")),"")</f>
        <v/>
      </c>
      <c r="G9" s="19" t="str">
        <f aca="false" t="array" ref="G9:G9">IFERROR(_xlfn.TEXTJOIN(", ",TRUE(),IF(('Risk Register'!$E$4:$E$53=5)*('Risk Register'!$F$4:$F$53=2),'Risk Register'!$A$4:$A$53,"")),"")</f>
        <v/>
      </c>
    </row>
    <row r="10" customFormat="false" ht="36" hidden="false" customHeight="true" outlineLevel="0" collapsed="false">
      <c r="A10" s="17"/>
      <c r="B10" s="16" t="n">
        <v>1</v>
      </c>
      <c r="C10" s="21" t="str">
        <f aca="false" t="array" ref="C10:C10">IFERROR(_xlfn.TEXTJOIN(", ",TRUE(),IF(('Risk Register'!$E$4:$E$53=1)*('Risk Register'!$F$4:$F$53=1),'Risk Register'!$A$4:$A$53,"")),"")</f>
        <v/>
      </c>
      <c r="D10" s="21" t="str">
        <f aca="false" t="array" ref="D10:D10">IFERROR(_xlfn.TEXTJOIN(", ",TRUE(),IF(('Risk Register'!$E$4:$E$53=2)*('Risk Register'!$F$4:$F$53=1),'Risk Register'!$A$4:$A$53,"")),"")</f>
        <v/>
      </c>
      <c r="E10" s="21" t="str">
        <f aca="false" t="array" ref="E10:E10">IFERROR(_xlfn.TEXTJOIN(", ",TRUE(),IF(('Risk Register'!$E$4:$E$53=3)*('Risk Register'!$F$4:$F$53=1),'Risk Register'!$A$4:$A$53,"")),"")</f>
        <v/>
      </c>
      <c r="F10" s="21" t="str">
        <f aca="false" t="array" ref="F10:F10">IFERROR(_xlfn.TEXTJOIN(", ",TRUE(),IF(('Risk Register'!$E$4:$E$53=4)*('Risk Register'!$F$4:$F$53=1),'Risk Register'!$A$4:$A$53,"")),"")</f>
        <v/>
      </c>
      <c r="G10" s="18" t="str">
        <f aca="false" t="array" ref="G10:G10">IFERROR(_xlfn.TEXTJOIN(", ",TRUE(),IF(('Risk Register'!$E$4:$E$53=5)*('Risk Register'!$F$4:$F$53=1),'Risk Register'!$A$4:$A$53,"")),"")</f>
        <v/>
      </c>
    </row>
    <row r="11" customFormat="false" ht="15" hidden="false" customHeight="true" outlineLevel="0" collapsed="false">
      <c r="C11" s="22" t="s">
        <v>47</v>
      </c>
      <c r="D11" s="22"/>
      <c r="E11" s="22"/>
      <c r="F11" s="22"/>
      <c r="G11" s="22"/>
    </row>
    <row r="13" customFormat="false" ht="15" hidden="false" customHeight="true" outlineLevel="0" collapsed="false">
      <c r="A13" s="23" t="s">
        <v>48</v>
      </c>
      <c r="B13" s="23"/>
    </row>
    <row r="14" customFormat="false" ht="15" hidden="false" customHeight="true" outlineLevel="0" collapsed="false">
      <c r="A14" s="24" t="s">
        <v>49</v>
      </c>
      <c r="B14" s="24" t="s">
        <v>50</v>
      </c>
      <c r="C14" s="25" t="s">
        <v>51</v>
      </c>
      <c r="D14" s="25"/>
      <c r="E14" s="25"/>
    </row>
    <row r="15" customFormat="false" ht="27.75" hidden="false" customHeight="true" outlineLevel="0" collapsed="false">
      <c r="A15" s="26" t="s">
        <v>52</v>
      </c>
      <c r="B15" s="27" t="s">
        <v>53</v>
      </c>
      <c r="C15" s="28" t="s">
        <v>54</v>
      </c>
      <c r="D15" s="28"/>
      <c r="E15" s="28"/>
    </row>
    <row r="16" customFormat="false" ht="27.75" hidden="false" customHeight="true" outlineLevel="0" collapsed="false">
      <c r="A16" s="29" t="s">
        <v>55</v>
      </c>
      <c r="B16" s="27" t="s">
        <v>56</v>
      </c>
      <c r="C16" s="28" t="s">
        <v>57</v>
      </c>
      <c r="D16" s="28"/>
      <c r="E16" s="28"/>
    </row>
    <row r="17" customFormat="false" ht="27.75" hidden="false" customHeight="true" outlineLevel="0" collapsed="false">
      <c r="A17" s="30" t="s">
        <v>58</v>
      </c>
      <c r="B17" s="27" t="s">
        <v>59</v>
      </c>
      <c r="C17" s="28" t="s">
        <v>60</v>
      </c>
      <c r="D17" s="28"/>
      <c r="E17" s="28"/>
    </row>
    <row r="18" customFormat="false" ht="27.75" hidden="false" customHeight="true" outlineLevel="0" collapsed="false">
      <c r="A18" s="31" t="s">
        <v>61</v>
      </c>
      <c r="B18" s="27" t="s">
        <v>62</v>
      </c>
      <c r="C18" s="28" t="s">
        <v>63</v>
      </c>
      <c r="D18" s="28"/>
      <c r="E18" s="28"/>
    </row>
  </sheetData>
  <mergeCells count="11">
    <mergeCell ref="A1:K1"/>
    <mergeCell ref="A2:K2"/>
    <mergeCell ref="C4:G4"/>
    <mergeCell ref="A6:A10"/>
    <mergeCell ref="C11:G11"/>
    <mergeCell ref="A13:B13"/>
    <mergeCell ref="C14:E14"/>
    <mergeCell ref="C15:E15"/>
    <mergeCell ref="C16:E16"/>
    <mergeCell ref="C17:E17"/>
    <mergeCell ref="C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55"/>
  </cols>
  <sheetData>
    <row r="1" customFormat="false" ht="25.5" hidden="false" customHeight="true" outlineLevel="0" collapsed="false">
      <c r="A1" s="2" t="s">
        <v>64</v>
      </c>
      <c r="B1" s="2"/>
      <c r="C1" s="2"/>
    </row>
    <row r="2" customFormat="false" ht="30" hidden="false" customHeight="true" outlineLevel="0" collapsed="false">
      <c r="A2" s="3" t="s">
        <v>65</v>
      </c>
      <c r="B2" s="3"/>
      <c r="C2" s="3"/>
    </row>
    <row r="4" customFormat="false" ht="21.75" hidden="false" customHeight="true" outlineLevel="0" collapsed="false">
      <c r="A4" s="32" t="s">
        <v>66</v>
      </c>
      <c r="B4" s="32"/>
      <c r="C4" s="32"/>
    </row>
    <row r="5" customFormat="false" ht="15" hidden="false" customHeight="true" outlineLevel="0" collapsed="false">
      <c r="A5" s="33" t="s">
        <v>67</v>
      </c>
      <c r="B5" s="33" t="s">
        <v>68</v>
      </c>
      <c r="C5" s="33" t="s">
        <v>69</v>
      </c>
    </row>
    <row r="6" customFormat="false" ht="30" hidden="false" customHeight="true" outlineLevel="0" collapsed="false">
      <c r="A6" s="27" t="n">
        <v>1</v>
      </c>
      <c r="B6" s="34" t="s">
        <v>70</v>
      </c>
      <c r="C6" s="35" t="s">
        <v>71</v>
      </c>
    </row>
    <row r="7" customFormat="false" ht="30" hidden="false" customHeight="true" outlineLevel="0" collapsed="false">
      <c r="A7" s="27" t="n">
        <v>2</v>
      </c>
      <c r="B7" s="34" t="s">
        <v>72</v>
      </c>
      <c r="C7" s="35" t="s">
        <v>73</v>
      </c>
    </row>
    <row r="8" customFormat="false" ht="30" hidden="false" customHeight="true" outlineLevel="0" collapsed="false">
      <c r="A8" s="27" t="n">
        <v>3</v>
      </c>
      <c r="B8" s="34" t="s">
        <v>74</v>
      </c>
      <c r="C8" s="35" t="s">
        <v>75</v>
      </c>
    </row>
    <row r="9" customFormat="false" ht="30" hidden="false" customHeight="true" outlineLevel="0" collapsed="false">
      <c r="A9" s="27" t="n">
        <v>4</v>
      </c>
      <c r="B9" s="34" t="s">
        <v>76</v>
      </c>
      <c r="C9" s="35" t="s">
        <v>77</v>
      </c>
    </row>
    <row r="10" customFormat="false" ht="30" hidden="false" customHeight="true" outlineLevel="0" collapsed="false">
      <c r="A10" s="27" t="n">
        <v>5</v>
      </c>
      <c r="B10" s="34" t="s">
        <v>78</v>
      </c>
      <c r="C10" s="35" t="s">
        <v>79</v>
      </c>
    </row>
    <row r="12" customFormat="false" ht="21.75" hidden="false" customHeight="true" outlineLevel="0" collapsed="false">
      <c r="A12" s="32" t="s">
        <v>80</v>
      </c>
      <c r="B12" s="32"/>
      <c r="C12" s="32"/>
    </row>
    <row r="13" customFormat="false" ht="15" hidden="false" customHeight="true" outlineLevel="0" collapsed="false">
      <c r="A13" s="33" t="s">
        <v>67</v>
      </c>
      <c r="B13" s="33" t="s">
        <v>68</v>
      </c>
      <c r="C13" s="33" t="s">
        <v>69</v>
      </c>
    </row>
    <row r="14" customFormat="false" ht="31.5" hidden="false" customHeight="true" outlineLevel="0" collapsed="false">
      <c r="A14" s="27" t="n">
        <v>1</v>
      </c>
      <c r="B14" s="34" t="s">
        <v>81</v>
      </c>
      <c r="C14" s="35" t="s">
        <v>82</v>
      </c>
    </row>
    <row r="15" customFormat="false" ht="31.5" hidden="false" customHeight="true" outlineLevel="0" collapsed="false">
      <c r="A15" s="27" t="n">
        <v>2</v>
      </c>
      <c r="B15" s="34" t="s">
        <v>83</v>
      </c>
      <c r="C15" s="35" t="s">
        <v>84</v>
      </c>
    </row>
    <row r="16" customFormat="false" ht="31.5" hidden="false" customHeight="true" outlineLevel="0" collapsed="false">
      <c r="A16" s="27" t="n">
        <v>3</v>
      </c>
      <c r="B16" s="34" t="s">
        <v>85</v>
      </c>
      <c r="C16" s="35" t="s">
        <v>86</v>
      </c>
    </row>
    <row r="17" customFormat="false" ht="31.5" hidden="false" customHeight="true" outlineLevel="0" collapsed="false">
      <c r="A17" s="27" t="n">
        <v>4</v>
      </c>
      <c r="B17" s="34" t="s">
        <v>87</v>
      </c>
      <c r="C17" s="35" t="s">
        <v>88</v>
      </c>
    </row>
    <row r="18" customFormat="false" ht="31.5" hidden="false" customHeight="true" outlineLevel="0" collapsed="false">
      <c r="A18" s="27" t="n">
        <v>5</v>
      </c>
      <c r="B18" s="34" t="s">
        <v>89</v>
      </c>
      <c r="C18" s="35" t="s">
        <v>90</v>
      </c>
    </row>
    <row r="20" customFormat="false" ht="21.75" hidden="false" customHeight="true" outlineLevel="0" collapsed="false">
      <c r="A20" s="32" t="s">
        <v>91</v>
      </c>
      <c r="B20" s="32"/>
      <c r="C20" s="32"/>
    </row>
    <row r="21" customFormat="false" ht="15" hidden="false" customHeight="true" outlineLevel="0" collapsed="false">
      <c r="A21" s="33" t="s">
        <v>49</v>
      </c>
      <c r="B21" s="33" t="s">
        <v>50</v>
      </c>
      <c r="C21" s="33" t="s">
        <v>92</v>
      </c>
    </row>
    <row r="22" customFormat="false" ht="27.75" hidden="false" customHeight="true" outlineLevel="0" collapsed="false">
      <c r="A22" s="26" t="s">
        <v>52</v>
      </c>
      <c r="B22" s="27" t="s">
        <v>53</v>
      </c>
      <c r="C22" s="35" t="s">
        <v>93</v>
      </c>
    </row>
    <row r="23" customFormat="false" ht="27.75" hidden="false" customHeight="true" outlineLevel="0" collapsed="false">
      <c r="A23" s="29" t="s">
        <v>55</v>
      </c>
      <c r="B23" s="27" t="s">
        <v>56</v>
      </c>
      <c r="C23" s="35" t="s">
        <v>94</v>
      </c>
    </row>
    <row r="24" customFormat="false" ht="27.75" hidden="false" customHeight="true" outlineLevel="0" collapsed="false">
      <c r="A24" s="30" t="s">
        <v>58</v>
      </c>
      <c r="B24" s="27" t="s">
        <v>59</v>
      </c>
      <c r="C24" s="35" t="s">
        <v>95</v>
      </c>
    </row>
    <row r="25" customFormat="false" ht="27.75" hidden="false" customHeight="true" outlineLevel="0" collapsed="false">
      <c r="A25" s="31" t="s">
        <v>61</v>
      </c>
      <c r="B25" s="27" t="s">
        <v>62</v>
      </c>
      <c r="C25" s="35" t="s">
        <v>96</v>
      </c>
    </row>
  </sheetData>
  <mergeCells count="5">
    <mergeCell ref="A1:C1"/>
    <mergeCell ref="A2:C2"/>
    <mergeCell ref="A4:C4"/>
    <mergeCell ref="A12:C12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50"/>
  </cols>
  <sheetData>
    <row r="1" customFormat="false" ht="25.5" hidden="false" customHeight="true" outlineLevel="0" collapsed="false">
      <c r="A1" s="2" t="s">
        <v>97</v>
      </c>
      <c r="B1" s="2"/>
      <c r="C1" s="2"/>
    </row>
    <row r="2" customFormat="false" ht="27.75" hidden="false" customHeight="true" outlineLevel="0" collapsed="false">
      <c r="A2" s="3" t="s">
        <v>98</v>
      </c>
      <c r="B2" s="3"/>
      <c r="C2" s="3"/>
    </row>
    <row r="3" customFormat="false" ht="15" hidden="false" customHeight="true" outlineLevel="0" collapsed="false">
      <c r="A3" s="24" t="s">
        <v>99</v>
      </c>
      <c r="B3" s="24" t="s">
        <v>100</v>
      </c>
      <c r="C3" s="24" t="s">
        <v>101</v>
      </c>
    </row>
    <row r="4" customFormat="false" ht="42" hidden="false" customHeight="true" outlineLevel="0" collapsed="false">
      <c r="A4" s="36" t="s">
        <v>102</v>
      </c>
      <c r="B4" s="27" t="s">
        <v>103</v>
      </c>
      <c r="C4" s="35" t="s">
        <v>104</v>
      </c>
    </row>
    <row r="5" customFormat="false" ht="42" hidden="false" customHeight="true" outlineLevel="0" collapsed="false">
      <c r="A5" s="36" t="s">
        <v>105</v>
      </c>
      <c r="B5" s="27" t="s">
        <v>106</v>
      </c>
      <c r="C5" s="35" t="s">
        <v>107</v>
      </c>
    </row>
    <row r="6" customFormat="false" ht="42" hidden="false" customHeight="true" outlineLevel="0" collapsed="false">
      <c r="A6" s="36" t="s">
        <v>108</v>
      </c>
      <c r="B6" s="27" t="s">
        <v>109</v>
      </c>
      <c r="C6" s="35" t="s">
        <v>110</v>
      </c>
    </row>
    <row r="7" customFormat="false" ht="42" hidden="false" customHeight="true" outlineLevel="0" collapsed="false">
      <c r="A7" s="36" t="s">
        <v>111</v>
      </c>
      <c r="B7" s="27" t="s">
        <v>112</v>
      </c>
      <c r="C7" s="35" t="s">
        <v>113</v>
      </c>
    </row>
    <row r="8" customFormat="false" ht="42" hidden="false" customHeight="true" outlineLevel="0" collapsed="false">
      <c r="A8" s="36" t="s">
        <v>114</v>
      </c>
      <c r="B8" s="27" t="s">
        <v>115</v>
      </c>
      <c r="C8" s="35" t="s">
        <v>116</v>
      </c>
    </row>
    <row r="9" customFormat="false" ht="42" hidden="false" customHeight="true" outlineLevel="0" collapsed="false">
      <c r="A9" s="36" t="s">
        <v>117</v>
      </c>
      <c r="B9" s="27" t="s">
        <v>118</v>
      </c>
      <c r="C9" s="35" t="s">
        <v>119</v>
      </c>
    </row>
    <row r="10" customFormat="false" ht="42" hidden="false" customHeight="true" outlineLevel="0" collapsed="false">
      <c r="A10" s="36" t="s">
        <v>120</v>
      </c>
      <c r="B10" s="27" t="s">
        <v>121</v>
      </c>
      <c r="C10" s="35" t="s">
        <v>122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2026-06-22T13:35:30Z</dcterms:created>
  <dc:creator>openpyxl</dc:creator>
  <dc:description/>
  <dc:language>en-US</dc:language>
  <cp:lastModifiedBy/>
  <dcterms:modified xsi:type="dcterms:W3CDTF">2026-06-22T13:43:15Z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