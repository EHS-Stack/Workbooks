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Lead Waste Log" sheetId="1" state="visible" r:id="rId3"/>
    <sheet name="Copper Waste Log" sheetId="2" state="visible" r:id="rId4"/>
    <sheet name="Shell Casings Log" sheetId="3" state="visible" r:id="rId5"/>
    <sheet name="Shipment Log" sheetId="4" state="visible" r:id="rId6"/>
    <sheet name="Regulatory Reference" sheetId="5" state="visible" r:id="rId7"/>
    <sheet name="Instructions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<sst xmlns="http://schemas.openxmlformats.org/spreadsheetml/2006/main" count="315" uniqueCount="219">
  <si>
    <t xml:space="preserve">FIRING RANGE WASTE &amp; RECYCLING LOG — LEAD BULLET / TRAP WASTE</t>
  </si>
  <si>
    <t xml:space="preserve">Facility Name:</t>
  </si>
  <si>
    <t xml:space="preserve">[Enter Facility Name]</t>
  </si>
  <si>
    <t xml:space="preserve">Year:</t>
  </si>
  <si>
    <t xml:space="preserve">Entry #</t>
  </si>
  <si>
    <t xml:space="preserve">Waste Description</t>
  </si>
  <si>
    <t xml:space="preserve">Accumulation
Date</t>
  </si>
  <si>
    <t xml:space="preserve">Storage Location</t>
  </si>
  <si>
    <t xml:space="preserve">Drum Type / Size</t>
  </si>
  <si>
    <t xml:space="preserve">Weight
(lbs)</t>
  </si>
  <si>
    <t xml:space="preserve">Shipped Date</t>
  </si>
  <si>
    <t xml:space="preserve">Carrier / Recycler</t>
  </si>
  <si>
    <t xml:space="preserve">Status</t>
  </si>
  <si>
    <t xml:space="preserve">Notes</t>
  </si>
  <si>
    <t xml:space="preserve">LED-001</t>
  </si>
  <si>
    <t xml:space="preserve">Lead Bullet / Trap Waste</t>
  </si>
  <si>
    <t xml:space="preserve">MM/DD/YYYY</t>
  </si>
  <si>
    <t xml:space="preserve">[Building / Room / Bay]</t>
  </si>
  <si>
    <t xml:space="preserve">55 Gallon Drum</t>
  </si>
  <si>
    <t xml:space="preserve">N/A</t>
  </si>
  <si>
    <t xml:space="preserve">[Hauler Name]</t>
  </si>
  <si>
    <t xml:space="preserve">Pending Shipment</t>
  </si>
  <si>
    <t xml:space="preserve">[Optional notes]</t>
  </si>
  <si>
    <t xml:space="preserve">SUMMARY STATISTICS</t>
  </si>
  <si>
    <t xml:space="preserve">Total Drum Entries</t>
  </si>
  <si>
    <t xml:space="preserve">Total Weight (lbs)</t>
  </si>
  <si>
    <t xml:space="preserve">Average Weight (lbs)</t>
  </si>
  <si>
    <t xml:space="preserve">Minimum Weight (lbs)</t>
  </si>
  <si>
    <t xml:space="preserve">Maximum Weight (lbs)</t>
  </si>
  <si>
    <t xml:space="preserve">Pending Shipment Count</t>
  </si>
  <si>
    <t xml:space="preserve">Shipped Count</t>
  </si>
  <si>
    <t xml:space="preserve">Latest Accumulation Date</t>
  </si>
  <si>
    <t xml:space="preserve">FIRING RANGE WASTE &amp; RECYCLING LOG — COPPER DUST / JACKET WASTE</t>
  </si>
  <si>
    <t xml:space="preserve">COP-001</t>
  </si>
  <si>
    <t xml:space="preserve">Copper Dust / Jacket Waste</t>
  </si>
  <si>
    <t xml:space="preserve">FIRING RANGE WASTE &amp; RECYCLING LOG — SHELL CASINGS</t>
  </si>
  <si>
    <t xml:space="preserve">Shell Metal
Type</t>
  </si>
  <si>
    <t xml:space="preserve">SHL-001</t>
  </si>
  <si>
    <t xml:space="preserve">Shell Casings</t>
  </si>
  <si>
    <t xml:space="preserve">[See dropdown]</t>
  </si>
  <si>
    <t xml:space="preserve">HAZARDOUS WASTE SHIPMENT LOG — FIRING RANGE WASTE</t>
  </si>
  <si>
    <t xml:space="preserve">Record each off-site waste shipment. Retain a copy of the signed manifest in your EHS records file.</t>
  </si>
  <si>
    <t xml:space="preserve">Manifest #</t>
  </si>
  <si>
    <t xml:space="preserve">Waste Stream</t>
  </si>
  <si>
    <t xml:space="preserve">Drum / Container
Qty</t>
  </si>
  <si>
    <t xml:space="preserve">Total Weight
(lbs)</t>
  </si>
  <si>
    <t xml:space="preserve">Waste Code
(EPA)</t>
  </si>
  <si>
    <t xml:space="preserve">UN Number</t>
  </si>
  <si>
    <t xml:space="preserve">Carrier / Hauler</t>
  </si>
  <si>
    <t xml:space="preserve">Disposal / Recycling
Facility</t>
  </si>
  <si>
    <t xml:space="preserve">Shipment Date</t>
  </si>
  <si>
    <t xml:space="preserve">Received Date</t>
  </si>
  <si>
    <t xml:space="preserve">Notes / Compliance
Verification</t>
  </si>
  <si>
    <t xml:space="preserve">[MFxxxxxx]</t>
  </si>
  <si>
    <t xml:space="preserve">Lead Bullet Waste</t>
  </si>
  <si>
    <t xml:space="preserve">1</t>
  </si>
  <si>
    <t xml:space="preserve">D008</t>
  </si>
  <si>
    <t xml:space="preserve">UN3077</t>
  </si>
  <si>
    <t xml:space="preserve">[Carrier Name]</t>
  </si>
  <si>
    <t xml:space="preserve">[Facility Name]</t>
  </si>
  <si>
    <t xml:space="preserve">Manifest copy filed in EHS records.</t>
  </si>
  <si>
    <t xml:space="preserve">REGULATORY REFERENCE — FIRING RANGE WASTE &amp; RECYCLING</t>
  </si>
  <si>
    <t xml:space="preserve">Key federal regulations governing lead/copper waste, shell casing recycling, and firing range environmental compliance. Add applicable state/local rules in the rows provided at the bottom.</t>
  </si>
  <si>
    <t xml:space="preserve">Agency</t>
  </si>
  <si>
    <t xml:space="preserve">Citation / Standard</t>
  </si>
  <si>
    <t xml:space="preserve">Requirement / Applicability</t>
  </si>
  <si>
    <t xml:space="preserve">Key Threshold / Action Level</t>
  </si>
  <si>
    <t xml:space="preserve">Applicability to Firing Ranges</t>
  </si>
  <si>
    <t xml:space="preserve">Official URL</t>
  </si>
  <si>
    <t xml:space="preserve">OSHA</t>
  </si>
  <si>
    <t xml:space="preserve">29 CFR 1910.1025</t>
  </si>
  <si>
    <t xml:space="preserve">Lead in General Industry — PEL and action level; applies to all workers handling lead bullet waste, cleaning traps, and managing lead-contaminated equipment.</t>
  </si>
  <si>
    <t xml:space="preserve">PEL: 50 µg/m³ TWA
Action Level: 30 µg/m³</t>
  </si>
  <si>
    <t xml:space="preserve">Mandatory. Includes medical surveillance, air monitoring, hygiene facilities, and training.</t>
  </si>
  <si>
    <t xml:space="preserve">https://www.osha.gov/laws-regs/regulations/standardnumber/1910/1910.1025</t>
  </si>
  <si>
    <t xml:space="preserve">29 CFR 1910.1200</t>
  </si>
  <si>
    <t xml:space="preserve">Hazard Communication Standard (HazCom/GHS) — SDS requirements, container labeling, and employee training for all hazardous waste streams.</t>
  </si>
  <si>
    <t xml:space="preserve">All hazardous chemicals on-site</t>
  </si>
  <si>
    <t xml:space="preserve">Required for labeling lead and copper waste drums; SDS access for employees.</t>
  </si>
  <si>
    <t xml:space="preserve">https://www.osha.gov/laws-regs/regulations/standardnumber/1910/1910.1200</t>
  </si>
  <si>
    <t xml:space="preserve">29 CFR 1910.134</t>
  </si>
  <si>
    <t xml:space="preserve">Respiratory Protection — required when engineering controls cannot maintain airborne lead below the PEL.</t>
  </si>
  <si>
    <t xml:space="preserve">When airborne lead &gt; PEL (50 µg/m³)</t>
  </si>
  <si>
    <t xml:space="preserve">Respirator program required for trap cleaning, bullet sweep-up, and drum filling.</t>
  </si>
  <si>
    <t xml:space="preserve">https://www.osha.gov/laws-regs/regulations/standardnumber/1910/1910.134</t>
  </si>
  <si>
    <t xml:space="preserve">29 CFR 1910.132–138</t>
  </si>
  <si>
    <t xml:space="preserve">Personal Protective Equipment — gloves, eye/face protection, and other PPE required during all waste handling operations.</t>
  </si>
  <si>
    <t xml:space="preserve">Employer hazard assessment required</t>
  </si>
  <si>
    <t xml:space="preserve">PPE selection must address lead dust, copper dust, and sharps hazards.</t>
  </si>
  <si>
    <t xml:space="preserve">https://www.osha.gov/laws-regs/regulations/standardnumber/1910/1910.132</t>
  </si>
  <si>
    <t xml:space="preserve">EPA / RCRA</t>
  </si>
  <si>
    <t xml:space="preserve">40 CFR Part 261</t>
  </si>
  <si>
    <t xml:space="preserve">Identification of Hazardous Waste — lead bullet waste typically qualifies as D008 characteristic hazardous waste; copper waste may also be D008 if contaminated with lead.</t>
  </si>
  <si>
    <t xml:space="preserve">D008 Lead TCLP threshold: 5 mg/L</t>
  </si>
  <si>
    <t xml:space="preserve">Waste characterization (TCLP or process knowledge) required before first shipment.</t>
  </si>
  <si>
    <t xml:space="preserve">https://www.ecfr.gov/current/title-40/chapter-I/subchapter-I/part-261</t>
  </si>
  <si>
    <t xml:space="preserve">40 CFR Part 262</t>
  </si>
  <si>
    <t xml:space="preserve">Standards for Hazardous Waste Generators — generator status classification, manifest requirements, and accumulation time limits.</t>
  </si>
  <si>
    <t xml:space="preserve">VSQG: &lt;100 kg/mo
SQG: 100–1,000 kg/mo
LQG: &gt;1,000 kg/mo</t>
  </si>
  <si>
    <t xml:space="preserve">Determines how long waste can accumulate on-site and whether manifests are required.</t>
  </si>
  <si>
    <t xml:space="preserve">https://www.ecfr.gov/current/title-40/chapter-I/subchapter-I/part-262</t>
  </si>
  <si>
    <t xml:space="preserve">40 CFR Part 268</t>
  </si>
  <si>
    <t xml:space="preserve">Land Disposal Restrictions (LDR) — treatment standards must be met before land disposal of D008 lead waste.</t>
  </si>
  <si>
    <t xml:space="preserve">D008 LDR treatment standards apply</t>
  </si>
  <si>
    <t xml:space="preserve">Required notification to disposal facility; treatment may be required prior to land disposal.</t>
  </si>
  <si>
    <t xml:space="preserve">https://www.ecfr.gov/current/title-40/chapter-I/subchapter-I/part-268</t>
  </si>
  <si>
    <t xml:space="preserve">40 CFR Part 273</t>
  </si>
  <si>
    <t xml:space="preserve">Universal Waste Standards — may apply to brass/aluminum shell casings and other scrap metals managed for reclamation.</t>
  </si>
  <si>
    <t xml:space="preserve">Facilitates scrap metal recycling pathway</t>
  </si>
  <si>
    <t xml:space="preserve">Verify with state environmental agency whether shell casings qualify as universal waste.</t>
  </si>
  <si>
    <t xml:space="preserve">https://www.ecfr.gov/current/title-40/chapter-I/subchapter-I/part-273</t>
  </si>
  <si>
    <t xml:space="preserve">EPA</t>
  </si>
  <si>
    <t xml:space="preserve">SW-846 Method 1311 (TCLP)</t>
  </si>
  <si>
    <t xml:space="preserve">Toxicity Characteristic Leaching Procedure — determines if lead-bearing waste exhibits D008 toxicity characteristic.</t>
  </si>
  <si>
    <t xml:space="preserve">Lead TCLP threshold: 5 mg/L</t>
  </si>
  <si>
    <t xml:space="preserve">Use TCLP to characterize bullet and copper waste if process knowledge is insufficient.</t>
  </si>
  <si>
    <t xml:space="preserve">https://www.epa.gov/hw-sw846/sw-846-test-method-1311-toxicity-characteristic-leaching-procedure</t>
  </si>
  <si>
    <t xml:space="preserve">DOT</t>
  </si>
  <si>
    <t xml:space="preserve">49 CFR Parts 171–180</t>
  </si>
  <si>
    <t xml:space="preserve">Hazardous Materials Regulations — classification, packaging, marking, labeling, placarding, and shipping papers for off-site transport of hazardous waste.</t>
  </si>
  <si>
    <t xml:space="preserve">Applies to all off-site hazmat shipments</t>
  </si>
  <si>
    <t xml:space="preserve">Use a licensed hazmat transporter; all manifested shipments must comply.</t>
  </si>
  <si>
    <t xml:space="preserve">https://www.ecfr.gov/current/title-49/subtitle-B/chapter-I/subchapter-C</t>
  </si>
  <si>
    <t xml:space="preserve">49 CFR Part 172</t>
  </si>
  <si>
    <t xml:space="preserve">Hazardous Materials Table — proper shipping names and UN numbers for lead-bearing waste.</t>
  </si>
  <si>
    <t xml:space="preserve">UN3077: Environmentally Hazardous Substance, Solid</t>
  </si>
  <si>
    <t xml:space="preserve">Use correct UN number and proper shipping name on hazardous waste manifest and packaging.</t>
  </si>
  <si>
    <t xml:space="preserve">https://www.ecfr.gov/current/title-49/subtitle-B/chapter-I/subchapter-C/part-172</t>
  </si>
  <si>
    <t xml:space="preserve">40 CFR Parts 264/265</t>
  </si>
  <si>
    <t xml:space="preserve">Standards for Hazardous Waste Storage — applies if on-site storage exceeds permitted accumulation time limits.</t>
  </si>
  <si>
    <t xml:space="preserve">LQG: 90 days | SQG: 270 days
VSQG: no time limit</t>
  </si>
  <si>
    <t xml:space="preserve">Exceeding accumulation time limits triggers TSD permit requirements.</t>
  </si>
  <si>
    <t xml:space="preserve">https://www.ecfr.gov/current/title-40/chapter-I/subchapter-I/part-264</t>
  </si>
  <si>
    <t xml:space="preserve">NIOSH</t>
  </si>
  <si>
    <t xml:space="preserve">NIOSH Pub. 2009-136</t>
  </si>
  <si>
    <t xml:space="preserve">Preventing Occupational Exposures to Lead and Noise at Indoor Firing Ranges — best practices for dust control, ventilation, wet sweeping, and hygiene.</t>
  </si>
  <si>
    <t xml:space="preserve">Guidance / Best Practice</t>
  </si>
  <si>
    <t xml:space="preserve">Strongly recommended for all indoor range operators.</t>
  </si>
  <si>
    <t xml:space="preserve">https://www.cdc.gov/niosh/docs/2009-136/</t>
  </si>
  <si>
    <t xml:space="preserve">STATE / LOCAL</t>
  </si>
  <si>
    <t xml:space="preserve">[Insert Citation]</t>
  </si>
  <si>
    <t xml:space="preserve">State environmental regulations may impose requirements beyond federal standards. Consult your state environmental agency for RCRA authorization rules, manifest tracking, and reporting.</t>
  </si>
  <si>
    <t xml:space="preserve">Varies by state</t>
  </si>
  <si>
    <t xml:space="preserve">Add applicable state rules here. Delete this row if not applicable.</t>
  </si>
  <si>
    <t xml:space="preserve">[Insert State Agency URL]</t>
  </si>
  <si>
    <t xml:space="preserve">[Additional state/local regulation — add as needed]</t>
  </si>
  <si>
    <t xml:space="preserve">[Threshold or limit]</t>
  </si>
  <si>
    <t xml:space="preserve">[Applicability description]</t>
  </si>
  <si>
    <t xml:space="preserve">[URL]</t>
  </si>
  <si>
    <t xml:space="preserve">FIRING RANGE WASTE &amp; RECYCLING LOG — INSTRUCTIONS &amp; SETUP</t>
  </si>
  <si>
    <t xml:space="preserve">Generic Template  |  No Branding  |  Free to Use and Distribute</t>
  </si>
  <si>
    <t xml:space="preserve">ABOUT THIS WORKBOOK</t>
  </si>
  <si>
    <t xml:space="preserve">Purpose</t>
  </si>
  <si>
    <t xml:space="preserve">This workbook tracks firing range waste streams including lead bullet residue, copper dust, and shell casings. It is designed for EHS professionals, range managers, and safety officers who need a simple, auditable record of waste accumulation, drum inventory, and shipment status.</t>
  </si>
  <si>
    <t xml:space="preserve">Waste Streams Covered</t>
  </si>
  <si>
    <t xml:space="preserve">• Lead Waste Log — Lead bullet core residue, sweep-up dust, and trap waste
• Copper Waste Log — Copper dust and bullet jacket waste
• Shell Casings Log — Brass, aluminum, steel, or other shell casings; metal type recorded per entry
Each stream has its own tab with independent summary statistics.</t>
  </si>
  <si>
    <t xml:space="preserve">Who Should Use It</t>
  </si>
  <si>
    <t xml:space="preserve">Any EHS professional, range safety officer, or facility manager responsible for tracking and reporting firing range waste — at any size facility, indoor or outdoor.</t>
  </si>
  <si>
    <t xml:space="preserve">Cost / Licensing</t>
  </si>
  <si>
    <t xml:space="preserve">Free and open source. No fee, no registration, no branding requirement. Distribute and modify freely.</t>
  </si>
  <si>
    <t xml:space="preserve">GETTING STARTED</t>
  </si>
  <si>
    <t xml:space="preserve">Step 1 — Facility Info</t>
  </si>
  <si>
    <t xml:space="preserve">On the Dashboard tab, fill in the yellow-highlighted cells: facility name, location, department, EHS manager/POC, range identification, and report year.</t>
  </si>
  <si>
    <t xml:space="preserve">Step 2 — Lead Waste Log</t>
  </si>
  <si>
    <t xml:space="preserve">Navigate to 'Lead Waste Log'. Each time a drum or container of lead waste is staged, add a row: Entry #, Description, Accumulation Date, Storage Location, Drum Type/Size, Weight (lbs), Shipped Date, Carrier, Status, Notes. Summary statistics auto-update.</t>
  </si>
  <si>
    <t xml:space="preserve">Step 3 — Copper Waste Log</t>
  </si>
  <si>
    <t xml:space="preserve">Navigate to 'Copper Waste Log'. Log copper dust and jacket waste the same way as the Lead log. Use a consistent entry prefix (e.g., COP-001).</t>
  </si>
  <si>
    <t xml:space="preserve">Step 4 — Shell Casings Log</t>
  </si>
  <si>
    <t xml:space="preserve">Navigate to 'Shell Casings Log'. Use the 'Shell Metal Type' dropdown to designate each entry: Brass, Aluminum, Steel, Nickel-Plated Brass, Polymer, or Mixed. This replaces the former NLTA designation so the sheet works for any range.</t>
  </si>
  <si>
    <t xml:space="preserve">Step 5 — Shipment Log</t>
  </si>
  <si>
    <t xml:space="preserve">Record each off-site waste shipment: manifest number, waste stream, quantities, EPA waste codes, UN numbers, carrier, and disposal/recycling facility.</t>
  </si>
  <si>
    <t xml:space="preserve">Step 6 — Dashboard</t>
  </si>
  <si>
    <t xml:space="preserve">Review live totals from all three waste streams at a glance. Update 'Last Workbook Update' as needed.</t>
  </si>
  <si>
    <t xml:space="preserve">Step 7 — Regulatory Reference</t>
  </si>
  <si>
    <t xml:space="preserve">Review the regulatory table and add any applicable state/local rules for your jurisdiction.</t>
  </si>
  <si>
    <t xml:space="preserve">DATA ENTRY TIPS</t>
  </si>
  <si>
    <t xml:space="preserve">Entry Numbers</t>
  </si>
  <si>
    <t xml:space="preserve">Use a consistent prefix per stream: LED-001 for lead, COP-001 for copper, SHL-001 for shells. This ensures audit traceability across tabs.</t>
  </si>
  <si>
    <t xml:space="preserve">Dates</t>
  </si>
  <si>
    <t xml:space="preserve">Enter dates as MM/DD/YYYY. Excel stores them as date values automatically.</t>
  </si>
  <si>
    <t xml:space="preserve">Weights</t>
  </si>
  <si>
    <t xml:space="preserve">Record net weight (waste only, excluding drum tare) OR gross weight. Document your convention in the Notes column of the first entry for each stream.</t>
  </si>
  <si>
    <t xml:space="preserve">Status Dropdown</t>
  </si>
  <si>
    <t xml:space="preserve">Keep the Status field current: Pending Shipment / Shipped / Recycled / Under Review. This is the primary field reviewers check during compliance audits.</t>
  </si>
  <si>
    <t xml:space="preserve">Shell Metal Type</t>
  </si>
  <si>
    <t xml:space="preserve">The 'Shell Metal Type' dropdown on the Shell Casings Log allows mixed loads at the same facility. If a single drum contains multiple metals, select 'Mixed' and describe in the Notes column.</t>
  </si>
  <si>
    <t xml:space="preserve">REGULATORY NOTES</t>
  </si>
  <si>
    <t xml:space="preserve">Lead Waste (D008)</t>
  </si>
  <si>
    <t xml:space="preserve">Lead bullet waste typically qualifies as D008 characteristic hazardous waste under RCRA (40 CFR Part 261). Confirm waste characterization before first shipment. Store within EPA generator accumulation time limits.</t>
  </si>
  <si>
    <t xml:space="preserve">Copper Waste</t>
  </si>
  <si>
    <t xml:space="preserve">Copper dust and jacket fragments may also carry lead contamination. Test or apply process knowledge before characterizing as non-hazardous.</t>
  </si>
  <si>
    <t xml:space="preserve">Brass, aluminum, and steel casings are commonly managed as scrap metal for recycling. Confirm with your state agency whether universal waste rules (40 CFR Part 273) apply.</t>
  </si>
  <si>
    <t xml:space="preserve">Generator Status</t>
  </si>
  <si>
    <t xml:space="preserve">VSQG (&lt;100 kg/month), SQG (100–1,000 kg/month), or LQG (&gt;1,000 kg/month) status governs accumulation times and manifest requirements. See the Regulatory Reference tab.</t>
  </si>
  <si>
    <t xml:space="preserve">FEEDBACK</t>
  </si>
  <si>
    <t xml:space="preserve">Contributing</t>
  </si>
  <si>
    <t xml:space="preserve">This is a community resource. If you find errors, outdated regulations, or have improvements, consider sharing feedback with the source repository maintainers.</t>
  </si>
  <si>
    <t xml:space="preserve">FIRING RANGE WASTE &amp; RECYCLING — DASHBOARD</t>
  </si>
  <si>
    <t xml:space="preserve">Live summary pulled from Lead Waste Log, Copper Waste Log, and Shell Casings Log</t>
  </si>
  <si>
    <t xml:space="preserve">FACILITY INFORMATION</t>
  </si>
  <si>
    <t xml:space="preserve">Facility / Installation Name:</t>
  </si>
  <si>
    <t xml:space="preserve">Location / Address:</t>
  </si>
  <si>
    <t xml:space="preserve">[City, State, ZIP]</t>
  </si>
  <si>
    <t xml:space="preserve">Responsible Department:</t>
  </si>
  <si>
    <t xml:space="preserve">[e.g., Environmental &amp; Safety]</t>
  </si>
  <si>
    <t xml:space="preserve">EHS Manager / POC:</t>
  </si>
  <si>
    <t xml:space="preserve">[Name and Title]</t>
  </si>
  <si>
    <t xml:space="preserve">Range Identification:</t>
  </si>
  <si>
    <t xml:space="preserve">[e.g., Indoor Range A, Outdoor Range 1]</t>
  </si>
  <si>
    <t xml:space="preserve">Report / Log Year:</t>
  </si>
  <si>
    <t xml:space="preserve">Last Workbook Update:</t>
  </si>
  <si>
    <t xml:space="preserve">[MM/DD/YYYY]</t>
  </si>
  <si>
    <t xml:space="preserve">LEAD BULLET / TRAP WASTE</t>
  </si>
  <si>
    <t xml:space="preserve">COPPER DUST / JACKET WASTE</t>
  </si>
  <si>
    <t xml:space="preserve">SHELL CASINGS (ALL METALS)</t>
  </si>
  <si>
    <t xml:space="preserve">COMBINED TOTALS — ALL WASTE STREAMS</t>
  </si>
  <si>
    <t xml:space="preserve">Combined Total Weight (lbs)</t>
  </si>
  <si>
    <t xml:space="preserve">Combined Drum / Container Count</t>
  </si>
  <si>
    <t xml:space="preserve">Combined Pending Shipments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</si>
</sst>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#,##0"/>
    <numFmt numFmtId="167" formatCode="#,##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sz val="10"/>
      <color rgb="FF3747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07D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37474F"/>
      <name val="Arial"/>
      <family val="0"/>
      <charset val="1"/>
    </font>
    <font>
      <sz val="9"/>
      <color rgb="FF37474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2E7D32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0"/>
      <color rgb="FF004D40"/>
      <name val="Arial"/>
      <family val="0"/>
      <charset val="1"/>
    </font>
    <font>
      <b val="true"/>
      <sz val="10"/>
      <color rgb="FF37474F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4A148C"/>
        <bgColor rgb="FF6A1B9A"/>
      </patternFill>
    </fill>
    <fill>
      <patternFill patternType="solid">
        <fgColor rgb="FFE3F2FD"/>
        <bgColor rgb="FFE0F2F1"/>
      </patternFill>
    </fill>
    <fill>
      <patternFill patternType="solid">
        <fgColor rgb="FFFFF9C4"/>
        <bgColor rgb="FFFBE9E7"/>
      </patternFill>
    </fill>
    <fill>
      <patternFill patternType="solid">
        <fgColor rgb="FF6A1B9A"/>
        <bgColor rgb="FF4A148C"/>
      </patternFill>
    </fill>
    <fill>
      <patternFill patternType="solid">
        <fgColor rgb="FFF3E5F5"/>
        <bgColor rgb="FFFBE9E7"/>
      </patternFill>
    </fill>
    <fill>
      <patternFill patternType="solid">
        <fgColor rgb="FFBBDEFB"/>
        <bgColor rgb="FFB2DFDB"/>
      </patternFill>
    </fill>
    <fill>
      <patternFill patternType="solid">
        <fgColor rgb="FFE1BEE7"/>
        <bgColor rgb="FFFFCCBC"/>
      </patternFill>
    </fill>
    <fill>
      <patternFill patternType="solid">
        <fgColor rgb="FFBF360C"/>
        <bgColor rgb="FFD84315"/>
      </patternFill>
    </fill>
    <fill>
      <patternFill patternType="solid">
        <fgColor rgb="FFD84315"/>
        <bgColor rgb="FFBF360C"/>
      </patternFill>
    </fill>
    <fill>
      <patternFill patternType="solid">
        <fgColor rgb="FFFBE9E7"/>
        <bgColor rgb="FFF3E5F5"/>
      </patternFill>
    </fill>
    <fill>
      <patternFill patternType="solid">
        <fgColor rgb="FFFFCCBC"/>
        <bgColor rgb="FFE1BEE7"/>
      </patternFill>
    </fill>
    <fill>
      <patternFill patternType="solid">
        <fgColor rgb="FF004D40"/>
        <bgColor rgb="FF006064"/>
      </patternFill>
    </fill>
    <fill>
      <patternFill patternType="solid">
        <fgColor rgb="FF00695C"/>
        <bgColor rgb="FF006064"/>
      </patternFill>
    </fill>
    <fill>
      <patternFill patternType="solid">
        <fgColor rgb="FFE0F2F1"/>
        <bgColor rgb="FFE3F2FD"/>
      </patternFill>
    </fill>
    <fill>
      <patternFill patternType="solid">
        <fgColor rgb="FFC8E6C9"/>
        <bgColor rgb="FFB2DFDB"/>
      </patternFill>
    </fill>
    <fill>
      <patternFill patternType="solid">
        <fgColor rgb="FFB2DFDB"/>
        <bgColor rgb="FFBBDEFB"/>
      </patternFill>
    </fill>
    <fill>
      <patternFill patternType="solid">
        <fgColor rgb="FF1B5E20"/>
        <bgColor rgb="FF004D40"/>
      </patternFill>
    </fill>
    <fill>
      <patternFill patternType="solid">
        <fgColor rgb="FFE8F5E9"/>
        <bgColor rgb="FFE0F2F1"/>
      </patternFill>
    </fill>
    <fill>
      <patternFill patternType="solid">
        <fgColor rgb="FF0D47A1"/>
        <bgColor rgb="FF1565C0"/>
      </patternFill>
    </fill>
    <fill>
      <patternFill patternType="solid">
        <fgColor rgb="FF1565C0"/>
        <bgColor rgb="FF0D47A1"/>
      </patternFill>
    </fill>
    <fill>
      <patternFill patternType="solid">
        <fgColor rgb="FFF5F5F5"/>
        <bgColor rgb="FFE8F5E9"/>
      </patternFill>
    </fill>
    <fill>
      <patternFill patternType="solid">
        <fgColor rgb="FF006064"/>
        <bgColor rgb="FF00695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1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18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1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1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1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1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1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BE9E7"/>
      <rgbColor rgb="FFFF00FF"/>
      <rgbColor rgb="FF00FFFF"/>
      <rgbColor rgb="FF800000"/>
      <rgbColor rgb="FF1B5E20"/>
      <rgbColor rgb="FF000080"/>
      <rgbColor rgb="FF808000"/>
      <rgbColor rgb="FF6A1B9A"/>
      <rgbColor rgb="FF00695C"/>
      <rgbColor rgb="FFB0BEC5"/>
      <rgbColor rgb="FF607D8B"/>
      <rgbColor rgb="FF9999FF"/>
      <rgbColor rgb="FFD84315"/>
      <rgbColor rgb="FFFFF9C4"/>
      <rgbColor rgb="FFE0F2F1"/>
      <rgbColor rgb="FF4A148C"/>
      <rgbColor rgb="FFFF8080"/>
      <rgbColor rgb="FF1565C0"/>
      <rgbColor rgb="FFBBDEFB"/>
      <rgbColor rgb="FF000080"/>
      <rgbColor rgb="FFFF00FF"/>
      <rgbColor rgb="FFF5F5F5"/>
      <rgbColor rgb="FF00FFFF"/>
      <rgbColor rgb="FF800080"/>
      <rgbColor rgb="FF800000"/>
      <rgbColor rgb="FF006064"/>
      <rgbColor rgb="FF0000FF"/>
      <rgbColor rgb="FF00CCFF"/>
      <rgbColor rgb="FFE3F2FD"/>
      <rgbColor rgb="FFC8E6C9"/>
      <rgbColor rgb="FFE8F5E9"/>
      <rgbColor rgb="FFB2DFDB"/>
      <rgbColor rgb="FFF3E5F5"/>
      <rgbColor rgb="FFE1BEE7"/>
      <rgbColor rgb="FFFFCCBC"/>
      <rgbColor rgb="FF3366FF"/>
      <rgbColor rgb="FF33CCCC"/>
      <rgbColor rgb="FF99CC00"/>
      <rgbColor rgb="FFFFCC00"/>
      <rgbColor rgb="FFF9A825"/>
      <rgbColor rgb="FFF57F17"/>
      <rgbColor rgb="FF666699"/>
      <rgbColor rgb="FF969696"/>
      <rgbColor rgb="FF004D40"/>
      <rgbColor rgb="FF2E7D32"/>
      <rgbColor rgb="FF003300"/>
      <rgbColor rgb="FF333300"/>
      <rgbColor rgb="FFBF360C"/>
      <rgbColor rgb="FF993366"/>
      <rgbColor rgb="FF0D47A1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J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24"/>
    <col collapsed="false" customWidth="true" hidden="false" outlineLevel="0" max="9" min="9" style="1" width="20"/>
    <col collapsed="false" customWidth="true" hidden="false" outlineLevel="0" max="10" min="10" style="1" width="32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4" t="s">
        <v>2</v>
      </c>
      <c r="F2" s="4"/>
      <c r="G2" s="4"/>
      <c r="H2" s="4"/>
      <c r="I2" s="5" t="s">
        <v>3</v>
      </c>
      <c r="J2" s="6" t="n">
        <v>2024</v>
      </c>
    </row>
    <row r="4" customFormat="false" ht="36" hidden="false" customHeight="true" outlineLevel="0" collapsed="false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</row>
    <row r="5" customFormat="false" ht="19.5" hidden="false" customHeight="true" outlineLevel="0" collapsed="false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n">
        <v>0</v>
      </c>
      <c r="G5" s="8" t="s">
        <v>19</v>
      </c>
      <c r="H5" s="8" t="s">
        <v>20</v>
      </c>
      <c r="I5" s="8" t="s">
        <v>21</v>
      </c>
      <c r="J5" s="8" t="s">
        <v>22</v>
      </c>
    </row>
    <row r="6" customFormat="false" ht="15" hidden="false" customHeight="false" outlineLevel="0" collapsed="false">
      <c r="A6" s="9"/>
      <c r="B6" s="9"/>
      <c r="C6" s="10"/>
      <c r="D6" s="9"/>
      <c r="E6" s="9"/>
      <c r="F6" s="11"/>
      <c r="G6" s="10"/>
      <c r="H6" s="9"/>
      <c r="I6" s="9"/>
      <c r="J6" s="9"/>
    </row>
    <row r="7" customFormat="false" ht="15" hidden="false" customHeight="false" outlineLevel="0" collapsed="false">
      <c r="A7" s="12"/>
      <c r="B7" s="12"/>
      <c r="C7" s="13"/>
      <c r="D7" s="12"/>
      <c r="E7" s="12"/>
      <c r="F7" s="14"/>
      <c r="G7" s="13"/>
      <c r="H7" s="12"/>
      <c r="I7" s="12"/>
      <c r="J7" s="12"/>
    </row>
    <row r="8" customFormat="false" ht="15" hidden="false" customHeight="false" outlineLevel="0" collapsed="false">
      <c r="A8" s="9"/>
      <c r="B8" s="9"/>
      <c r="C8" s="10"/>
      <c r="D8" s="9"/>
      <c r="E8" s="9"/>
      <c r="F8" s="11"/>
      <c r="G8" s="10"/>
      <c r="H8" s="9"/>
      <c r="I8" s="9"/>
      <c r="J8" s="9"/>
    </row>
    <row r="9" customFormat="false" ht="15" hidden="false" customHeight="false" outlineLevel="0" collapsed="false">
      <c r="A9" s="12"/>
      <c r="B9" s="12"/>
      <c r="C9" s="13"/>
      <c r="D9" s="12"/>
      <c r="E9" s="12"/>
      <c r="F9" s="14"/>
      <c r="G9" s="13"/>
      <c r="H9" s="12"/>
      <c r="I9" s="12"/>
      <c r="J9" s="12"/>
    </row>
    <row r="10" customFormat="false" ht="15" hidden="false" customHeight="false" outlineLevel="0" collapsed="false">
      <c r="A10" s="9"/>
      <c r="B10" s="9"/>
      <c r="C10" s="10"/>
      <c r="D10" s="9"/>
      <c r="E10" s="9"/>
      <c r="F10" s="11"/>
      <c r="G10" s="10"/>
      <c r="H10" s="9"/>
      <c r="I10" s="9"/>
      <c r="J10" s="9"/>
    </row>
    <row r="11" customFormat="false" ht="15" hidden="false" customHeight="false" outlineLevel="0" collapsed="false">
      <c r="A11" s="12"/>
      <c r="B11" s="12"/>
      <c r="C11" s="13"/>
      <c r="D11" s="12"/>
      <c r="E11" s="12"/>
      <c r="F11" s="14"/>
      <c r="G11" s="13"/>
      <c r="H11" s="12"/>
      <c r="I11" s="12"/>
      <c r="J11" s="12"/>
    </row>
    <row r="12" customFormat="false" ht="15" hidden="false" customHeight="false" outlineLevel="0" collapsed="false">
      <c r="A12" s="9"/>
      <c r="B12" s="9"/>
      <c r="C12" s="10"/>
      <c r="D12" s="9"/>
      <c r="E12" s="9"/>
      <c r="F12" s="11"/>
      <c r="G12" s="10"/>
      <c r="H12" s="9"/>
      <c r="I12" s="9"/>
      <c r="J12" s="9"/>
    </row>
    <row r="13" customFormat="false" ht="15" hidden="false" customHeight="false" outlineLevel="0" collapsed="false">
      <c r="A13" s="12"/>
      <c r="B13" s="12"/>
      <c r="C13" s="13"/>
      <c r="D13" s="12"/>
      <c r="E13" s="12"/>
      <c r="F13" s="14"/>
      <c r="G13" s="13"/>
      <c r="H13" s="12"/>
      <c r="I13" s="12"/>
      <c r="J13" s="12"/>
    </row>
    <row r="14" customFormat="false" ht="15" hidden="false" customHeight="false" outlineLevel="0" collapsed="false">
      <c r="A14" s="9"/>
      <c r="B14" s="9"/>
      <c r="C14" s="10"/>
      <c r="D14" s="9"/>
      <c r="E14" s="9"/>
      <c r="F14" s="11"/>
      <c r="G14" s="10"/>
      <c r="H14" s="9"/>
      <c r="I14" s="9"/>
      <c r="J14" s="9"/>
    </row>
    <row r="15" customFormat="false" ht="15" hidden="false" customHeight="false" outlineLevel="0" collapsed="false">
      <c r="A15" s="12"/>
      <c r="B15" s="12"/>
      <c r="C15" s="13"/>
      <c r="D15" s="12"/>
      <c r="E15" s="12"/>
      <c r="F15" s="14"/>
      <c r="G15" s="13"/>
      <c r="H15" s="12"/>
      <c r="I15" s="12"/>
      <c r="J15" s="12"/>
    </row>
    <row r="16" customFormat="false" ht="15" hidden="false" customHeight="false" outlineLevel="0" collapsed="false">
      <c r="A16" s="9"/>
      <c r="B16" s="9"/>
      <c r="C16" s="10"/>
      <c r="D16" s="9"/>
      <c r="E16" s="9"/>
      <c r="F16" s="11"/>
      <c r="G16" s="10"/>
      <c r="H16" s="9"/>
      <c r="I16" s="9"/>
      <c r="J16" s="9"/>
    </row>
    <row r="17" customFormat="false" ht="15" hidden="false" customHeight="false" outlineLevel="0" collapsed="false">
      <c r="A17" s="12"/>
      <c r="B17" s="12"/>
      <c r="C17" s="13"/>
      <c r="D17" s="12"/>
      <c r="E17" s="12"/>
      <c r="F17" s="14"/>
      <c r="G17" s="13"/>
      <c r="H17" s="12"/>
      <c r="I17" s="12"/>
      <c r="J17" s="12"/>
    </row>
    <row r="18" customFormat="false" ht="15" hidden="false" customHeight="false" outlineLevel="0" collapsed="false">
      <c r="A18" s="9"/>
      <c r="B18" s="9"/>
      <c r="C18" s="10"/>
      <c r="D18" s="9"/>
      <c r="E18" s="9"/>
      <c r="F18" s="11"/>
      <c r="G18" s="10"/>
      <c r="H18" s="9"/>
      <c r="I18" s="9"/>
      <c r="J18" s="9"/>
    </row>
    <row r="19" customFormat="false" ht="15" hidden="false" customHeight="false" outlineLevel="0" collapsed="false">
      <c r="A19" s="12"/>
      <c r="B19" s="12"/>
      <c r="C19" s="13"/>
      <c r="D19" s="12"/>
      <c r="E19" s="12"/>
      <c r="F19" s="14"/>
      <c r="G19" s="13"/>
      <c r="H19" s="12"/>
      <c r="I19" s="12"/>
      <c r="J19" s="12"/>
    </row>
    <row r="20" customFormat="false" ht="15" hidden="false" customHeight="false" outlineLevel="0" collapsed="false">
      <c r="A20" s="9"/>
      <c r="B20" s="9"/>
      <c r="C20" s="10"/>
      <c r="D20" s="9"/>
      <c r="E20" s="9"/>
      <c r="F20" s="11"/>
      <c r="G20" s="10"/>
      <c r="H20" s="9"/>
      <c r="I20" s="9"/>
      <c r="J20" s="9"/>
    </row>
    <row r="21" customFormat="false" ht="15" hidden="false" customHeight="false" outlineLevel="0" collapsed="false">
      <c r="A21" s="12"/>
      <c r="B21" s="12"/>
      <c r="C21" s="13"/>
      <c r="D21" s="12"/>
      <c r="E21" s="12"/>
      <c r="F21" s="14"/>
      <c r="G21" s="13"/>
      <c r="H21" s="12"/>
      <c r="I21" s="12"/>
      <c r="J21" s="12"/>
    </row>
    <row r="22" customFormat="false" ht="15" hidden="false" customHeight="false" outlineLevel="0" collapsed="false">
      <c r="A22" s="9"/>
      <c r="B22" s="9"/>
      <c r="C22" s="10"/>
      <c r="D22" s="9"/>
      <c r="E22" s="9"/>
      <c r="F22" s="11"/>
      <c r="G22" s="10"/>
      <c r="H22" s="9"/>
      <c r="I22" s="9"/>
      <c r="J22" s="9"/>
    </row>
    <row r="23" customFormat="false" ht="15" hidden="false" customHeight="false" outlineLevel="0" collapsed="false">
      <c r="A23" s="12"/>
      <c r="B23" s="12"/>
      <c r="C23" s="13"/>
      <c r="D23" s="12"/>
      <c r="E23" s="12"/>
      <c r="F23" s="14"/>
      <c r="G23" s="13"/>
      <c r="H23" s="12"/>
      <c r="I23" s="12"/>
      <c r="J23" s="12"/>
    </row>
    <row r="24" customFormat="false" ht="15" hidden="false" customHeight="false" outlineLevel="0" collapsed="false">
      <c r="A24" s="9"/>
      <c r="B24" s="9"/>
      <c r="C24" s="10"/>
      <c r="D24" s="9"/>
      <c r="E24" s="9"/>
      <c r="F24" s="11"/>
      <c r="G24" s="10"/>
      <c r="H24" s="9"/>
      <c r="I24" s="9"/>
      <c r="J24" s="9"/>
    </row>
    <row r="25" customFormat="false" ht="15" hidden="false" customHeight="false" outlineLevel="0" collapsed="false">
      <c r="A25" s="12"/>
      <c r="B25" s="12"/>
      <c r="C25" s="13"/>
      <c r="D25" s="12"/>
      <c r="E25" s="12"/>
      <c r="F25" s="14"/>
      <c r="G25" s="13"/>
      <c r="H25" s="12"/>
      <c r="I25" s="12"/>
      <c r="J25" s="12"/>
    </row>
    <row r="26" customFormat="false" ht="15" hidden="false" customHeight="false" outlineLevel="0" collapsed="false">
      <c r="A26" s="9"/>
      <c r="B26" s="9"/>
      <c r="C26" s="10"/>
      <c r="D26" s="9"/>
      <c r="E26" s="9"/>
      <c r="F26" s="11"/>
      <c r="G26" s="10"/>
      <c r="H26" s="9"/>
      <c r="I26" s="9"/>
      <c r="J26" s="9"/>
    </row>
    <row r="27" customFormat="false" ht="15" hidden="false" customHeight="false" outlineLevel="0" collapsed="false">
      <c r="A27" s="12"/>
      <c r="B27" s="12"/>
      <c r="C27" s="13"/>
      <c r="D27" s="12"/>
      <c r="E27" s="12"/>
      <c r="F27" s="14"/>
      <c r="G27" s="13"/>
      <c r="H27" s="12"/>
      <c r="I27" s="12"/>
      <c r="J27" s="12"/>
    </row>
    <row r="28" customFormat="false" ht="15" hidden="false" customHeight="false" outlineLevel="0" collapsed="false">
      <c r="A28" s="9"/>
      <c r="B28" s="9"/>
      <c r="C28" s="10"/>
      <c r="D28" s="9"/>
      <c r="E28" s="9"/>
      <c r="F28" s="11"/>
      <c r="G28" s="10"/>
      <c r="H28" s="9"/>
      <c r="I28" s="9"/>
      <c r="J28" s="9"/>
    </row>
    <row r="29" customFormat="false" ht="15" hidden="false" customHeight="false" outlineLevel="0" collapsed="false">
      <c r="A29" s="12"/>
      <c r="B29" s="12"/>
      <c r="C29" s="13"/>
      <c r="D29" s="12"/>
      <c r="E29" s="12"/>
      <c r="F29" s="14"/>
      <c r="G29" s="13"/>
      <c r="H29" s="12"/>
      <c r="I29" s="12"/>
      <c r="J29" s="12"/>
    </row>
    <row r="30" customFormat="false" ht="15" hidden="false" customHeight="false" outlineLevel="0" collapsed="false">
      <c r="A30" s="9"/>
      <c r="B30" s="9"/>
      <c r="C30" s="10"/>
      <c r="D30" s="9"/>
      <c r="E30" s="9"/>
      <c r="F30" s="11"/>
      <c r="G30" s="10"/>
      <c r="H30" s="9"/>
      <c r="I30" s="9"/>
      <c r="J30" s="9"/>
    </row>
    <row r="31" customFormat="false" ht="15" hidden="false" customHeight="false" outlineLevel="0" collapsed="false">
      <c r="A31" s="12"/>
      <c r="B31" s="12"/>
      <c r="C31" s="13"/>
      <c r="D31" s="12"/>
      <c r="E31" s="12"/>
      <c r="F31" s="14"/>
      <c r="G31" s="13"/>
      <c r="H31" s="12"/>
      <c r="I31" s="12"/>
      <c r="J31" s="12"/>
    </row>
    <row r="32" customFormat="false" ht="15" hidden="false" customHeight="false" outlineLevel="0" collapsed="false">
      <c r="A32" s="9"/>
      <c r="B32" s="9"/>
      <c r="C32" s="10"/>
      <c r="D32" s="9"/>
      <c r="E32" s="9"/>
      <c r="F32" s="11"/>
      <c r="G32" s="10"/>
      <c r="H32" s="9"/>
      <c r="I32" s="9"/>
      <c r="J32" s="9"/>
    </row>
    <row r="33" customFormat="false" ht="15" hidden="false" customHeight="false" outlineLevel="0" collapsed="false">
      <c r="A33" s="12"/>
      <c r="B33" s="12"/>
      <c r="C33" s="13"/>
      <c r="D33" s="12"/>
      <c r="E33" s="12"/>
      <c r="F33" s="14"/>
      <c r="G33" s="13"/>
      <c r="H33" s="12"/>
      <c r="I33" s="12"/>
      <c r="J33" s="12"/>
    </row>
    <row r="34" customFormat="false" ht="15" hidden="false" customHeight="false" outlineLevel="0" collapsed="false">
      <c r="A34" s="9"/>
      <c r="B34" s="9"/>
      <c r="C34" s="10"/>
      <c r="D34" s="9"/>
      <c r="E34" s="9"/>
      <c r="F34" s="11"/>
      <c r="G34" s="10"/>
      <c r="H34" s="9"/>
      <c r="I34" s="9"/>
      <c r="J34" s="9"/>
    </row>
    <row r="35" customFormat="false" ht="15" hidden="false" customHeight="false" outlineLevel="0" collapsed="false">
      <c r="A35" s="12"/>
      <c r="B35" s="12"/>
      <c r="C35" s="13"/>
      <c r="D35" s="12"/>
      <c r="E35" s="12"/>
      <c r="F35" s="14"/>
      <c r="G35" s="13"/>
      <c r="H35" s="12"/>
      <c r="I35" s="12"/>
      <c r="J35" s="12"/>
    </row>
    <row r="36" customFormat="false" ht="15" hidden="false" customHeight="false" outlineLevel="0" collapsed="false">
      <c r="A36" s="9"/>
      <c r="B36" s="9"/>
      <c r="C36" s="10"/>
      <c r="D36" s="9"/>
      <c r="E36" s="9"/>
      <c r="F36" s="11"/>
      <c r="G36" s="10"/>
      <c r="H36" s="9"/>
      <c r="I36" s="9"/>
      <c r="J36" s="9"/>
    </row>
    <row r="37" customFormat="false" ht="15" hidden="false" customHeight="false" outlineLevel="0" collapsed="false">
      <c r="A37" s="12"/>
      <c r="B37" s="12"/>
      <c r="C37" s="13"/>
      <c r="D37" s="12"/>
      <c r="E37" s="12"/>
      <c r="F37" s="14"/>
      <c r="G37" s="13"/>
      <c r="H37" s="12"/>
      <c r="I37" s="12"/>
      <c r="J37" s="12"/>
    </row>
    <row r="38" customFormat="false" ht="15" hidden="false" customHeight="false" outlineLevel="0" collapsed="false">
      <c r="A38" s="9"/>
      <c r="B38" s="9"/>
      <c r="C38" s="10"/>
      <c r="D38" s="9"/>
      <c r="E38" s="9"/>
      <c r="F38" s="11"/>
      <c r="G38" s="10"/>
      <c r="H38" s="9"/>
      <c r="I38" s="9"/>
      <c r="J38" s="9"/>
    </row>
    <row r="39" customFormat="false" ht="15" hidden="false" customHeight="false" outlineLevel="0" collapsed="false">
      <c r="A39" s="12"/>
      <c r="B39" s="12"/>
      <c r="C39" s="13"/>
      <c r="D39" s="12"/>
      <c r="E39" s="12"/>
      <c r="F39" s="14"/>
      <c r="G39" s="13"/>
      <c r="H39" s="12"/>
      <c r="I39" s="12"/>
      <c r="J39" s="12"/>
    </row>
    <row r="40" customFormat="false" ht="15" hidden="false" customHeight="false" outlineLevel="0" collapsed="false">
      <c r="A40" s="9"/>
      <c r="B40" s="9"/>
      <c r="C40" s="10"/>
      <c r="D40" s="9"/>
      <c r="E40" s="9"/>
      <c r="F40" s="11"/>
      <c r="G40" s="10"/>
      <c r="H40" s="9"/>
      <c r="I40" s="9"/>
      <c r="J40" s="9"/>
    </row>
    <row r="41" customFormat="false" ht="15" hidden="false" customHeight="false" outlineLevel="0" collapsed="false">
      <c r="A41" s="12"/>
      <c r="B41" s="12"/>
      <c r="C41" s="13"/>
      <c r="D41" s="12"/>
      <c r="E41" s="12"/>
      <c r="F41" s="14"/>
      <c r="G41" s="13"/>
      <c r="H41" s="12"/>
      <c r="I41" s="12"/>
      <c r="J41" s="12"/>
    </row>
    <row r="42" customFormat="false" ht="15" hidden="false" customHeight="false" outlineLevel="0" collapsed="false">
      <c r="A42" s="9"/>
      <c r="B42" s="9"/>
      <c r="C42" s="10"/>
      <c r="D42" s="9"/>
      <c r="E42" s="9"/>
      <c r="F42" s="11"/>
      <c r="G42" s="10"/>
      <c r="H42" s="9"/>
      <c r="I42" s="9"/>
      <c r="J42" s="9"/>
    </row>
    <row r="43" customFormat="false" ht="15" hidden="false" customHeight="false" outlineLevel="0" collapsed="false">
      <c r="A43" s="12"/>
      <c r="B43" s="12"/>
      <c r="C43" s="13"/>
      <c r="D43" s="12"/>
      <c r="E43" s="12"/>
      <c r="F43" s="14"/>
      <c r="G43" s="13"/>
      <c r="H43" s="12"/>
      <c r="I43" s="12"/>
      <c r="J43" s="12"/>
    </row>
    <row r="44" customFormat="false" ht="15" hidden="false" customHeight="false" outlineLevel="0" collapsed="false">
      <c r="A44" s="9"/>
      <c r="B44" s="9"/>
      <c r="C44" s="10"/>
      <c r="D44" s="9"/>
      <c r="E44" s="9"/>
      <c r="F44" s="11"/>
      <c r="G44" s="10"/>
      <c r="H44" s="9"/>
      <c r="I44" s="9"/>
      <c r="J44" s="9"/>
    </row>
    <row r="45" customFormat="false" ht="15" hidden="false" customHeight="false" outlineLevel="0" collapsed="false">
      <c r="A45" s="12"/>
      <c r="B45" s="12"/>
      <c r="C45" s="13"/>
      <c r="D45" s="12"/>
      <c r="E45" s="12"/>
      <c r="F45" s="14"/>
      <c r="G45" s="13"/>
      <c r="H45" s="12"/>
      <c r="I45" s="12"/>
      <c r="J45" s="12"/>
    </row>
    <row r="46" customFormat="false" ht="15" hidden="false" customHeight="false" outlineLevel="0" collapsed="false">
      <c r="A46" s="9"/>
      <c r="B46" s="9"/>
      <c r="C46" s="10"/>
      <c r="D46" s="9"/>
      <c r="E46" s="9"/>
      <c r="F46" s="11"/>
      <c r="G46" s="10"/>
      <c r="H46" s="9"/>
      <c r="I46" s="9"/>
      <c r="J46" s="9"/>
    </row>
    <row r="47" customFormat="false" ht="15" hidden="false" customHeight="false" outlineLevel="0" collapsed="false">
      <c r="A47" s="12"/>
      <c r="B47" s="12"/>
      <c r="C47" s="13"/>
      <c r="D47" s="12"/>
      <c r="E47" s="12"/>
      <c r="F47" s="14"/>
      <c r="G47" s="13"/>
      <c r="H47" s="12"/>
      <c r="I47" s="12"/>
      <c r="J47" s="12"/>
    </row>
    <row r="48" customFormat="false" ht="15" hidden="false" customHeight="false" outlineLevel="0" collapsed="false">
      <c r="A48" s="9"/>
      <c r="B48" s="9"/>
      <c r="C48" s="10"/>
      <c r="D48" s="9"/>
      <c r="E48" s="9"/>
      <c r="F48" s="11"/>
      <c r="G48" s="10"/>
      <c r="H48" s="9"/>
      <c r="I48" s="9"/>
      <c r="J48" s="9"/>
    </row>
    <row r="49" customFormat="false" ht="15" hidden="false" customHeight="false" outlineLevel="0" collapsed="false">
      <c r="A49" s="12"/>
      <c r="B49" s="12"/>
      <c r="C49" s="13"/>
      <c r="D49" s="12"/>
      <c r="E49" s="12"/>
      <c r="F49" s="14"/>
      <c r="G49" s="13"/>
      <c r="H49" s="12"/>
      <c r="I49" s="12"/>
      <c r="J49" s="12"/>
    </row>
    <row r="50" customFormat="false" ht="15" hidden="false" customHeight="false" outlineLevel="0" collapsed="false">
      <c r="A50" s="9"/>
      <c r="B50" s="9"/>
      <c r="C50" s="10"/>
      <c r="D50" s="9"/>
      <c r="E50" s="9"/>
      <c r="F50" s="11"/>
      <c r="G50" s="10"/>
      <c r="H50" s="9"/>
      <c r="I50" s="9"/>
      <c r="J50" s="9"/>
    </row>
    <row r="51" customFormat="false" ht="15" hidden="false" customHeight="false" outlineLevel="0" collapsed="false">
      <c r="A51" s="12"/>
      <c r="B51" s="12"/>
      <c r="C51" s="13"/>
      <c r="D51" s="12"/>
      <c r="E51" s="12"/>
      <c r="F51" s="14"/>
      <c r="G51" s="13"/>
      <c r="H51" s="12"/>
      <c r="I51" s="12"/>
      <c r="J51" s="12"/>
    </row>
    <row r="52" customFormat="false" ht="15" hidden="false" customHeight="false" outlineLevel="0" collapsed="false">
      <c r="A52" s="9"/>
      <c r="B52" s="9"/>
      <c r="C52" s="10"/>
      <c r="D52" s="9"/>
      <c r="E52" s="9"/>
      <c r="F52" s="11"/>
      <c r="G52" s="10"/>
      <c r="H52" s="9"/>
      <c r="I52" s="9"/>
      <c r="J52" s="9"/>
    </row>
    <row r="53" customFormat="false" ht="15" hidden="false" customHeight="false" outlineLevel="0" collapsed="false">
      <c r="A53" s="12"/>
      <c r="B53" s="12"/>
      <c r="C53" s="13"/>
      <c r="D53" s="12"/>
      <c r="E53" s="12"/>
      <c r="F53" s="14"/>
      <c r="G53" s="13"/>
      <c r="H53" s="12"/>
      <c r="I53" s="12"/>
      <c r="J53" s="12"/>
    </row>
    <row r="54" customFormat="false" ht="15" hidden="false" customHeight="false" outlineLevel="0" collapsed="false">
      <c r="A54" s="9"/>
      <c r="B54" s="9"/>
      <c r="C54" s="10"/>
      <c r="D54" s="9"/>
      <c r="E54" s="9"/>
      <c r="F54" s="11"/>
      <c r="G54" s="10"/>
      <c r="H54" s="9"/>
      <c r="I54" s="9"/>
      <c r="J54" s="9"/>
    </row>
    <row r="55" customFormat="false" ht="15" hidden="false" customHeight="false" outlineLevel="0" collapsed="false">
      <c r="A55" s="12"/>
      <c r="B55" s="12"/>
      <c r="C55" s="13"/>
      <c r="D55" s="12"/>
      <c r="E55" s="12"/>
      <c r="F55" s="14"/>
      <c r="G55" s="13"/>
      <c r="H55" s="12"/>
      <c r="I55" s="12"/>
      <c r="J55" s="12"/>
    </row>
    <row r="56" customFormat="false" ht="15" hidden="false" customHeight="false" outlineLevel="0" collapsed="false">
      <c r="A56" s="9"/>
      <c r="B56" s="9"/>
      <c r="C56" s="10"/>
      <c r="D56" s="9"/>
      <c r="E56" s="9"/>
      <c r="F56" s="11"/>
      <c r="G56" s="10"/>
      <c r="H56" s="9"/>
      <c r="I56" s="9"/>
      <c r="J56" s="9"/>
    </row>
    <row r="57" customFormat="false" ht="15" hidden="false" customHeight="false" outlineLevel="0" collapsed="false">
      <c r="A57" s="12"/>
      <c r="B57" s="12"/>
      <c r="C57" s="13"/>
      <c r="D57" s="12"/>
      <c r="E57" s="12"/>
      <c r="F57" s="14"/>
      <c r="G57" s="13"/>
      <c r="H57" s="12"/>
      <c r="I57" s="12"/>
      <c r="J57" s="12"/>
    </row>
    <row r="58" customFormat="false" ht="15" hidden="false" customHeight="false" outlineLevel="0" collapsed="false">
      <c r="A58" s="9"/>
      <c r="B58" s="9"/>
      <c r="C58" s="10"/>
      <c r="D58" s="9"/>
      <c r="E58" s="9"/>
      <c r="F58" s="11"/>
      <c r="G58" s="10"/>
      <c r="H58" s="9"/>
      <c r="I58" s="9"/>
      <c r="J58" s="9"/>
    </row>
    <row r="59" customFormat="false" ht="15" hidden="false" customHeight="false" outlineLevel="0" collapsed="false">
      <c r="A59" s="12"/>
      <c r="B59" s="12"/>
      <c r="C59" s="13"/>
      <c r="D59" s="12"/>
      <c r="E59" s="12"/>
      <c r="F59" s="14"/>
      <c r="G59" s="13"/>
      <c r="H59" s="12"/>
      <c r="I59" s="12"/>
      <c r="J59" s="12"/>
    </row>
    <row r="60" customFormat="false" ht="15" hidden="false" customHeight="false" outlineLevel="0" collapsed="false">
      <c r="A60" s="9"/>
      <c r="B60" s="9"/>
      <c r="C60" s="10"/>
      <c r="D60" s="9"/>
      <c r="E60" s="9"/>
      <c r="F60" s="11"/>
      <c r="G60" s="10"/>
      <c r="H60" s="9"/>
      <c r="I60" s="9"/>
      <c r="J60" s="9"/>
    </row>
    <row r="61" customFormat="false" ht="15" hidden="false" customHeight="false" outlineLevel="0" collapsed="false">
      <c r="A61" s="12"/>
      <c r="B61" s="12"/>
      <c r="C61" s="13"/>
      <c r="D61" s="12"/>
      <c r="E61" s="12"/>
      <c r="F61" s="14"/>
      <c r="G61" s="13"/>
      <c r="H61" s="12"/>
      <c r="I61" s="12"/>
      <c r="J61" s="12"/>
    </row>
    <row r="62" customFormat="false" ht="15" hidden="false" customHeight="false" outlineLevel="0" collapsed="false">
      <c r="A62" s="9"/>
      <c r="B62" s="9"/>
      <c r="C62" s="10"/>
      <c r="D62" s="9"/>
      <c r="E62" s="9"/>
      <c r="F62" s="11"/>
      <c r="G62" s="10"/>
      <c r="H62" s="9"/>
      <c r="I62" s="9"/>
      <c r="J62" s="9"/>
    </row>
    <row r="63" customFormat="false" ht="15" hidden="false" customHeight="false" outlineLevel="0" collapsed="false">
      <c r="A63" s="12"/>
      <c r="B63" s="12"/>
      <c r="C63" s="13"/>
      <c r="D63" s="12"/>
      <c r="E63" s="12"/>
      <c r="F63" s="14"/>
      <c r="G63" s="13"/>
      <c r="H63" s="12"/>
      <c r="I63" s="12"/>
      <c r="J63" s="12"/>
    </row>
    <row r="64" customFormat="false" ht="15" hidden="false" customHeight="false" outlineLevel="0" collapsed="false">
      <c r="A64" s="9"/>
      <c r="B64" s="9"/>
      <c r="C64" s="10"/>
      <c r="D64" s="9"/>
      <c r="E64" s="9"/>
      <c r="F64" s="11"/>
      <c r="G64" s="10"/>
      <c r="H64" s="9"/>
      <c r="I64" s="9"/>
      <c r="J64" s="9"/>
    </row>
    <row r="65" customFormat="false" ht="15" hidden="false" customHeight="false" outlineLevel="0" collapsed="false">
      <c r="A65" s="12"/>
      <c r="B65" s="12"/>
      <c r="C65" s="13"/>
      <c r="D65" s="12"/>
      <c r="E65" s="12"/>
      <c r="F65" s="14"/>
      <c r="G65" s="13"/>
      <c r="H65" s="12"/>
      <c r="I65" s="12"/>
      <c r="J65" s="12"/>
    </row>
    <row r="66" customFormat="false" ht="15" hidden="false" customHeight="false" outlineLevel="0" collapsed="false">
      <c r="A66" s="9"/>
      <c r="B66" s="9"/>
      <c r="C66" s="10"/>
      <c r="D66" s="9"/>
      <c r="E66" s="9"/>
      <c r="F66" s="11"/>
      <c r="G66" s="10"/>
      <c r="H66" s="9"/>
      <c r="I66" s="9"/>
      <c r="J66" s="9"/>
    </row>
    <row r="67" customFormat="false" ht="15" hidden="false" customHeight="false" outlineLevel="0" collapsed="false">
      <c r="A67" s="12"/>
      <c r="B67" s="12"/>
      <c r="C67" s="13"/>
      <c r="D67" s="12"/>
      <c r="E67" s="12"/>
      <c r="F67" s="14"/>
      <c r="G67" s="13"/>
      <c r="H67" s="12"/>
      <c r="I67" s="12"/>
      <c r="J67" s="12"/>
    </row>
    <row r="68" customFormat="false" ht="15" hidden="false" customHeight="false" outlineLevel="0" collapsed="false">
      <c r="A68" s="9"/>
      <c r="B68" s="9"/>
      <c r="C68" s="10"/>
      <c r="D68" s="9"/>
      <c r="E68" s="9"/>
      <c r="F68" s="11"/>
      <c r="G68" s="10"/>
      <c r="H68" s="9"/>
      <c r="I68" s="9"/>
      <c r="J68" s="9"/>
    </row>
    <row r="69" customFormat="false" ht="15" hidden="false" customHeight="false" outlineLevel="0" collapsed="false">
      <c r="A69" s="12"/>
      <c r="B69" s="12"/>
      <c r="C69" s="13"/>
      <c r="D69" s="12"/>
      <c r="E69" s="12"/>
      <c r="F69" s="14"/>
      <c r="G69" s="13"/>
      <c r="H69" s="12"/>
      <c r="I69" s="12"/>
      <c r="J69" s="12"/>
    </row>
    <row r="70" customFormat="false" ht="15" hidden="false" customHeight="false" outlineLevel="0" collapsed="false">
      <c r="A70" s="9"/>
      <c r="B70" s="9"/>
      <c r="C70" s="10"/>
      <c r="D70" s="9"/>
      <c r="E70" s="9"/>
      <c r="F70" s="11"/>
      <c r="G70" s="10"/>
      <c r="H70" s="9"/>
      <c r="I70" s="9"/>
      <c r="J70" s="9"/>
    </row>
    <row r="71" customFormat="false" ht="15" hidden="false" customHeight="false" outlineLevel="0" collapsed="false">
      <c r="A71" s="12"/>
      <c r="B71" s="12"/>
      <c r="C71" s="13"/>
      <c r="D71" s="12"/>
      <c r="E71" s="12"/>
      <c r="F71" s="14"/>
      <c r="G71" s="13"/>
      <c r="H71" s="12"/>
      <c r="I71" s="12"/>
      <c r="J71" s="12"/>
    </row>
    <row r="72" customFormat="false" ht="15" hidden="false" customHeight="false" outlineLevel="0" collapsed="false">
      <c r="A72" s="9"/>
      <c r="B72" s="9"/>
      <c r="C72" s="10"/>
      <c r="D72" s="9"/>
      <c r="E72" s="9"/>
      <c r="F72" s="11"/>
      <c r="G72" s="10"/>
      <c r="H72" s="9"/>
      <c r="I72" s="9"/>
      <c r="J72" s="9"/>
    </row>
    <row r="73" customFormat="false" ht="15" hidden="false" customHeight="false" outlineLevel="0" collapsed="false">
      <c r="A73" s="12"/>
      <c r="B73" s="12"/>
      <c r="C73" s="13"/>
      <c r="D73" s="12"/>
      <c r="E73" s="12"/>
      <c r="F73" s="14"/>
      <c r="G73" s="13"/>
      <c r="H73" s="12"/>
      <c r="I73" s="12"/>
      <c r="J73" s="12"/>
    </row>
    <row r="74" customFormat="false" ht="15" hidden="false" customHeight="false" outlineLevel="0" collapsed="false">
      <c r="A74" s="9"/>
      <c r="B74" s="9"/>
      <c r="C74" s="10"/>
      <c r="D74" s="9"/>
      <c r="E74" s="9"/>
      <c r="F74" s="11"/>
      <c r="G74" s="10"/>
      <c r="H74" s="9"/>
      <c r="I74" s="9"/>
      <c r="J74" s="9"/>
    </row>
    <row r="75" customFormat="false" ht="15" hidden="false" customHeight="false" outlineLevel="0" collapsed="false">
      <c r="A75" s="12"/>
      <c r="B75" s="12"/>
      <c r="C75" s="13"/>
      <c r="D75" s="12"/>
      <c r="E75" s="12"/>
      <c r="F75" s="14"/>
      <c r="G75" s="13"/>
      <c r="H75" s="12"/>
      <c r="I75" s="12"/>
      <c r="J75" s="12"/>
    </row>
    <row r="76" customFormat="false" ht="15" hidden="false" customHeight="false" outlineLevel="0" collapsed="false">
      <c r="A76" s="9"/>
      <c r="B76" s="9"/>
      <c r="C76" s="10"/>
      <c r="D76" s="9"/>
      <c r="E76" s="9"/>
      <c r="F76" s="11"/>
      <c r="G76" s="10"/>
      <c r="H76" s="9"/>
      <c r="I76" s="9"/>
      <c r="J76" s="9"/>
    </row>
    <row r="77" customFormat="false" ht="15" hidden="false" customHeight="false" outlineLevel="0" collapsed="false">
      <c r="A77" s="12"/>
      <c r="B77" s="12"/>
      <c r="C77" s="13"/>
      <c r="D77" s="12"/>
      <c r="E77" s="12"/>
      <c r="F77" s="14"/>
      <c r="G77" s="13"/>
      <c r="H77" s="12"/>
      <c r="I77" s="12"/>
      <c r="J77" s="12"/>
    </row>
    <row r="78" customFormat="false" ht="15" hidden="false" customHeight="false" outlineLevel="0" collapsed="false">
      <c r="A78" s="9"/>
      <c r="B78" s="9"/>
      <c r="C78" s="10"/>
      <c r="D78" s="9"/>
      <c r="E78" s="9"/>
      <c r="F78" s="11"/>
      <c r="G78" s="10"/>
      <c r="H78" s="9"/>
      <c r="I78" s="9"/>
      <c r="J78" s="9"/>
    </row>
    <row r="79" customFormat="false" ht="15" hidden="false" customHeight="false" outlineLevel="0" collapsed="false">
      <c r="A79" s="12"/>
      <c r="B79" s="12"/>
      <c r="C79" s="13"/>
      <c r="D79" s="12"/>
      <c r="E79" s="12"/>
      <c r="F79" s="14"/>
      <c r="G79" s="13"/>
      <c r="H79" s="12"/>
      <c r="I79" s="12"/>
      <c r="J79" s="12"/>
    </row>
    <row r="80" customFormat="false" ht="15" hidden="false" customHeight="false" outlineLevel="0" collapsed="false">
      <c r="A80" s="9"/>
      <c r="B80" s="9"/>
      <c r="C80" s="10"/>
      <c r="D80" s="9"/>
      <c r="E80" s="9"/>
      <c r="F80" s="11"/>
      <c r="G80" s="10"/>
      <c r="H80" s="9"/>
      <c r="I80" s="9"/>
      <c r="J80" s="9"/>
    </row>
    <row r="81" customFormat="false" ht="15" hidden="false" customHeight="false" outlineLevel="0" collapsed="false">
      <c r="A81" s="12"/>
      <c r="B81" s="12"/>
      <c r="C81" s="13"/>
      <c r="D81" s="12"/>
      <c r="E81" s="12"/>
      <c r="F81" s="14"/>
      <c r="G81" s="13"/>
      <c r="H81" s="12"/>
      <c r="I81" s="12"/>
      <c r="J81" s="12"/>
    </row>
    <row r="82" customFormat="false" ht="15" hidden="false" customHeight="false" outlineLevel="0" collapsed="false">
      <c r="A82" s="9"/>
      <c r="B82" s="9"/>
      <c r="C82" s="10"/>
      <c r="D82" s="9"/>
      <c r="E82" s="9"/>
      <c r="F82" s="11"/>
      <c r="G82" s="10"/>
      <c r="H82" s="9"/>
      <c r="I82" s="9"/>
      <c r="J82" s="9"/>
    </row>
    <row r="83" customFormat="false" ht="15" hidden="false" customHeight="false" outlineLevel="0" collapsed="false">
      <c r="A83" s="12"/>
      <c r="B83" s="12"/>
      <c r="C83" s="13"/>
      <c r="D83" s="12"/>
      <c r="E83" s="12"/>
      <c r="F83" s="14"/>
      <c r="G83" s="13"/>
      <c r="H83" s="12"/>
      <c r="I83" s="12"/>
      <c r="J83" s="12"/>
    </row>
    <row r="84" customFormat="false" ht="15" hidden="false" customHeight="false" outlineLevel="0" collapsed="false">
      <c r="A84" s="9"/>
      <c r="B84" s="9"/>
      <c r="C84" s="10"/>
      <c r="D84" s="9"/>
      <c r="E84" s="9"/>
      <c r="F84" s="11"/>
      <c r="G84" s="10"/>
      <c r="H84" s="9"/>
      <c r="I84" s="9"/>
      <c r="J84" s="9"/>
    </row>
    <row r="85" customFormat="false" ht="15" hidden="false" customHeight="false" outlineLevel="0" collapsed="false">
      <c r="A85" s="12"/>
      <c r="B85" s="12"/>
      <c r="C85" s="13"/>
      <c r="D85" s="12"/>
      <c r="E85" s="12"/>
      <c r="F85" s="14"/>
      <c r="G85" s="13"/>
      <c r="H85" s="12"/>
      <c r="I85" s="12"/>
      <c r="J85" s="12"/>
    </row>
    <row r="86" customFormat="false" ht="15" hidden="false" customHeight="false" outlineLevel="0" collapsed="false">
      <c r="A86" s="9"/>
      <c r="B86" s="9"/>
      <c r="C86" s="10"/>
      <c r="D86" s="9"/>
      <c r="E86" s="9"/>
      <c r="F86" s="11"/>
      <c r="G86" s="10"/>
      <c r="H86" s="9"/>
      <c r="I86" s="9"/>
      <c r="J86" s="9"/>
    </row>
    <row r="87" customFormat="false" ht="15" hidden="false" customHeight="false" outlineLevel="0" collapsed="false">
      <c r="A87" s="12"/>
      <c r="B87" s="12"/>
      <c r="C87" s="13"/>
      <c r="D87" s="12"/>
      <c r="E87" s="12"/>
      <c r="F87" s="14"/>
      <c r="G87" s="13"/>
      <c r="H87" s="12"/>
      <c r="I87" s="12"/>
      <c r="J87" s="12"/>
    </row>
    <row r="88" customFormat="false" ht="15" hidden="false" customHeight="false" outlineLevel="0" collapsed="false">
      <c r="A88" s="9"/>
      <c r="B88" s="9"/>
      <c r="C88" s="10"/>
      <c r="D88" s="9"/>
      <c r="E88" s="9"/>
      <c r="F88" s="11"/>
      <c r="G88" s="10"/>
      <c r="H88" s="9"/>
      <c r="I88" s="9"/>
      <c r="J88" s="9"/>
    </row>
    <row r="89" customFormat="false" ht="15" hidden="false" customHeight="false" outlineLevel="0" collapsed="false">
      <c r="A89" s="12"/>
      <c r="B89" s="12"/>
      <c r="C89" s="13"/>
      <c r="D89" s="12"/>
      <c r="E89" s="12"/>
      <c r="F89" s="14"/>
      <c r="G89" s="13"/>
      <c r="H89" s="12"/>
      <c r="I89" s="12"/>
      <c r="J89" s="12"/>
    </row>
    <row r="90" customFormat="false" ht="15" hidden="false" customHeight="false" outlineLevel="0" collapsed="false">
      <c r="A90" s="9"/>
      <c r="B90" s="9"/>
      <c r="C90" s="10"/>
      <c r="D90" s="9"/>
      <c r="E90" s="9"/>
      <c r="F90" s="11"/>
      <c r="G90" s="10"/>
      <c r="H90" s="9"/>
      <c r="I90" s="9"/>
      <c r="J90" s="9"/>
    </row>
    <row r="91" customFormat="false" ht="15" hidden="false" customHeight="false" outlineLevel="0" collapsed="false">
      <c r="A91" s="12"/>
      <c r="B91" s="12"/>
      <c r="C91" s="13"/>
      <c r="D91" s="12"/>
      <c r="E91" s="12"/>
      <c r="F91" s="14"/>
      <c r="G91" s="13"/>
      <c r="H91" s="12"/>
      <c r="I91" s="12"/>
      <c r="J91" s="12"/>
    </row>
    <row r="92" customFormat="false" ht="15" hidden="false" customHeight="false" outlineLevel="0" collapsed="false">
      <c r="A92" s="9"/>
      <c r="B92" s="9"/>
      <c r="C92" s="10"/>
      <c r="D92" s="9"/>
      <c r="E92" s="9"/>
      <c r="F92" s="11"/>
      <c r="G92" s="10"/>
      <c r="H92" s="9"/>
      <c r="I92" s="9"/>
      <c r="J92" s="9"/>
    </row>
    <row r="93" customFormat="false" ht="15" hidden="false" customHeight="false" outlineLevel="0" collapsed="false">
      <c r="A93" s="12"/>
      <c r="B93" s="12"/>
      <c r="C93" s="13"/>
      <c r="D93" s="12"/>
      <c r="E93" s="12"/>
      <c r="F93" s="14"/>
      <c r="G93" s="13"/>
      <c r="H93" s="12"/>
      <c r="I93" s="12"/>
      <c r="J93" s="12"/>
    </row>
    <row r="94" customFormat="false" ht="15" hidden="false" customHeight="false" outlineLevel="0" collapsed="false">
      <c r="A94" s="9"/>
      <c r="B94" s="9"/>
      <c r="C94" s="10"/>
      <c r="D94" s="9"/>
      <c r="E94" s="9"/>
      <c r="F94" s="11"/>
      <c r="G94" s="10"/>
      <c r="H94" s="9"/>
      <c r="I94" s="9"/>
      <c r="J94" s="9"/>
    </row>
    <row r="95" customFormat="false" ht="15" hidden="false" customHeight="false" outlineLevel="0" collapsed="false">
      <c r="A95" s="12"/>
      <c r="B95" s="12"/>
      <c r="C95" s="13"/>
      <c r="D95" s="12"/>
      <c r="E95" s="12"/>
      <c r="F95" s="14"/>
      <c r="G95" s="13"/>
      <c r="H95" s="12"/>
      <c r="I95" s="12"/>
      <c r="J95" s="12"/>
    </row>
    <row r="96" customFormat="false" ht="15" hidden="false" customHeight="false" outlineLevel="0" collapsed="false">
      <c r="A96" s="9"/>
      <c r="B96" s="9"/>
      <c r="C96" s="10"/>
      <c r="D96" s="9"/>
      <c r="E96" s="9"/>
      <c r="F96" s="11"/>
      <c r="G96" s="10"/>
      <c r="H96" s="9"/>
      <c r="I96" s="9"/>
      <c r="J96" s="9"/>
    </row>
    <row r="97" customFormat="false" ht="15" hidden="false" customHeight="false" outlineLevel="0" collapsed="false">
      <c r="A97" s="12"/>
      <c r="B97" s="12"/>
      <c r="C97" s="13"/>
      <c r="D97" s="12"/>
      <c r="E97" s="12"/>
      <c r="F97" s="14"/>
      <c r="G97" s="13"/>
      <c r="H97" s="12"/>
      <c r="I97" s="12"/>
      <c r="J97" s="12"/>
    </row>
    <row r="98" customFormat="false" ht="15" hidden="false" customHeight="false" outlineLevel="0" collapsed="false">
      <c r="A98" s="9"/>
      <c r="B98" s="9"/>
      <c r="C98" s="10"/>
      <c r="D98" s="9"/>
      <c r="E98" s="9"/>
      <c r="F98" s="11"/>
      <c r="G98" s="10"/>
      <c r="H98" s="9"/>
      <c r="I98" s="9"/>
      <c r="J98" s="9"/>
    </row>
    <row r="99" customFormat="false" ht="15" hidden="false" customHeight="false" outlineLevel="0" collapsed="false">
      <c r="A99" s="12"/>
      <c r="B99" s="12"/>
      <c r="C99" s="13"/>
      <c r="D99" s="12"/>
      <c r="E99" s="12"/>
      <c r="F99" s="14"/>
      <c r="G99" s="13"/>
      <c r="H99" s="12"/>
      <c r="I99" s="12"/>
      <c r="J99" s="12"/>
    </row>
    <row r="100" customFormat="false" ht="15" hidden="false" customHeight="false" outlineLevel="0" collapsed="false">
      <c r="A100" s="9"/>
      <c r="B100" s="9"/>
      <c r="C100" s="10"/>
      <c r="D100" s="9"/>
      <c r="E100" s="9"/>
      <c r="F100" s="11"/>
      <c r="G100" s="10"/>
      <c r="H100" s="9"/>
      <c r="I100" s="9"/>
      <c r="J100" s="9"/>
    </row>
    <row r="101" customFormat="false" ht="15" hidden="false" customHeight="false" outlineLevel="0" collapsed="false">
      <c r="A101" s="12"/>
      <c r="B101" s="12"/>
      <c r="C101" s="13"/>
      <c r="D101" s="12"/>
      <c r="E101" s="12"/>
      <c r="F101" s="14"/>
      <c r="G101" s="13"/>
      <c r="H101" s="12"/>
      <c r="I101" s="12"/>
      <c r="J101" s="12"/>
    </row>
    <row r="102" customFormat="false" ht="15" hidden="false" customHeight="false" outlineLevel="0" collapsed="false">
      <c r="A102" s="9"/>
      <c r="B102" s="9"/>
      <c r="C102" s="10"/>
      <c r="D102" s="9"/>
      <c r="E102" s="9"/>
      <c r="F102" s="11"/>
      <c r="G102" s="10"/>
      <c r="H102" s="9"/>
      <c r="I102" s="9"/>
      <c r="J102" s="9"/>
    </row>
    <row r="103" customFormat="false" ht="15" hidden="false" customHeight="false" outlineLevel="0" collapsed="false">
      <c r="A103" s="12"/>
      <c r="B103" s="12"/>
      <c r="C103" s="13"/>
      <c r="D103" s="12"/>
      <c r="E103" s="12"/>
      <c r="F103" s="14"/>
      <c r="G103" s="13"/>
      <c r="H103" s="12"/>
      <c r="I103" s="12"/>
      <c r="J103" s="12"/>
    </row>
    <row r="104" customFormat="false" ht="15" hidden="false" customHeight="false" outlineLevel="0" collapsed="false">
      <c r="A104" s="9"/>
      <c r="B104" s="9"/>
      <c r="C104" s="10"/>
      <c r="D104" s="9"/>
      <c r="E104" s="9"/>
      <c r="F104" s="11"/>
      <c r="G104" s="10"/>
      <c r="H104" s="9"/>
      <c r="I104" s="9"/>
      <c r="J104" s="9"/>
    </row>
    <row r="105" customFormat="false" ht="15" hidden="false" customHeight="false" outlineLevel="0" collapsed="false">
      <c r="A105" s="12"/>
      <c r="B105" s="12"/>
      <c r="C105" s="13"/>
      <c r="D105" s="12"/>
      <c r="E105" s="12"/>
      <c r="F105" s="14"/>
      <c r="G105" s="13"/>
      <c r="H105" s="12"/>
      <c r="I105" s="12"/>
      <c r="J105" s="12"/>
    </row>
    <row r="106" customFormat="false" ht="15" hidden="false" customHeight="false" outlineLevel="0" collapsed="false">
      <c r="A106" s="9"/>
      <c r="B106" s="9"/>
      <c r="C106" s="10"/>
      <c r="D106" s="9"/>
      <c r="E106" s="9"/>
      <c r="F106" s="11"/>
      <c r="G106" s="10"/>
      <c r="H106" s="9"/>
      <c r="I106" s="9"/>
      <c r="J106" s="9"/>
    </row>
    <row r="107" customFormat="false" ht="15" hidden="false" customHeight="false" outlineLevel="0" collapsed="false">
      <c r="A107" s="12"/>
      <c r="B107" s="12"/>
      <c r="C107" s="13"/>
      <c r="D107" s="12"/>
      <c r="E107" s="12"/>
      <c r="F107" s="14"/>
      <c r="G107" s="13"/>
      <c r="H107" s="12"/>
      <c r="I107" s="12"/>
      <c r="J107" s="12"/>
    </row>
    <row r="108" customFormat="false" ht="15" hidden="false" customHeight="false" outlineLevel="0" collapsed="false">
      <c r="A108" s="9"/>
      <c r="B108" s="9"/>
      <c r="C108" s="10"/>
      <c r="D108" s="9"/>
      <c r="E108" s="9"/>
      <c r="F108" s="11"/>
      <c r="G108" s="10"/>
      <c r="H108" s="9"/>
      <c r="I108" s="9"/>
      <c r="J108" s="9"/>
    </row>
    <row r="109" customFormat="false" ht="15" hidden="false" customHeight="false" outlineLevel="0" collapsed="false">
      <c r="A109" s="12"/>
      <c r="B109" s="12"/>
      <c r="C109" s="13"/>
      <c r="D109" s="12"/>
      <c r="E109" s="12"/>
      <c r="F109" s="14"/>
      <c r="G109" s="13"/>
      <c r="H109" s="12"/>
      <c r="I109" s="12"/>
      <c r="J109" s="12"/>
    </row>
    <row r="110" customFormat="false" ht="15" hidden="false" customHeight="false" outlineLevel="0" collapsed="false">
      <c r="A110" s="9"/>
      <c r="B110" s="9"/>
      <c r="C110" s="10"/>
      <c r="D110" s="9"/>
      <c r="E110" s="9"/>
      <c r="F110" s="11"/>
      <c r="G110" s="10"/>
      <c r="H110" s="9"/>
      <c r="I110" s="9"/>
      <c r="J110" s="9"/>
    </row>
    <row r="111" customFormat="false" ht="15" hidden="false" customHeight="false" outlineLevel="0" collapsed="false">
      <c r="A111" s="12"/>
      <c r="B111" s="12"/>
      <c r="C111" s="13"/>
      <c r="D111" s="12"/>
      <c r="E111" s="12"/>
      <c r="F111" s="14"/>
      <c r="G111" s="13"/>
      <c r="H111" s="12"/>
      <c r="I111" s="12"/>
      <c r="J111" s="12"/>
    </row>
    <row r="112" customFormat="false" ht="15" hidden="false" customHeight="false" outlineLevel="0" collapsed="false">
      <c r="A112" s="9"/>
      <c r="B112" s="9"/>
      <c r="C112" s="10"/>
      <c r="D112" s="9"/>
      <c r="E112" s="9"/>
      <c r="F112" s="11"/>
      <c r="G112" s="10"/>
      <c r="H112" s="9"/>
      <c r="I112" s="9"/>
      <c r="J112" s="9"/>
    </row>
    <row r="113" customFormat="false" ht="15" hidden="false" customHeight="false" outlineLevel="0" collapsed="false">
      <c r="A113" s="12"/>
      <c r="B113" s="12"/>
      <c r="C113" s="13"/>
      <c r="D113" s="12"/>
      <c r="E113" s="12"/>
      <c r="F113" s="14"/>
      <c r="G113" s="13"/>
      <c r="H113" s="12"/>
      <c r="I113" s="12"/>
      <c r="J113" s="12"/>
    </row>
    <row r="114" customFormat="false" ht="15" hidden="false" customHeight="false" outlineLevel="0" collapsed="false">
      <c r="A114" s="9"/>
      <c r="B114" s="9"/>
      <c r="C114" s="10"/>
      <c r="D114" s="9"/>
      <c r="E114" s="9"/>
      <c r="F114" s="11"/>
      <c r="G114" s="10"/>
      <c r="H114" s="9"/>
      <c r="I114" s="9"/>
      <c r="J114" s="9"/>
    </row>
    <row r="115" customFormat="false" ht="15" hidden="false" customHeight="false" outlineLevel="0" collapsed="false">
      <c r="A115" s="12"/>
      <c r="B115" s="12"/>
      <c r="C115" s="13"/>
      <c r="D115" s="12"/>
      <c r="E115" s="12"/>
      <c r="F115" s="14"/>
      <c r="G115" s="13"/>
      <c r="H115" s="12"/>
      <c r="I115" s="12"/>
      <c r="J115" s="12"/>
    </row>
    <row r="116" customFormat="false" ht="15" hidden="false" customHeight="false" outlineLevel="0" collapsed="false">
      <c r="A116" s="9"/>
      <c r="B116" s="9"/>
      <c r="C116" s="10"/>
      <c r="D116" s="9"/>
      <c r="E116" s="9"/>
      <c r="F116" s="11"/>
      <c r="G116" s="10"/>
      <c r="H116" s="9"/>
      <c r="I116" s="9"/>
      <c r="J116" s="9"/>
    </row>
    <row r="117" customFormat="false" ht="15" hidden="false" customHeight="false" outlineLevel="0" collapsed="false">
      <c r="A117" s="12"/>
      <c r="B117" s="12"/>
      <c r="C117" s="13"/>
      <c r="D117" s="12"/>
      <c r="E117" s="12"/>
      <c r="F117" s="14"/>
      <c r="G117" s="13"/>
      <c r="H117" s="12"/>
      <c r="I117" s="12"/>
      <c r="J117" s="12"/>
    </row>
    <row r="118" customFormat="false" ht="15" hidden="false" customHeight="false" outlineLevel="0" collapsed="false">
      <c r="A118" s="9"/>
      <c r="B118" s="9"/>
      <c r="C118" s="10"/>
      <c r="D118" s="9"/>
      <c r="E118" s="9"/>
      <c r="F118" s="11"/>
      <c r="G118" s="10"/>
      <c r="H118" s="9"/>
      <c r="I118" s="9"/>
      <c r="J118" s="9"/>
    </row>
    <row r="119" customFormat="false" ht="15" hidden="false" customHeight="false" outlineLevel="0" collapsed="false">
      <c r="A119" s="12"/>
      <c r="B119" s="12"/>
      <c r="C119" s="13"/>
      <c r="D119" s="12"/>
      <c r="E119" s="12"/>
      <c r="F119" s="14"/>
      <c r="G119" s="13"/>
      <c r="H119" s="12"/>
      <c r="I119" s="12"/>
      <c r="J119" s="12"/>
    </row>
    <row r="120" customFormat="false" ht="15" hidden="false" customHeight="false" outlineLevel="0" collapsed="false">
      <c r="A120" s="9"/>
      <c r="B120" s="9"/>
      <c r="C120" s="10"/>
      <c r="D120" s="9"/>
      <c r="E120" s="9"/>
      <c r="F120" s="11"/>
      <c r="G120" s="10"/>
      <c r="H120" s="9"/>
      <c r="I120" s="9"/>
      <c r="J120" s="9"/>
    </row>
    <row r="121" customFormat="false" ht="15" hidden="false" customHeight="false" outlineLevel="0" collapsed="false">
      <c r="A121" s="12"/>
      <c r="B121" s="12"/>
      <c r="C121" s="13"/>
      <c r="D121" s="12"/>
      <c r="E121" s="12"/>
      <c r="F121" s="14"/>
      <c r="G121" s="13"/>
      <c r="H121" s="12"/>
      <c r="I121" s="12"/>
      <c r="J121" s="12"/>
    </row>
    <row r="122" customFormat="false" ht="15" hidden="false" customHeight="false" outlineLevel="0" collapsed="false">
      <c r="A122" s="9"/>
      <c r="B122" s="9"/>
      <c r="C122" s="10"/>
      <c r="D122" s="9"/>
      <c r="E122" s="9"/>
      <c r="F122" s="11"/>
      <c r="G122" s="10"/>
      <c r="H122" s="9"/>
      <c r="I122" s="9"/>
      <c r="J122" s="9"/>
    </row>
    <row r="123" customFormat="false" ht="15" hidden="false" customHeight="false" outlineLevel="0" collapsed="false">
      <c r="A123" s="12"/>
      <c r="B123" s="12"/>
      <c r="C123" s="13"/>
      <c r="D123" s="12"/>
      <c r="E123" s="12"/>
      <c r="F123" s="14"/>
      <c r="G123" s="13"/>
      <c r="H123" s="12"/>
      <c r="I123" s="12"/>
      <c r="J123" s="12"/>
    </row>
    <row r="124" customFormat="false" ht="15" hidden="false" customHeight="false" outlineLevel="0" collapsed="false">
      <c r="A124" s="9"/>
      <c r="B124" s="9"/>
      <c r="C124" s="10"/>
      <c r="D124" s="9"/>
      <c r="E124" s="9"/>
      <c r="F124" s="11"/>
      <c r="G124" s="10"/>
      <c r="H124" s="9"/>
      <c r="I124" s="9"/>
      <c r="J124" s="9"/>
    </row>
    <row r="125" customFormat="false" ht="15" hidden="false" customHeight="false" outlineLevel="0" collapsed="false">
      <c r="A125" s="12"/>
      <c r="B125" s="12"/>
      <c r="C125" s="13"/>
      <c r="D125" s="12"/>
      <c r="E125" s="12"/>
      <c r="F125" s="14"/>
      <c r="G125" s="13"/>
      <c r="H125" s="12"/>
      <c r="I125" s="12"/>
      <c r="J125" s="12"/>
    </row>
    <row r="126" customFormat="false" ht="15" hidden="false" customHeight="false" outlineLevel="0" collapsed="false">
      <c r="A126" s="9"/>
      <c r="B126" s="9"/>
      <c r="C126" s="10"/>
      <c r="D126" s="9"/>
      <c r="E126" s="9"/>
      <c r="F126" s="11"/>
      <c r="G126" s="10"/>
      <c r="H126" s="9"/>
      <c r="I126" s="9"/>
      <c r="J126" s="9"/>
    </row>
    <row r="127" customFormat="false" ht="15" hidden="false" customHeight="false" outlineLevel="0" collapsed="false">
      <c r="A127" s="12"/>
      <c r="B127" s="12"/>
      <c r="C127" s="13"/>
      <c r="D127" s="12"/>
      <c r="E127" s="12"/>
      <c r="F127" s="14"/>
      <c r="G127" s="13"/>
      <c r="H127" s="12"/>
      <c r="I127" s="12"/>
      <c r="J127" s="12"/>
    </row>
    <row r="128" customFormat="false" ht="15" hidden="false" customHeight="false" outlineLevel="0" collapsed="false">
      <c r="A128" s="9"/>
      <c r="B128" s="9"/>
      <c r="C128" s="10"/>
      <c r="D128" s="9"/>
      <c r="E128" s="9"/>
      <c r="F128" s="11"/>
      <c r="G128" s="10"/>
      <c r="H128" s="9"/>
      <c r="I128" s="9"/>
      <c r="J128" s="9"/>
    </row>
    <row r="129" customFormat="false" ht="15" hidden="false" customHeight="false" outlineLevel="0" collapsed="false">
      <c r="A129" s="12"/>
      <c r="B129" s="12"/>
      <c r="C129" s="13"/>
      <c r="D129" s="12"/>
      <c r="E129" s="12"/>
      <c r="F129" s="14"/>
      <c r="G129" s="13"/>
      <c r="H129" s="12"/>
      <c r="I129" s="12"/>
      <c r="J129" s="12"/>
    </row>
    <row r="130" customFormat="false" ht="15" hidden="false" customHeight="false" outlineLevel="0" collapsed="false">
      <c r="A130" s="9"/>
      <c r="B130" s="9"/>
      <c r="C130" s="10"/>
      <c r="D130" s="9"/>
      <c r="E130" s="9"/>
      <c r="F130" s="11"/>
      <c r="G130" s="10"/>
      <c r="H130" s="9"/>
      <c r="I130" s="9"/>
      <c r="J130" s="9"/>
    </row>
    <row r="131" customFormat="false" ht="15" hidden="false" customHeight="false" outlineLevel="0" collapsed="false">
      <c r="A131" s="12"/>
      <c r="B131" s="12"/>
      <c r="C131" s="13"/>
      <c r="D131" s="12"/>
      <c r="E131" s="12"/>
      <c r="F131" s="14"/>
      <c r="G131" s="13"/>
      <c r="H131" s="12"/>
      <c r="I131" s="12"/>
      <c r="J131" s="12"/>
    </row>
    <row r="132" customFormat="false" ht="15" hidden="false" customHeight="false" outlineLevel="0" collapsed="false">
      <c r="A132" s="9"/>
      <c r="B132" s="9"/>
      <c r="C132" s="10"/>
      <c r="D132" s="9"/>
      <c r="E132" s="9"/>
      <c r="F132" s="11"/>
      <c r="G132" s="10"/>
      <c r="H132" s="9"/>
      <c r="I132" s="9"/>
      <c r="J132" s="9"/>
    </row>
    <row r="133" customFormat="false" ht="15" hidden="false" customHeight="false" outlineLevel="0" collapsed="false">
      <c r="A133" s="12"/>
      <c r="B133" s="12"/>
      <c r="C133" s="13"/>
      <c r="D133" s="12"/>
      <c r="E133" s="12"/>
      <c r="F133" s="14"/>
      <c r="G133" s="13"/>
      <c r="H133" s="12"/>
      <c r="I133" s="12"/>
      <c r="J133" s="12"/>
    </row>
    <row r="134" customFormat="false" ht="15" hidden="false" customHeight="false" outlineLevel="0" collapsed="false">
      <c r="A134" s="9"/>
      <c r="B134" s="9"/>
      <c r="C134" s="10"/>
      <c r="D134" s="9"/>
      <c r="E134" s="9"/>
      <c r="F134" s="11"/>
      <c r="G134" s="10"/>
      <c r="H134" s="9"/>
      <c r="I134" s="9"/>
      <c r="J134" s="9"/>
    </row>
    <row r="135" customFormat="false" ht="15" hidden="false" customHeight="false" outlineLevel="0" collapsed="false">
      <c r="A135" s="12"/>
      <c r="B135" s="12"/>
      <c r="C135" s="13"/>
      <c r="D135" s="12"/>
      <c r="E135" s="12"/>
      <c r="F135" s="14"/>
      <c r="G135" s="13"/>
      <c r="H135" s="12"/>
      <c r="I135" s="12"/>
      <c r="J135" s="12"/>
    </row>
    <row r="136" customFormat="false" ht="15" hidden="false" customHeight="false" outlineLevel="0" collapsed="false">
      <c r="A136" s="9"/>
      <c r="B136" s="9"/>
      <c r="C136" s="10"/>
      <c r="D136" s="9"/>
      <c r="E136" s="9"/>
      <c r="F136" s="11"/>
      <c r="G136" s="10"/>
      <c r="H136" s="9"/>
      <c r="I136" s="9"/>
      <c r="J136" s="9"/>
    </row>
    <row r="137" customFormat="false" ht="15" hidden="false" customHeight="false" outlineLevel="0" collapsed="false">
      <c r="A137" s="12"/>
      <c r="B137" s="12"/>
      <c r="C137" s="13"/>
      <c r="D137" s="12"/>
      <c r="E137" s="12"/>
      <c r="F137" s="14"/>
      <c r="G137" s="13"/>
      <c r="H137" s="12"/>
      <c r="I137" s="12"/>
      <c r="J137" s="12"/>
    </row>
    <row r="138" customFormat="false" ht="15" hidden="false" customHeight="false" outlineLevel="0" collapsed="false">
      <c r="A138" s="9"/>
      <c r="B138" s="9"/>
      <c r="C138" s="10"/>
      <c r="D138" s="9"/>
      <c r="E138" s="9"/>
      <c r="F138" s="11"/>
      <c r="G138" s="10"/>
      <c r="H138" s="9"/>
      <c r="I138" s="9"/>
      <c r="J138" s="9"/>
    </row>
    <row r="139" customFormat="false" ht="15" hidden="false" customHeight="false" outlineLevel="0" collapsed="false">
      <c r="A139" s="12"/>
      <c r="B139" s="12"/>
      <c r="C139" s="13"/>
      <c r="D139" s="12"/>
      <c r="E139" s="12"/>
      <c r="F139" s="14"/>
      <c r="G139" s="13"/>
      <c r="H139" s="12"/>
      <c r="I139" s="12"/>
      <c r="J139" s="12"/>
    </row>
    <row r="140" customFormat="false" ht="15" hidden="false" customHeight="false" outlineLevel="0" collapsed="false">
      <c r="A140" s="9"/>
      <c r="B140" s="9"/>
      <c r="C140" s="10"/>
      <c r="D140" s="9"/>
      <c r="E140" s="9"/>
      <c r="F140" s="11"/>
      <c r="G140" s="10"/>
      <c r="H140" s="9"/>
      <c r="I140" s="9"/>
      <c r="J140" s="9"/>
    </row>
    <row r="141" customFormat="false" ht="15" hidden="false" customHeight="false" outlineLevel="0" collapsed="false">
      <c r="A141" s="12"/>
      <c r="B141" s="12"/>
      <c r="C141" s="13"/>
      <c r="D141" s="12"/>
      <c r="E141" s="12"/>
      <c r="F141" s="14"/>
      <c r="G141" s="13"/>
      <c r="H141" s="12"/>
      <c r="I141" s="12"/>
      <c r="J141" s="12"/>
    </row>
    <row r="142" customFormat="false" ht="15" hidden="false" customHeight="false" outlineLevel="0" collapsed="false">
      <c r="A142" s="9"/>
      <c r="B142" s="9"/>
      <c r="C142" s="10"/>
      <c r="D142" s="9"/>
      <c r="E142" s="9"/>
      <c r="F142" s="11"/>
      <c r="G142" s="10"/>
      <c r="H142" s="9"/>
      <c r="I142" s="9"/>
      <c r="J142" s="9"/>
    </row>
    <row r="143" customFormat="false" ht="15" hidden="false" customHeight="false" outlineLevel="0" collapsed="false">
      <c r="A143" s="12"/>
      <c r="B143" s="12"/>
      <c r="C143" s="13"/>
      <c r="D143" s="12"/>
      <c r="E143" s="12"/>
      <c r="F143" s="14"/>
      <c r="G143" s="13"/>
      <c r="H143" s="12"/>
      <c r="I143" s="12"/>
      <c r="J143" s="12"/>
    </row>
    <row r="144" customFormat="false" ht="15" hidden="false" customHeight="false" outlineLevel="0" collapsed="false">
      <c r="A144" s="9"/>
      <c r="B144" s="9"/>
      <c r="C144" s="10"/>
      <c r="D144" s="9"/>
      <c r="E144" s="9"/>
      <c r="F144" s="11"/>
      <c r="G144" s="10"/>
      <c r="H144" s="9"/>
      <c r="I144" s="9"/>
      <c r="J144" s="9"/>
    </row>
    <row r="145" customFormat="false" ht="15" hidden="false" customHeight="false" outlineLevel="0" collapsed="false">
      <c r="A145" s="12"/>
      <c r="B145" s="12"/>
      <c r="C145" s="13"/>
      <c r="D145" s="12"/>
      <c r="E145" s="12"/>
      <c r="F145" s="14"/>
      <c r="G145" s="13"/>
      <c r="H145" s="12"/>
      <c r="I145" s="12"/>
      <c r="J145" s="12"/>
    </row>
    <row r="146" customFormat="false" ht="15" hidden="false" customHeight="false" outlineLevel="0" collapsed="false">
      <c r="A146" s="9"/>
      <c r="B146" s="9"/>
      <c r="C146" s="10"/>
      <c r="D146" s="9"/>
      <c r="E146" s="9"/>
      <c r="F146" s="11"/>
      <c r="G146" s="10"/>
      <c r="H146" s="9"/>
      <c r="I146" s="9"/>
      <c r="J146" s="9"/>
    </row>
    <row r="147" customFormat="false" ht="15" hidden="false" customHeight="false" outlineLevel="0" collapsed="false">
      <c r="A147" s="12"/>
      <c r="B147" s="12"/>
      <c r="C147" s="13"/>
      <c r="D147" s="12"/>
      <c r="E147" s="12"/>
      <c r="F147" s="14"/>
      <c r="G147" s="13"/>
      <c r="H147" s="12"/>
      <c r="I147" s="12"/>
      <c r="J147" s="12"/>
    </row>
    <row r="148" customFormat="false" ht="15" hidden="false" customHeight="false" outlineLevel="0" collapsed="false">
      <c r="A148" s="9"/>
      <c r="B148" s="9"/>
      <c r="C148" s="10"/>
      <c r="D148" s="9"/>
      <c r="E148" s="9"/>
      <c r="F148" s="11"/>
      <c r="G148" s="10"/>
      <c r="H148" s="9"/>
      <c r="I148" s="9"/>
      <c r="J148" s="9"/>
    </row>
    <row r="149" customFormat="false" ht="15" hidden="false" customHeight="false" outlineLevel="0" collapsed="false">
      <c r="A149" s="12"/>
      <c r="B149" s="12"/>
      <c r="C149" s="13"/>
      <c r="D149" s="12"/>
      <c r="E149" s="12"/>
      <c r="F149" s="14"/>
      <c r="G149" s="13"/>
      <c r="H149" s="12"/>
      <c r="I149" s="12"/>
      <c r="J149" s="12"/>
    </row>
    <row r="150" customFormat="false" ht="15" hidden="false" customHeight="false" outlineLevel="0" collapsed="false">
      <c r="A150" s="9"/>
      <c r="B150" s="9"/>
      <c r="C150" s="10"/>
      <c r="D150" s="9"/>
      <c r="E150" s="9"/>
      <c r="F150" s="11"/>
      <c r="G150" s="10"/>
      <c r="H150" s="9"/>
      <c r="I150" s="9"/>
      <c r="J150" s="9"/>
    </row>
    <row r="151" customFormat="false" ht="15" hidden="false" customHeight="false" outlineLevel="0" collapsed="false">
      <c r="A151" s="12"/>
      <c r="B151" s="12"/>
      <c r="C151" s="13"/>
      <c r="D151" s="12"/>
      <c r="E151" s="12"/>
      <c r="F151" s="14"/>
      <c r="G151" s="13"/>
      <c r="H151" s="12"/>
      <c r="I151" s="12"/>
      <c r="J151" s="12"/>
    </row>
    <row r="152" customFormat="false" ht="15" hidden="false" customHeight="false" outlineLevel="0" collapsed="false">
      <c r="A152" s="9"/>
      <c r="B152" s="9"/>
      <c r="C152" s="10"/>
      <c r="D152" s="9"/>
      <c r="E152" s="9"/>
      <c r="F152" s="11"/>
      <c r="G152" s="10"/>
      <c r="H152" s="9"/>
      <c r="I152" s="9"/>
      <c r="J152" s="9"/>
    </row>
    <row r="153" customFormat="false" ht="15" hidden="false" customHeight="false" outlineLevel="0" collapsed="false">
      <c r="A153" s="12"/>
      <c r="B153" s="12"/>
      <c r="C153" s="13"/>
      <c r="D153" s="12"/>
      <c r="E153" s="12"/>
      <c r="F153" s="14"/>
      <c r="G153" s="13"/>
      <c r="H153" s="12"/>
      <c r="I153" s="12"/>
      <c r="J153" s="12"/>
    </row>
    <row r="154" customFormat="false" ht="15" hidden="false" customHeight="false" outlineLevel="0" collapsed="false">
      <c r="A154" s="9"/>
      <c r="B154" s="9"/>
      <c r="C154" s="10"/>
      <c r="D154" s="9"/>
      <c r="E154" s="9"/>
      <c r="F154" s="11"/>
      <c r="G154" s="10"/>
      <c r="H154" s="9"/>
      <c r="I154" s="9"/>
      <c r="J154" s="9"/>
    </row>
    <row r="155" customFormat="false" ht="15" hidden="false" customHeight="false" outlineLevel="0" collapsed="false">
      <c r="A155" s="12"/>
      <c r="B155" s="12"/>
      <c r="C155" s="13"/>
      <c r="D155" s="12"/>
      <c r="E155" s="12"/>
      <c r="F155" s="14"/>
      <c r="G155" s="13"/>
      <c r="H155" s="12"/>
      <c r="I155" s="12"/>
      <c r="J155" s="12"/>
    </row>
    <row r="156" customFormat="false" ht="15" hidden="false" customHeight="false" outlineLevel="0" collapsed="false">
      <c r="A156" s="9"/>
      <c r="B156" s="9"/>
      <c r="C156" s="10"/>
      <c r="D156" s="9"/>
      <c r="E156" s="9"/>
      <c r="F156" s="11"/>
      <c r="G156" s="10"/>
      <c r="H156" s="9"/>
      <c r="I156" s="9"/>
      <c r="J156" s="9"/>
    </row>
    <row r="157" customFormat="false" ht="15" hidden="false" customHeight="false" outlineLevel="0" collapsed="false">
      <c r="A157" s="12"/>
      <c r="B157" s="12"/>
      <c r="C157" s="13"/>
      <c r="D157" s="12"/>
      <c r="E157" s="12"/>
      <c r="F157" s="14"/>
      <c r="G157" s="13"/>
      <c r="H157" s="12"/>
      <c r="I157" s="12"/>
      <c r="J157" s="12"/>
    </row>
    <row r="158" customFormat="false" ht="15" hidden="false" customHeight="false" outlineLevel="0" collapsed="false">
      <c r="A158" s="9"/>
      <c r="B158" s="9"/>
      <c r="C158" s="10"/>
      <c r="D158" s="9"/>
      <c r="E158" s="9"/>
      <c r="F158" s="11"/>
      <c r="G158" s="10"/>
      <c r="H158" s="9"/>
      <c r="I158" s="9"/>
      <c r="J158" s="9"/>
    </row>
    <row r="159" customFormat="false" ht="15" hidden="false" customHeight="false" outlineLevel="0" collapsed="false">
      <c r="A159" s="12"/>
      <c r="B159" s="12"/>
      <c r="C159" s="13"/>
      <c r="D159" s="12"/>
      <c r="E159" s="12"/>
      <c r="F159" s="14"/>
      <c r="G159" s="13"/>
      <c r="H159" s="12"/>
      <c r="I159" s="12"/>
      <c r="J159" s="12"/>
    </row>
    <row r="160" customFormat="false" ht="15" hidden="false" customHeight="false" outlineLevel="0" collapsed="false">
      <c r="A160" s="9"/>
      <c r="B160" s="9"/>
      <c r="C160" s="10"/>
      <c r="D160" s="9"/>
      <c r="E160" s="9"/>
      <c r="F160" s="11"/>
      <c r="G160" s="10"/>
      <c r="H160" s="9"/>
      <c r="I160" s="9"/>
      <c r="J160" s="9"/>
    </row>
    <row r="161" customFormat="false" ht="15" hidden="false" customHeight="false" outlineLevel="0" collapsed="false">
      <c r="A161" s="12"/>
      <c r="B161" s="12"/>
      <c r="C161" s="13"/>
      <c r="D161" s="12"/>
      <c r="E161" s="12"/>
      <c r="F161" s="14"/>
      <c r="G161" s="13"/>
      <c r="H161" s="12"/>
      <c r="I161" s="12"/>
      <c r="J161" s="12"/>
    </row>
    <row r="162" customFormat="false" ht="15" hidden="false" customHeight="false" outlineLevel="0" collapsed="false">
      <c r="A162" s="9"/>
      <c r="B162" s="9"/>
      <c r="C162" s="10"/>
      <c r="D162" s="9"/>
      <c r="E162" s="9"/>
      <c r="F162" s="11"/>
      <c r="G162" s="10"/>
      <c r="H162" s="9"/>
      <c r="I162" s="9"/>
      <c r="J162" s="9"/>
    </row>
    <row r="163" customFormat="false" ht="15" hidden="false" customHeight="false" outlineLevel="0" collapsed="false">
      <c r="A163" s="12"/>
      <c r="B163" s="12"/>
      <c r="C163" s="13"/>
      <c r="D163" s="12"/>
      <c r="E163" s="12"/>
      <c r="F163" s="14"/>
      <c r="G163" s="13"/>
      <c r="H163" s="12"/>
      <c r="I163" s="12"/>
      <c r="J163" s="12"/>
    </row>
    <row r="164" customFormat="false" ht="15" hidden="false" customHeight="false" outlineLevel="0" collapsed="false">
      <c r="A164" s="9"/>
      <c r="B164" s="9"/>
      <c r="C164" s="10"/>
      <c r="D164" s="9"/>
      <c r="E164" s="9"/>
      <c r="F164" s="11"/>
      <c r="G164" s="10"/>
      <c r="H164" s="9"/>
      <c r="I164" s="9"/>
      <c r="J164" s="9"/>
    </row>
    <row r="165" customFormat="false" ht="15" hidden="false" customHeight="false" outlineLevel="0" collapsed="false">
      <c r="A165" s="12"/>
      <c r="B165" s="12"/>
      <c r="C165" s="13"/>
      <c r="D165" s="12"/>
      <c r="E165" s="12"/>
      <c r="F165" s="14"/>
      <c r="G165" s="13"/>
      <c r="H165" s="12"/>
      <c r="I165" s="12"/>
      <c r="J165" s="12"/>
    </row>
    <row r="166" customFormat="false" ht="15" hidden="false" customHeight="false" outlineLevel="0" collapsed="false">
      <c r="A166" s="9"/>
      <c r="B166" s="9"/>
      <c r="C166" s="10"/>
      <c r="D166" s="9"/>
      <c r="E166" s="9"/>
      <c r="F166" s="11"/>
      <c r="G166" s="10"/>
      <c r="H166" s="9"/>
      <c r="I166" s="9"/>
      <c r="J166" s="9"/>
    </row>
    <row r="167" customFormat="false" ht="15" hidden="false" customHeight="false" outlineLevel="0" collapsed="false">
      <c r="A167" s="12"/>
      <c r="B167" s="12"/>
      <c r="C167" s="13"/>
      <c r="D167" s="12"/>
      <c r="E167" s="12"/>
      <c r="F167" s="14"/>
      <c r="G167" s="13"/>
      <c r="H167" s="12"/>
      <c r="I167" s="12"/>
      <c r="J167" s="12"/>
    </row>
    <row r="168" customFormat="false" ht="15" hidden="false" customHeight="false" outlineLevel="0" collapsed="false">
      <c r="A168" s="9"/>
      <c r="B168" s="9"/>
      <c r="C168" s="10"/>
      <c r="D168" s="9"/>
      <c r="E168" s="9"/>
      <c r="F168" s="11"/>
      <c r="G168" s="10"/>
      <c r="H168" s="9"/>
      <c r="I168" s="9"/>
      <c r="J168" s="9"/>
    </row>
    <row r="169" customFormat="false" ht="15" hidden="false" customHeight="false" outlineLevel="0" collapsed="false">
      <c r="A169" s="12"/>
      <c r="B169" s="12"/>
      <c r="C169" s="13"/>
      <c r="D169" s="12"/>
      <c r="E169" s="12"/>
      <c r="F169" s="14"/>
      <c r="G169" s="13"/>
      <c r="H169" s="12"/>
      <c r="I169" s="12"/>
      <c r="J169" s="12"/>
    </row>
    <row r="170" customFormat="false" ht="15" hidden="false" customHeight="false" outlineLevel="0" collapsed="false">
      <c r="A170" s="9"/>
      <c r="B170" s="9"/>
      <c r="C170" s="10"/>
      <c r="D170" s="9"/>
      <c r="E170" s="9"/>
      <c r="F170" s="11"/>
      <c r="G170" s="10"/>
      <c r="H170" s="9"/>
      <c r="I170" s="9"/>
      <c r="J170" s="9"/>
    </row>
    <row r="171" customFormat="false" ht="15" hidden="false" customHeight="false" outlineLevel="0" collapsed="false">
      <c r="A171" s="12"/>
      <c r="B171" s="12"/>
      <c r="C171" s="13"/>
      <c r="D171" s="12"/>
      <c r="E171" s="12"/>
      <c r="F171" s="14"/>
      <c r="G171" s="13"/>
      <c r="H171" s="12"/>
      <c r="I171" s="12"/>
      <c r="J171" s="12"/>
    </row>
    <row r="172" customFormat="false" ht="15" hidden="false" customHeight="false" outlineLevel="0" collapsed="false">
      <c r="A172" s="9"/>
      <c r="B172" s="9"/>
      <c r="C172" s="10"/>
      <c r="D172" s="9"/>
      <c r="E172" s="9"/>
      <c r="F172" s="11"/>
      <c r="G172" s="10"/>
      <c r="H172" s="9"/>
      <c r="I172" s="9"/>
      <c r="J172" s="9"/>
    </row>
    <row r="173" customFormat="false" ht="15" hidden="false" customHeight="false" outlineLevel="0" collapsed="false">
      <c r="A173" s="12"/>
      <c r="B173" s="12"/>
      <c r="C173" s="13"/>
      <c r="D173" s="12"/>
      <c r="E173" s="12"/>
      <c r="F173" s="14"/>
      <c r="G173" s="13"/>
      <c r="H173" s="12"/>
      <c r="I173" s="12"/>
      <c r="J173" s="12"/>
    </row>
    <row r="174" customFormat="false" ht="15" hidden="false" customHeight="false" outlineLevel="0" collapsed="false">
      <c r="A174" s="9"/>
      <c r="B174" s="9"/>
      <c r="C174" s="10"/>
      <c r="D174" s="9"/>
      <c r="E174" s="9"/>
      <c r="F174" s="11"/>
      <c r="G174" s="10"/>
      <c r="H174" s="9"/>
      <c r="I174" s="9"/>
      <c r="J174" s="9"/>
    </row>
    <row r="175" customFormat="false" ht="15" hidden="false" customHeight="false" outlineLevel="0" collapsed="false">
      <c r="A175" s="12"/>
      <c r="B175" s="12"/>
      <c r="C175" s="13"/>
      <c r="D175" s="12"/>
      <c r="E175" s="12"/>
      <c r="F175" s="14"/>
      <c r="G175" s="13"/>
      <c r="H175" s="12"/>
      <c r="I175" s="12"/>
      <c r="J175" s="12"/>
    </row>
    <row r="176" customFormat="false" ht="15" hidden="false" customHeight="false" outlineLevel="0" collapsed="false">
      <c r="A176" s="9"/>
      <c r="B176" s="9"/>
      <c r="C176" s="10"/>
      <c r="D176" s="9"/>
      <c r="E176" s="9"/>
      <c r="F176" s="11"/>
      <c r="G176" s="10"/>
      <c r="H176" s="9"/>
      <c r="I176" s="9"/>
      <c r="J176" s="9"/>
    </row>
    <row r="177" customFormat="false" ht="15" hidden="false" customHeight="false" outlineLevel="0" collapsed="false">
      <c r="A177" s="12"/>
      <c r="B177" s="12"/>
      <c r="C177" s="13"/>
      <c r="D177" s="12"/>
      <c r="E177" s="12"/>
      <c r="F177" s="14"/>
      <c r="G177" s="13"/>
      <c r="H177" s="12"/>
      <c r="I177" s="12"/>
      <c r="J177" s="12"/>
    </row>
    <row r="178" customFormat="false" ht="15" hidden="false" customHeight="false" outlineLevel="0" collapsed="false">
      <c r="A178" s="9"/>
      <c r="B178" s="9"/>
      <c r="C178" s="10"/>
      <c r="D178" s="9"/>
      <c r="E178" s="9"/>
      <c r="F178" s="11"/>
      <c r="G178" s="10"/>
      <c r="H178" s="9"/>
      <c r="I178" s="9"/>
      <c r="J178" s="9"/>
    </row>
    <row r="179" customFormat="false" ht="15" hidden="false" customHeight="false" outlineLevel="0" collapsed="false">
      <c r="A179" s="12"/>
      <c r="B179" s="12"/>
      <c r="C179" s="13"/>
      <c r="D179" s="12"/>
      <c r="E179" s="12"/>
      <c r="F179" s="14"/>
      <c r="G179" s="13"/>
      <c r="H179" s="12"/>
      <c r="I179" s="12"/>
      <c r="J179" s="12"/>
    </row>
    <row r="180" customFormat="false" ht="15" hidden="false" customHeight="false" outlineLevel="0" collapsed="false">
      <c r="A180" s="9"/>
      <c r="B180" s="9"/>
      <c r="C180" s="10"/>
      <c r="D180" s="9"/>
      <c r="E180" s="9"/>
      <c r="F180" s="11"/>
      <c r="G180" s="10"/>
      <c r="H180" s="9"/>
      <c r="I180" s="9"/>
      <c r="J180" s="9"/>
    </row>
    <row r="181" customFormat="false" ht="15" hidden="false" customHeight="false" outlineLevel="0" collapsed="false">
      <c r="A181" s="12"/>
      <c r="B181" s="12"/>
      <c r="C181" s="13"/>
      <c r="D181" s="12"/>
      <c r="E181" s="12"/>
      <c r="F181" s="14"/>
      <c r="G181" s="13"/>
      <c r="H181" s="12"/>
      <c r="I181" s="12"/>
      <c r="J181" s="12"/>
    </row>
    <row r="182" customFormat="false" ht="15" hidden="false" customHeight="false" outlineLevel="0" collapsed="false">
      <c r="A182" s="9"/>
      <c r="B182" s="9"/>
      <c r="C182" s="10"/>
      <c r="D182" s="9"/>
      <c r="E182" s="9"/>
      <c r="F182" s="11"/>
      <c r="G182" s="10"/>
      <c r="H182" s="9"/>
      <c r="I182" s="9"/>
      <c r="J182" s="9"/>
    </row>
    <row r="183" customFormat="false" ht="15" hidden="false" customHeight="false" outlineLevel="0" collapsed="false">
      <c r="A183" s="12"/>
      <c r="B183" s="12"/>
      <c r="C183" s="13"/>
      <c r="D183" s="12"/>
      <c r="E183" s="12"/>
      <c r="F183" s="14"/>
      <c r="G183" s="13"/>
      <c r="H183" s="12"/>
      <c r="I183" s="12"/>
      <c r="J183" s="12"/>
    </row>
    <row r="184" customFormat="false" ht="15" hidden="false" customHeight="false" outlineLevel="0" collapsed="false">
      <c r="A184" s="9"/>
      <c r="B184" s="9"/>
      <c r="C184" s="10"/>
      <c r="D184" s="9"/>
      <c r="E184" s="9"/>
      <c r="F184" s="11"/>
      <c r="G184" s="10"/>
      <c r="H184" s="9"/>
      <c r="I184" s="9"/>
      <c r="J184" s="9"/>
    </row>
    <row r="185" customFormat="false" ht="15" hidden="false" customHeight="false" outlineLevel="0" collapsed="false">
      <c r="A185" s="12"/>
      <c r="B185" s="12"/>
      <c r="C185" s="13"/>
      <c r="D185" s="12"/>
      <c r="E185" s="12"/>
      <c r="F185" s="14"/>
      <c r="G185" s="13"/>
      <c r="H185" s="12"/>
      <c r="I185" s="12"/>
      <c r="J185" s="12"/>
    </row>
    <row r="186" customFormat="false" ht="15" hidden="false" customHeight="false" outlineLevel="0" collapsed="false">
      <c r="A186" s="9"/>
      <c r="B186" s="9"/>
      <c r="C186" s="10"/>
      <c r="D186" s="9"/>
      <c r="E186" s="9"/>
      <c r="F186" s="11"/>
      <c r="G186" s="10"/>
      <c r="H186" s="9"/>
      <c r="I186" s="9"/>
      <c r="J186" s="9"/>
    </row>
    <row r="187" customFormat="false" ht="15" hidden="false" customHeight="false" outlineLevel="0" collapsed="false">
      <c r="A187" s="12"/>
      <c r="B187" s="12"/>
      <c r="C187" s="13"/>
      <c r="D187" s="12"/>
      <c r="E187" s="12"/>
      <c r="F187" s="14"/>
      <c r="G187" s="13"/>
      <c r="H187" s="12"/>
      <c r="I187" s="12"/>
      <c r="J187" s="12"/>
    </row>
    <row r="188" customFormat="false" ht="15" hidden="false" customHeight="false" outlineLevel="0" collapsed="false">
      <c r="A188" s="9"/>
      <c r="B188" s="9"/>
      <c r="C188" s="10"/>
      <c r="D188" s="9"/>
      <c r="E188" s="9"/>
      <c r="F188" s="11"/>
      <c r="G188" s="10"/>
      <c r="H188" s="9"/>
      <c r="I188" s="9"/>
      <c r="J188" s="9"/>
    </row>
    <row r="189" customFormat="false" ht="15" hidden="false" customHeight="false" outlineLevel="0" collapsed="false">
      <c r="A189" s="12"/>
      <c r="B189" s="12"/>
      <c r="C189" s="13"/>
      <c r="D189" s="12"/>
      <c r="E189" s="12"/>
      <c r="F189" s="14"/>
      <c r="G189" s="13"/>
      <c r="H189" s="12"/>
      <c r="I189" s="12"/>
      <c r="J189" s="12"/>
    </row>
    <row r="190" customFormat="false" ht="15" hidden="false" customHeight="false" outlineLevel="0" collapsed="false">
      <c r="A190" s="9"/>
      <c r="B190" s="9"/>
      <c r="C190" s="10"/>
      <c r="D190" s="9"/>
      <c r="E190" s="9"/>
      <c r="F190" s="11"/>
      <c r="G190" s="10"/>
      <c r="H190" s="9"/>
      <c r="I190" s="9"/>
      <c r="J190" s="9"/>
    </row>
    <row r="191" customFormat="false" ht="15" hidden="false" customHeight="false" outlineLevel="0" collapsed="false">
      <c r="A191" s="12"/>
      <c r="B191" s="12"/>
      <c r="C191" s="13"/>
      <c r="D191" s="12"/>
      <c r="E191" s="12"/>
      <c r="F191" s="14"/>
      <c r="G191" s="13"/>
      <c r="H191" s="12"/>
      <c r="I191" s="12"/>
      <c r="J191" s="12"/>
    </row>
    <row r="192" customFormat="false" ht="15" hidden="false" customHeight="false" outlineLevel="0" collapsed="false">
      <c r="A192" s="9"/>
      <c r="B192" s="9"/>
      <c r="C192" s="10"/>
      <c r="D192" s="9"/>
      <c r="E192" s="9"/>
      <c r="F192" s="11"/>
      <c r="G192" s="10"/>
      <c r="H192" s="9"/>
      <c r="I192" s="9"/>
      <c r="J192" s="9"/>
    </row>
    <row r="193" customFormat="false" ht="15" hidden="false" customHeight="false" outlineLevel="0" collapsed="false">
      <c r="A193" s="12"/>
      <c r="B193" s="12"/>
      <c r="C193" s="13"/>
      <c r="D193" s="12"/>
      <c r="E193" s="12"/>
      <c r="F193" s="14"/>
      <c r="G193" s="13"/>
      <c r="H193" s="12"/>
      <c r="I193" s="12"/>
      <c r="J193" s="12"/>
    </row>
    <row r="194" customFormat="false" ht="15" hidden="false" customHeight="false" outlineLevel="0" collapsed="false">
      <c r="A194" s="9"/>
      <c r="B194" s="9"/>
      <c r="C194" s="10"/>
      <c r="D194" s="9"/>
      <c r="E194" s="9"/>
      <c r="F194" s="11"/>
      <c r="G194" s="10"/>
      <c r="H194" s="9"/>
      <c r="I194" s="9"/>
      <c r="J194" s="9"/>
    </row>
    <row r="195" customFormat="false" ht="15" hidden="false" customHeight="false" outlineLevel="0" collapsed="false">
      <c r="A195" s="12"/>
      <c r="B195" s="12"/>
      <c r="C195" s="13"/>
      <c r="D195" s="12"/>
      <c r="E195" s="12"/>
      <c r="F195" s="14"/>
      <c r="G195" s="13"/>
      <c r="H195" s="12"/>
      <c r="I195" s="12"/>
      <c r="J195" s="12"/>
    </row>
    <row r="196" customFormat="false" ht="15" hidden="false" customHeight="false" outlineLevel="0" collapsed="false">
      <c r="A196" s="9"/>
      <c r="B196" s="9"/>
      <c r="C196" s="10"/>
      <c r="D196" s="9"/>
      <c r="E196" s="9"/>
      <c r="F196" s="11"/>
      <c r="G196" s="10"/>
      <c r="H196" s="9"/>
      <c r="I196" s="9"/>
      <c r="J196" s="9"/>
    </row>
    <row r="197" customFormat="false" ht="15" hidden="false" customHeight="false" outlineLevel="0" collapsed="false">
      <c r="A197" s="12"/>
      <c r="B197" s="12"/>
      <c r="C197" s="13"/>
      <c r="D197" s="12"/>
      <c r="E197" s="12"/>
      <c r="F197" s="14"/>
      <c r="G197" s="13"/>
      <c r="H197" s="12"/>
      <c r="I197" s="12"/>
      <c r="J197" s="12"/>
    </row>
    <row r="198" customFormat="false" ht="15" hidden="false" customHeight="false" outlineLevel="0" collapsed="false">
      <c r="A198" s="9"/>
      <c r="B198" s="9"/>
      <c r="C198" s="10"/>
      <c r="D198" s="9"/>
      <c r="E198" s="9"/>
      <c r="F198" s="11"/>
      <c r="G198" s="10"/>
      <c r="H198" s="9"/>
      <c r="I198" s="9"/>
      <c r="J198" s="9"/>
    </row>
    <row r="199" customFormat="false" ht="15" hidden="false" customHeight="false" outlineLevel="0" collapsed="false">
      <c r="A199" s="12"/>
      <c r="B199" s="12"/>
      <c r="C199" s="13"/>
      <c r="D199" s="12"/>
      <c r="E199" s="12"/>
      <c r="F199" s="14"/>
      <c r="G199" s="13"/>
      <c r="H199" s="12"/>
      <c r="I199" s="12"/>
      <c r="J199" s="12"/>
    </row>
    <row r="200" customFormat="false" ht="15" hidden="false" customHeight="false" outlineLevel="0" collapsed="false">
      <c r="A200" s="9"/>
      <c r="B200" s="9"/>
      <c r="C200" s="10"/>
      <c r="D200" s="9"/>
      <c r="E200" s="9"/>
      <c r="F200" s="11"/>
      <c r="G200" s="10"/>
      <c r="H200" s="9"/>
      <c r="I200" s="9"/>
      <c r="J200" s="9"/>
    </row>
    <row r="201" customFormat="false" ht="15" hidden="false" customHeight="false" outlineLevel="0" collapsed="false">
      <c r="A201" s="12"/>
      <c r="B201" s="12"/>
      <c r="C201" s="13"/>
      <c r="D201" s="12"/>
      <c r="E201" s="12"/>
      <c r="F201" s="14"/>
      <c r="G201" s="13"/>
      <c r="H201" s="12"/>
      <c r="I201" s="12"/>
      <c r="J201" s="12"/>
    </row>
    <row r="202" customFormat="false" ht="15" hidden="false" customHeight="false" outlineLevel="0" collapsed="false">
      <c r="A202" s="9"/>
      <c r="B202" s="9"/>
      <c r="C202" s="10"/>
      <c r="D202" s="9"/>
      <c r="E202" s="9"/>
      <c r="F202" s="11"/>
      <c r="G202" s="10"/>
      <c r="H202" s="9"/>
      <c r="I202" s="9"/>
      <c r="J202" s="9"/>
    </row>
    <row r="203" customFormat="false" ht="15" hidden="false" customHeight="false" outlineLevel="0" collapsed="false">
      <c r="A203" s="12"/>
      <c r="B203" s="12"/>
      <c r="C203" s="13"/>
      <c r="D203" s="12"/>
      <c r="E203" s="12"/>
      <c r="F203" s="14"/>
      <c r="G203" s="13"/>
      <c r="H203" s="12"/>
      <c r="I203" s="12"/>
      <c r="J203" s="12"/>
    </row>
    <row r="204" customFormat="false" ht="15" hidden="false" customHeight="false" outlineLevel="0" collapsed="false">
      <c r="A204" s="9"/>
      <c r="B204" s="9"/>
      <c r="C204" s="10"/>
      <c r="D204" s="9"/>
      <c r="E204" s="9"/>
      <c r="F204" s="11"/>
      <c r="G204" s="10"/>
      <c r="H204" s="9"/>
      <c r="I204" s="9"/>
      <c r="J204" s="9"/>
    </row>
    <row r="205" customFormat="false" ht="15" hidden="false" customHeight="false" outlineLevel="0" collapsed="false">
      <c r="A205" s="12"/>
      <c r="B205" s="12"/>
      <c r="C205" s="13"/>
      <c r="D205" s="12"/>
      <c r="E205" s="12"/>
      <c r="F205" s="14"/>
      <c r="G205" s="13"/>
      <c r="H205" s="12"/>
      <c r="I205" s="12"/>
      <c r="J205" s="12"/>
    </row>
    <row r="207" customFormat="false" ht="24" hidden="false" customHeight="true" outlineLevel="0" collapsed="false">
      <c r="A207" s="15" t="s">
        <v>23</v>
      </c>
      <c r="B207" s="15"/>
      <c r="C207" s="15"/>
      <c r="D207" s="15"/>
      <c r="E207" s="15"/>
      <c r="F207" s="15"/>
      <c r="G207" s="15"/>
      <c r="H207" s="15"/>
      <c r="I207" s="15"/>
      <c r="J207" s="15"/>
    </row>
    <row r="208" customFormat="false" ht="15" hidden="false" customHeight="false" outlineLevel="0" collapsed="false">
      <c r="A208" s="16" t="s">
        <v>24</v>
      </c>
      <c r="B208" s="16"/>
      <c r="C208" s="16"/>
      <c r="D208" s="16"/>
      <c r="E208" s="16"/>
      <c r="F208" s="16"/>
      <c r="G208" s="17" t="n">
        <f aca="false">COUNTA(A6:A205)</f>
        <v>0</v>
      </c>
      <c r="H208" s="17"/>
      <c r="I208" s="17"/>
      <c r="J208" s="17"/>
    </row>
    <row r="209" customFormat="false" ht="15" hidden="false" customHeight="false" outlineLevel="0" collapsed="false">
      <c r="A209" s="16" t="s">
        <v>25</v>
      </c>
      <c r="B209" s="16"/>
      <c r="C209" s="16"/>
      <c r="D209" s="16"/>
      <c r="E209" s="16"/>
      <c r="F209" s="16"/>
      <c r="G209" s="17" t="n">
        <f aca="false">SUMIF(F6:F205,"&gt;0",F6:F205)</f>
        <v>0</v>
      </c>
      <c r="H209" s="17"/>
      <c r="I209" s="17"/>
      <c r="J209" s="17"/>
    </row>
    <row r="210" customFormat="false" ht="15" hidden="false" customHeight="false" outlineLevel="0" collapsed="false">
      <c r="A210" s="16" t="s">
        <v>26</v>
      </c>
      <c r="B210" s="16"/>
      <c r="C210" s="16"/>
      <c r="D210" s="16"/>
      <c r="E210" s="16"/>
      <c r="F210" s="16"/>
      <c r="G210" s="18" t="n">
        <f aca="false">IFERROR(AVERAGEIF(F6:F205,"&gt;0",F6:F205),0)</f>
        <v>0</v>
      </c>
      <c r="H210" s="18"/>
      <c r="I210" s="18"/>
      <c r="J210" s="18"/>
    </row>
    <row r="211" customFormat="false" ht="15" hidden="false" customHeight="false" outlineLevel="0" collapsed="false">
      <c r="A211" s="16" t="s">
        <v>27</v>
      </c>
      <c r="B211" s="16"/>
      <c r="C211" s="16"/>
      <c r="D211" s="16"/>
      <c r="E211" s="16"/>
      <c r="F211" s="16"/>
      <c r="G211" s="17" t="n">
        <f aca="false">IFERROR(minifs(F6:F205,F6:F205,"&gt;0"),0)</f>
        <v>0</v>
      </c>
      <c r="H211" s="17"/>
      <c r="I211" s="17"/>
      <c r="J211" s="17"/>
    </row>
    <row r="212" customFormat="false" ht="15" hidden="false" customHeight="false" outlineLevel="0" collapsed="false">
      <c r="A212" s="16" t="s">
        <v>28</v>
      </c>
      <c r="B212" s="16"/>
      <c r="C212" s="16"/>
      <c r="D212" s="16"/>
      <c r="E212" s="16"/>
      <c r="F212" s="16"/>
      <c r="G212" s="17" t="n">
        <f aca="false">IFERROR(maxifs(F6:F205,F6:F205,"&gt;0"),0)</f>
        <v>0</v>
      </c>
      <c r="H212" s="17"/>
      <c r="I212" s="17"/>
      <c r="J212" s="17"/>
    </row>
    <row r="213" customFormat="false" ht="15" hidden="false" customHeight="false" outlineLevel="0" collapsed="false">
      <c r="A213" s="16" t="s">
        <v>29</v>
      </c>
      <c r="B213" s="16"/>
      <c r="C213" s="16"/>
      <c r="D213" s="16"/>
      <c r="E213" s="16"/>
      <c r="F213" s="16"/>
      <c r="G213" s="17" t="n">
        <f aca="false">COUNTIF(I6:I205,"Pending Shipment")</f>
        <v>0</v>
      </c>
      <c r="H213" s="17"/>
      <c r="I213" s="17"/>
      <c r="J213" s="17"/>
    </row>
    <row r="214" customFormat="false" ht="15" hidden="false" customHeight="false" outlineLevel="0" collapsed="false">
      <c r="A214" s="16" t="s">
        <v>30</v>
      </c>
      <c r="B214" s="16"/>
      <c r="C214" s="16"/>
      <c r="D214" s="16"/>
      <c r="E214" s="16"/>
      <c r="F214" s="16"/>
      <c r="G214" s="17" t="n">
        <f aca="false">COUNTIF(I6:I205,"Shipped")</f>
        <v>0</v>
      </c>
      <c r="H214" s="17"/>
      <c r="I214" s="17"/>
      <c r="J214" s="17"/>
    </row>
    <row r="215" customFormat="false" ht="15" hidden="false" customHeight="false" outlineLevel="0" collapsed="false">
      <c r="A215" s="16" t="s">
        <v>31</v>
      </c>
      <c r="B215" s="16"/>
      <c r="C215" s="16"/>
      <c r="D215" s="16"/>
      <c r="E215" s="16"/>
      <c r="F215" s="16"/>
      <c r="G215" s="19" t="n">
        <f aca="false">IFERROR(MAX(C6:C205),"N/A")</f>
        <v>0</v>
      </c>
      <c r="H215" s="19"/>
      <c r="I215" s="19"/>
      <c r="J215" s="19"/>
    </row>
  </sheetData>
  <mergeCells count="20">
    <mergeCell ref="A1:J1"/>
    <mergeCell ref="A2:D2"/>
    <mergeCell ref="E2:H2"/>
    <mergeCell ref="A207:J207"/>
    <mergeCell ref="A208:F208"/>
    <mergeCell ref="G208:J208"/>
    <mergeCell ref="A209:F209"/>
    <mergeCell ref="G209:J209"/>
    <mergeCell ref="A210:F210"/>
    <mergeCell ref="G210:J210"/>
    <mergeCell ref="A211:F211"/>
    <mergeCell ref="G211:J211"/>
    <mergeCell ref="A212:F212"/>
    <mergeCell ref="G212:J212"/>
    <mergeCell ref="A213:F213"/>
    <mergeCell ref="G213:J213"/>
    <mergeCell ref="A214:F214"/>
    <mergeCell ref="G214:J214"/>
    <mergeCell ref="A215:F215"/>
    <mergeCell ref="G215:J215"/>
  </mergeCells>
  <dataValidations count="1">
    <dataValidation allowBlank="true" errorStyle="stop" operator="between" showDropDown="false" showErrorMessage="false" showInputMessage="false" sqref="I6:I205" type="list">
      <formula1>"Pending Shipment,Shipped,Recycled,Under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360C"/>
    <pageSetUpPr fitToPage="false"/>
  </sheetPr>
  <dimension ref="A1:J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24"/>
    <col collapsed="false" customWidth="true" hidden="false" outlineLevel="0" max="9" min="9" style="1" width="20"/>
    <col collapsed="false" customWidth="true" hidden="false" outlineLevel="0" max="10" min="10" style="1" width="32"/>
  </cols>
  <sheetData>
    <row r="1" customFormat="false" ht="43.5" hidden="false" customHeight="true" outlineLevel="0" collapsed="false">
      <c r="A1" s="20" t="s">
        <v>32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4" t="s">
        <v>2</v>
      </c>
      <c r="F2" s="4"/>
      <c r="G2" s="4"/>
      <c r="H2" s="4"/>
      <c r="I2" s="5" t="s">
        <v>3</v>
      </c>
      <c r="J2" s="6" t="n">
        <v>2024</v>
      </c>
    </row>
    <row r="4" customFormat="false" ht="36" hidden="false" customHeight="true" outlineLevel="0" collapsed="false">
      <c r="A4" s="21" t="s">
        <v>4</v>
      </c>
      <c r="B4" s="21" t="s">
        <v>5</v>
      </c>
      <c r="C4" s="21" t="s">
        <v>6</v>
      </c>
      <c r="D4" s="21" t="s">
        <v>7</v>
      </c>
      <c r="E4" s="21" t="s">
        <v>8</v>
      </c>
      <c r="F4" s="21" t="s">
        <v>9</v>
      </c>
      <c r="G4" s="21" t="s">
        <v>10</v>
      </c>
      <c r="H4" s="21" t="s">
        <v>11</v>
      </c>
      <c r="I4" s="21" t="s">
        <v>12</v>
      </c>
      <c r="J4" s="21" t="s">
        <v>13</v>
      </c>
    </row>
    <row r="5" customFormat="false" ht="19.5" hidden="false" customHeight="true" outlineLevel="0" collapsed="false">
      <c r="A5" s="8" t="s">
        <v>33</v>
      </c>
      <c r="B5" s="8" t="s">
        <v>34</v>
      </c>
      <c r="C5" s="8" t="s">
        <v>16</v>
      </c>
      <c r="D5" s="8" t="s">
        <v>17</v>
      </c>
      <c r="E5" s="8" t="s">
        <v>18</v>
      </c>
      <c r="F5" s="8" t="n">
        <v>0</v>
      </c>
      <c r="G5" s="8" t="s">
        <v>19</v>
      </c>
      <c r="H5" s="8" t="s">
        <v>20</v>
      </c>
      <c r="I5" s="8" t="s">
        <v>21</v>
      </c>
      <c r="J5" s="8" t="s">
        <v>22</v>
      </c>
    </row>
    <row r="6" customFormat="false" ht="15" hidden="false" customHeight="false" outlineLevel="0" collapsed="false">
      <c r="A6" s="22"/>
      <c r="B6" s="22"/>
      <c r="C6" s="23"/>
      <c r="D6" s="22"/>
      <c r="E6" s="22"/>
      <c r="F6" s="24"/>
      <c r="G6" s="23"/>
      <c r="H6" s="22"/>
      <c r="I6" s="22"/>
      <c r="J6" s="22"/>
    </row>
    <row r="7" customFormat="false" ht="15" hidden="false" customHeight="false" outlineLevel="0" collapsed="false">
      <c r="A7" s="25"/>
      <c r="B7" s="25"/>
      <c r="C7" s="26"/>
      <c r="D7" s="25"/>
      <c r="E7" s="25"/>
      <c r="F7" s="27"/>
      <c r="G7" s="26"/>
      <c r="H7" s="25"/>
      <c r="I7" s="25"/>
      <c r="J7" s="25"/>
    </row>
    <row r="8" customFormat="false" ht="15" hidden="false" customHeight="false" outlineLevel="0" collapsed="false">
      <c r="A8" s="22"/>
      <c r="B8" s="22"/>
      <c r="C8" s="23"/>
      <c r="D8" s="22"/>
      <c r="E8" s="22"/>
      <c r="F8" s="24"/>
      <c r="G8" s="23"/>
      <c r="H8" s="22"/>
      <c r="I8" s="22"/>
      <c r="J8" s="22"/>
    </row>
    <row r="9" customFormat="false" ht="15" hidden="false" customHeight="false" outlineLevel="0" collapsed="false">
      <c r="A9" s="25"/>
      <c r="B9" s="25"/>
      <c r="C9" s="26"/>
      <c r="D9" s="25"/>
      <c r="E9" s="25"/>
      <c r="F9" s="27"/>
      <c r="G9" s="26"/>
      <c r="H9" s="25"/>
      <c r="I9" s="25"/>
      <c r="J9" s="25"/>
    </row>
    <row r="10" customFormat="false" ht="15" hidden="false" customHeight="false" outlineLevel="0" collapsed="false">
      <c r="A10" s="22"/>
      <c r="B10" s="22"/>
      <c r="C10" s="23"/>
      <c r="D10" s="22"/>
      <c r="E10" s="22"/>
      <c r="F10" s="24"/>
      <c r="G10" s="23"/>
      <c r="H10" s="22"/>
      <c r="I10" s="22"/>
      <c r="J10" s="22"/>
    </row>
    <row r="11" customFormat="false" ht="15" hidden="false" customHeight="false" outlineLevel="0" collapsed="false">
      <c r="A11" s="25"/>
      <c r="B11" s="25"/>
      <c r="C11" s="26"/>
      <c r="D11" s="25"/>
      <c r="E11" s="25"/>
      <c r="F11" s="27"/>
      <c r="G11" s="26"/>
      <c r="H11" s="25"/>
      <c r="I11" s="25"/>
      <c r="J11" s="25"/>
    </row>
    <row r="12" customFormat="false" ht="15" hidden="false" customHeight="false" outlineLevel="0" collapsed="false">
      <c r="A12" s="22"/>
      <c r="B12" s="22"/>
      <c r="C12" s="23"/>
      <c r="D12" s="22"/>
      <c r="E12" s="22"/>
      <c r="F12" s="24"/>
      <c r="G12" s="23"/>
      <c r="H12" s="22"/>
      <c r="I12" s="22"/>
      <c r="J12" s="22"/>
    </row>
    <row r="13" customFormat="false" ht="15" hidden="false" customHeight="false" outlineLevel="0" collapsed="false">
      <c r="A13" s="25"/>
      <c r="B13" s="25"/>
      <c r="C13" s="26"/>
      <c r="D13" s="25"/>
      <c r="E13" s="25"/>
      <c r="F13" s="27"/>
      <c r="G13" s="26"/>
      <c r="H13" s="25"/>
      <c r="I13" s="25"/>
      <c r="J13" s="25"/>
    </row>
    <row r="14" customFormat="false" ht="15" hidden="false" customHeight="false" outlineLevel="0" collapsed="false">
      <c r="A14" s="22"/>
      <c r="B14" s="22"/>
      <c r="C14" s="23"/>
      <c r="D14" s="22"/>
      <c r="E14" s="22"/>
      <c r="F14" s="24"/>
      <c r="G14" s="23"/>
      <c r="H14" s="22"/>
      <c r="I14" s="22"/>
      <c r="J14" s="22"/>
    </row>
    <row r="15" customFormat="false" ht="15" hidden="false" customHeight="false" outlineLevel="0" collapsed="false">
      <c r="A15" s="25"/>
      <c r="B15" s="25"/>
      <c r="C15" s="26"/>
      <c r="D15" s="25"/>
      <c r="E15" s="25"/>
      <c r="F15" s="27"/>
      <c r="G15" s="26"/>
      <c r="H15" s="25"/>
      <c r="I15" s="25"/>
      <c r="J15" s="25"/>
    </row>
    <row r="16" customFormat="false" ht="15" hidden="false" customHeight="false" outlineLevel="0" collapsed="false">
      <c r="A16" s="22"/>
      <c r="B16" s="22"/>
      <c r="C16" s="23"/>
      <c r="D16" s="22"/>
      <c r="E16" s="22"/>
      <c r="F16" s="24"/>
      <c r="G16" s="23"/>
      <c r="H16" s="22"/>
      <c r="I16" s="22"/>
      <c r="J16" s="22"/>
    </row>
    <row r="17" customFormat="false" ht="15" hidden="false" customHeight="false" outlineLevel="0" collapsed="false">
      <c r="A17" s="25"/>
      <c r="B17" s="25"/>
      <c r="C17" s="26"/>
      <c r="D17" s="25"/>
      <c r="E17" s="25"/>
      <c r="F17" s="27"/>
      <c r="G17" s="26"/>
      <c r="H17" s="25"/>
      <c r="I17" s="25"/>
      <c r="J17" s="25"/>
    </row>
    <row r="18" customFormat="false" ht="15" hidden="false" customHeight="false" outlineLevel="0" collapsed="false">
      <c r="A18" s="22"/>
      <c r="B18" s="22"/>
      <c r="C18" s="23"/>
      <c r="D18" s="22"/>
      <c r="E18" s="22"/>
      <c r="F18" s="24"/>
      <c r="G18" s="23"/>
      <c r="H18" s="22"/>
      <c r="I18" s="22"/>
      <c r="J18" s="22"/>
    </row>
    <row r="19" customFormat="false" ht="15" hidden="false" customHeight="false" outlineLevel="0" collapsed="false">
      <c r="A19" s="25"/>
      <c r="B19" s="25"/>
      <c r="C19" s="26"/>
      <c r="D19" s="25"/>
      <c r="E19" s="25"/>
      <c r="F19" s="27"/>
      <c r="G19" s="26"/>
      <c r="H19" s="25"/>
      <c r="I19" s="25"/>
      <c r="J19" s="25"/>
    </row>
    <row r="20" customFormat="false" ht="15" hidden="false" customHeight="false" outlineLevel="0" collapsed="false">
      <c r="A20" s="22"/>
      <c r="B20" s="22"/>
      <c r="C20" s="23"/>
      <c r="D20" s="22"/>
      <c r="E20" s="22"/>
      <c r="F20" s="24"/>
      <c r="G20" s="23"/>
      <c r="H20" s="22"/>
      <c r="I20" s="22"/>
      <c r="J20" s="22"/>
    </row>
    <row r="21" customFormat="false" ht="15" hidden="false" customHeight="false" outlineLevel="0" collapsed="false">
      <c r="A21" s="25"/>
      <c r="B21" s="25"/>
      <c r="C21" s="26"/>
      <c r="D21" s="25"/>
      <c r="E21" s="25"/>
      <c r="F21" s="27"/>
      <c r="G21" s="26"/>
      <c r="H21" s="25"/>
      <c r="I21" s="25"/>
      <c r="J21" s="25"/>
    </row>
    <row r="22" customFormat="false" ht="15" hidden="false" customHeight="false" outlineLevel="0" collapsed="false">
      <c r="A22" s="22"/>
      <c r="B22" s="22"/>
      <c r="C22" s="23"/>
      <c r="D22" s="22"/>
      <c r="E22" s="22"/>
      <c r="F22" s="24"/>
      <c r="G22" s="23"/>
      <c r="H22" s="22"/>
      <c r="I22" s="22"/>
      <c r="J22" s="22"/>
    </row>
    <row r="23" customFormat="false" ht="15" hidden="false" customHeight="false" outlineLevel="0" collapsed="false">
      <c r="A23" s="25"/>
      <c r="B23" s="25"/>
      <c r="C23" s="26"/>
      <c r="D23" s="25"/>
      <c r="E23" s="25"/>
      <c r="F23" s="27"/>
      <c r="G23" s="26"/>
      <c r="H23" s="25"/>
      <c r="I23" s="25"/>
      <c r="J23" s="25"/>
    </row>
    <row r="24" customFormat="false" ht="15" hidden="false" customHeight="false" outlineLevel="0" collapsed="false">
      <c r="A24" s="22"/>
      <c r="B24" s="22"/>
      <c r="C24" s="23"/>
      <c r="D24" s="22"/>
      <c r="E24" s="22"/>
      <c r="F24" s="24"/>
      <c r="G24" s="23"/>
      <c r="H24" s="22"/>
      <c r="I24" s="22"/>
      <c r="J24" s="22"/>
    </row>
    <row r="25" customFormat="false" ht="15" hidden="false" customHeight="false" outlineLevel="0" collapsed="false">
      <c r="A25" s="25"/>
      <c r="B25" s="25"/>
      <c r="C25" s="26"/>
      <c r="D25" s="25"/>
      <c r="E25" s="25"/>
      <c r="F25" s="27"/>
      <c r="G25" s="26"/>
      <c r="H25" s="25"/>
      <c r="I25" s="25"/>
      <c r="J25" s="25"/>
    </row>
    <row r="26" customFormat="false" ht="15" hidden="false" customHeight="false" outlineLevel="0" collapsed="false">
      <c r="A26" s="22"/>
      <c r="B26" s="22"/>
      <c r="C26" s="23"/>
      <c r="D26" s="22"/>
      <c r="E26" s="22"/>
      <c r="F26" s="24"/>
      <c r="G26" s="23"/>
      <c r="H26" s="22"/>
      <c r="I26" s="22"/>
      <c r="J26" s="22"/>
    </row>
    <row r="27" customFormat="false" ht="15" hidden="false" customHeight="false" outlineLevel="0" collapsed="false">
      <c r="A27" s="25"/>
      <c r="B27" s="25"/>
      <c r="C27" s="26"/>
      <c r="D27" s="25"/>
      <c r="E27" s="25"/>
      <c r="F27" s="27"/>
      <c r="G27" s="26"/>
      <c r="H27" s="25"/>
      <c r="I27" s="25"/>
      <c r="J27" s="25"/>
    </row>
    <row r="28" customFormat="false" ht="15" hidden="false" customHeight="false" outlineLevel="0" collapsed="false">
      <c r="A28" s="22"/>
      <c r="B28" s="22"/>
      <c r="C28" s="23"/>
      <c r="D28" s="22"/>
      <c r="E28" s="22"/>
      <c r="F28" s="24"/>
      <c r="G28" s="23"/>
      <c r="H28" s="22"/>
      <c r="I28" s="22"/>
      <c r="J28" s="22"/>
    </row>
    <row r="29" customFormat="false" ht="15" hidden="false" customHeight="false" outlineLevel="0" collapsed="false">
      <c r="A29" s="25"/>
      <c r="B29" s="25"/>
      <c r="C29" s="26"/>
      <c r="D29" s="25"/>
      <c r="E29" s="25"/>
      <c r="F29" s="27"/>
      <c r="G29" s="26"/>
      <c r="H29" s="25"/>
      <c r="I29" s="25"/>
      <c r="J29" s="25"/>
    </row>
    <row r="30" customFormat="false" ht="15" hidden="false" customHeight="false" outlineLevel="0" collapsed="false">
      <c r="A30" s="22"/>
      <c r="B30" s="22"/>
      <c r="C30" s="23"/>
      <c r="D30" s="22"/>
      <c r="E30" s="22"/>
      <c r="F30" s="24"/>
      <c r="G30" s="23"/>
      <c r="H30" s="22"/>
      <c r="I30" s="22"/>
      <c r="J30" s="22"/>
    </row>
    <row r="31" customFormat="false" ht="15" hidden="false" customHeight="false" outlineLevel="0" collapsed="false">
      <c r="A31" s="25"/>
      <c r="B31" s="25"/>
      <c r="C31" s="26"/>
      <c r="D31" s="25"/>
      <c r="E31" s="25"/>
      <c r="F31" s="27"/>
      <c r="G31" s="26"/>
      <c r="H31" s="25"/>
      <c r="I31" s="25"/>
      <c r="J31" s="25"/>
    </row>
    <row r="32" customFormat="false" ht="15" hidden="false" customHeight="false" outlineLevel="0" collapsed="false">
      <c r="A32" s="22"/>
      <c r="B32" s="22"/>
      <c r="C32" s="23"/>
      <c r="D32" s="22"/>
      <c r="E32" s="22"/>
      <c r="F32" s="24"/>
      <c r="G32" s="23"/>
      <c r="H32" s="22"/>
      <c r="I32" s="22"/>
      <c r="J32" s="22"/>
    </row>
    <row r="33" customFormat="false" ht="15" hidden="false" customHeight="false" outlineLevel="0" collapsed="false">
      <c r="A33" s="25"/>
      <c r="B33" s="25"/>
      <c r="C33" s="26"/>
      <c r="D33" s="25"/>
      <c r="E33" s="25"/>
      <c r="F33" s="27"/>
      <c r="G33" s="26"/>
      <c r="H33" s="25"/>
      <c r="I33" s="25"/>
      <c r="J33" s="25"/>
    </row>
    <row r="34" customFormat="false" ht="15" hidden="false" customHeight="false" outlineLevel="0" collapsed="false">
      <c r="A34" s="22"/>
      <c r="B34" s="22"/>
      <c r="C34" s="23"/>
      <c r="D34" s="22"/>
      <c r="E34" s="22"/>
      <c r="F34" s="24"/>
      <c r="G34" s="23"/>
      <c r="H34" s="22"/>
      <c r="I34" s="22"/>
      <c r="J34" s="22"/>
    </row>
    <row r="35" customFormat="false" ht="15" hidden="false" customHeight="false" outlineLevel="0" collapsed="false">
      <c r="A35" s="25"/>
      <c r="B35" s="25"/>
      <c r="C35" s="26"/>
      <c r="D35" s="25"/>
      <c r="E35" s="25"/>
      <c r="F35" s="27"/>
      <c r="G35" s="26"/>
      <c r="H35" s="25"/>
      <c r="I35" s="25"/>
      <c r="J35" s="25"/>
    </row>
    <row r="36" customFormat="false" ht="15" hidden="false" customHeight="false" outlineLevel="0" collapsed="false">
      <c r="A36" s="22"/>
      <c r="B36" s="22"/>
      <c r="C36" s="23"/>
      <c r="D36" s="22"/>
      <c r="E36" s="22"/>
      <c r="F36" s="24"/>
      <c r="G36" s="23"/>
      <c r="H36" s="22"/>
      <c r="I36" s="22"/>
      <c r="J36" s="22"/>
    </row>
    <row r="37" customFormat="false" ht="15" hidden="false" customHeight="false" outlineLevel="0" collapsed="false">
      <c r="A37" s="25"/>
      <c r="B37" s="25"/>
      <c r="C37" s="26"/>
      <c r="D37" s="25"/>
      <c r="E37" s="25"/>
      <c r="F37" s="27"/>
      <c r="G37" s="26"/>
      <c r="H37" s="25"/>
      <c r="I37" s="25"/>
      <c r="J37" s="25"/>
    </row>
    <row r="38" customFormat="false" ht="15" hidden="false" customHeight="false" outlineLevel="0" collapsed="false">
      <c r="A38" s="22"/>
      <c r="B38" s="22"/>
      <c r="C38" s="23"/>
      <c r="D38" s="22"/>
      <c r="E38" s="22"/>
      <c r="F38" s="24"/>
      <c r="G38" s="23"/>
      <c r="H38" s="22"/>
      <c r="I38" s="22"/>
      <c r="J38" s="22"/>
    </row>
    <row r="39" customFormat="false" ht="15" hidden="false" customHeight="false" outlineLevel="0" collapsed="false">
      <c r="A39" s="25"/>
      <c r="B39" s="25"/>
      <c r="C39" s="26"/>
      <c r="D39" s="25"/>
      <c r="E39" s="25"/>
      <c r="F39" s="27"/>
      <c r="G39" s="26"/>
      <c r="H39" s="25"/>
      <c r="I39" s="25"/>
      <c r="J39" s="25"/>
    </row>
    <row r="40" customFormat="false" ht="15" hidden="false" customHeight="false" outlineLevel="0" collapsed="false">
      <c r="A40" s="22"/>
      <c r="B40" s="22"/>
      <c r="C40" s="23"/>
      <c r="D40" s="22"/>
      <c r="E40" s="22"/>
      <c r="F40" s="24"/>
      <c r="G40" s="23"/>
      <c r="H40" s="22"/>
      <c r="I40" s="22"/>
      <c r="J40" s="22"/>
    </row>
    <row r="41" customFormat="false" ht="15" hidden="false" customHeight="false" outlineLevel="0" collapsed="false">
      <c r="A41" s="25"/>
      <c r="B41" s="25"/>
      <c r="C41" s="26"/>
      <c r="D41" s="25"/>
      <c r="E41" s="25"/>
      <c r="F41" s="27"/>
      <c r="G41" s="26"/>
      <c r="H41" s="25"/>
      <c r="I41" s="25"/>
      <c r="J41" s="25"/>
    </row>
    <row r="42" customFormat="false" ht="15" hidden="false" customHeight="false" outlineLevel="0" collapsed="false">
      <c r="A42" s="22"/>
      <c r="B42" s="22"/>
      <c r="C42" s="23"/>
      <c r="D42" s="22"/>
      <c r="E42" s="22"/>
      <c r="F42" s="24"/>
      <c r="G42" s="23"/>
      <c r="H42" s="22"/>
      <c r="I42" s="22"/>
      <c r="J42" s="22"/>
    </row>
    <row r="43" customFormat="false" ht="15" hidden="false" customHeight="false" outlineLevel="0" collapsed="false">
      <c r="A43" s="25"/>
      <c r="B43" s="25"/>
      <c r="C43" s="26"/>
      <c r="D43" s="25"/>
      <c r="E43" s="25"/>
      <c r="F43" s="27"/>
      <c r="G43" s="26"/>
      <c r="H43" s="25"/>
      <c r="I43" s="25"/>
      <c r="J43" s="25"/>
    </row>
    <row r="44" customFormat="false" ht="15" hidden="false" customHeight="false" outlineLevel="0" collapsed="false">
      <c r="A44" s="22"/>
      <c r="B44" s="22"/>
      <c r="C44" s="23"/>
      <c r="D44" s="22"/>
      <c r="E44" s="22"/>
      <c r="F44" s="24"/>
      <c r="G44" s="23"/>
      <c r="H44" s="22"/>
      <c r="I44" s="22"/>
      <c r="J44" s="22"/>
    </row>
    <row r="45" customFormat="false" ht="15" hidden="false" customHeight="false" outlineLevel="0" collapsed="false">
      <c r="A45" s="25"/>
      <c r="B45" s="25"/>
      <c r="C45" s="26"/>
      <c r="D45" s="25"/>
      <c r="E45" s="25"/>
      <c r="F45" s="27"/>
      <c r="G45" s="26"/>
      <c r="H45" s="25"/>
      <c r="I45" s="25"/>
      <c r="J45" s="25"/>
    </row>
    <row r="46" customFormat="false" ht="15" hidden="false" customHeight="false" outlineLevel="0" collapsed="false">
      <c r="A46" s="22"/>
      <c r="B46" s="22"/>
      <c r="C46" s="23"/>
      <c r="D46" s="22"/>
      <c r="E46" s="22"/>
      <c r="F46" s="24"/>
      <c r="G46" s="23"/>
      <c r="H46" s="22"/>
      <c r="I46" s="22"/>
      <c r="J46" s="22"/>
    </row>
    <row r="47" customFormat="false" ht="15" hidden="false" customHeight="false" outlineLevel="0" collapsed="false">
      <c r="A47" s="25"/>
      <c r="B47" s="25"/>
      <c r="C47" s="26"/>
      <c r="D47" s="25"/>
      <c r="E47" s="25"/>
      <c r="F47" s="27"/>
      <c r="G47" s="26"/>
      <c r="H47" s="25"/>
      <c r="I47" s="25"/>
      <c r="J47" s="25"/>
    </row>
    <row r="48" customFormat="false" ht="15" hidden="false" customHeight="false" outlineLevel="0" collapsed="false">
      <c r="A48" s="22"/>
      <c r="B48" s="22"/>
      <c r="C48" s="23"/>
      <c r="D48" s="22"/>
      <c r="E48" s="22"/>
      <c r="F48" s="24"/>
      <c r="G48" s="23"/>
      <c r="H48" s="22"/>
      <c r="I48" s="22"/>
      <c r="J48" s="22"/>
    </row>
    <row r="49" customFormat="false" ht="15" hidden="false" customHeight="false" outlineLevel="0" collapsed="false">
      <c r="A49" s="25"/>
      <c r="B49" s="25"/>
      <c r="C49" s="26"/>
      <c r="D49" s="25"/>
      <c r="E49" s="25"/>
      <c r="F49" s="27"/>
      <c r="G49" s="26"/>
      <c r="H49" s="25"/>
      <c r="I49" s="25"/>
      <c r="J49" s="25"/>
    </row>
    <row r="50" customFormat="false" ht="15" hidden="false" customHeight="false" outlineLevel="0" collapsed="false">
      <c r="A50" s="22"/>
      <c r="B50" s="22"/>
      <c r="C50" s="23"/>
      <c r="D50" s="22"/>
      <c r="E50" s="22"/>
      <c r="F50" s="24"/>
      <c r="G50" s="23"/>
      <c r="H50" s="22"/>
      <c r="I50" s="22"/>
      <c r="J50" s="22"/>
    </row>
    <row r="51" customFormat="false" ht="15" hidden="false" customHeight="false" outlineLevel="0" collapsed="false">
      <c r="A51" s="25"/>
      <c r="B51" s="25"/>
      <c r="C51" s="26"/>
      <c r="D51" s="25"/>
      <c r="E51" s="25"/>
      <c r="F51" s="27"/>
      <c r="G51" s="26"/>
      <c r="H51" s="25"/>
      <c r="I51" s="25"/>
      <c r="J51" s="25"/>
    </row>
    <row r="52" customFormat="false" ht="15" hidden="false" customHeight="false" outlineLevel="0" collapsed="false">
      <c r="A52" s="22"/>
      <c r="B52" s="22"/>
      <c r="C52" s="23"/>
      <c r="D52" s="22"/>
      <c r="E52" s="22"/>
      <c r="F52" s="24"/>
      <c r="G52" s="23"/>
      <c r="H52" s="22"/>
      <c r="I52" s="22"/>
      <c r="J52" s="22"/>
    </row>
    <row r="53" customFormat="false" ht="15" hidden="false" customHeight="false" outlineLevel="0" collapsed="false">
      <c r="A53" s="25"/>
      <c r="B53" s="25"/>
      <c r="C53" s="26"/>
      <c r="D53" s="25"/>
      <c r="E53" s="25"/>
      <c r="F53" s="27"/>
      <c r="G53" s="26"/>
      <c r="H53" s="25"/>
      <c r="I53" s="25"/>
      <c r="J53" s="25"/>
    </row>
    <row r="54" customFormat="false" ht="15" hidden="false" customHeight="false" outlineLevel="0" collapsed="false">
      <c r="A54" s="22"/>
      <c r="B54" s="22"/>
      <c r="C54" s="23"/>
      <c r="D54" s="22"/>
      <c r="E54" s="22"/>
      <c r="F54" s="24"/>
      <c r="G54" s="23"/>
      <c r="H54" s="22"/>
      <c r="I54" s="22"/>
      <c r="J54" s="22"/>
    </row>
    <row r="55" customFormat="false" ht="15" hidden="false" customHeight="false" outlineLevel="0" collapsed="false">
      <c r="A55" s="25"/>
      <c r="B55" s="25"/>
      <c r="C55" s="26"/>
      <c r="D55" s="25"/>
      <c r="E55" s="25"/>
      <c r="F55" s="27"/>
      <c r="G55" s="26"/>
      <c r="H55" s="25"/>
      <c r="I55" s="25"/>
      <c r="J55" s="25"/>
    </row>
    <row r="56" customFormat="false" ht="15" hidden="false" customHeight="false" outlineLevel="0" collapsed="false">
      <c r="A56" s="22"/>
      <c r="B56" s="22"/>
      <c r="C56" s="23"/>
      <c r="D56" s="22"/>
      <c r="E56" s="22"/>
      <c r="F56" s="24"/>
      <c r="G56" s="23"/>
      <c r="H56" s="22"/>
      <c r="I56" s="22"/>
      <c r="J56" s="22"/>
    </row>
    <row r="57" customFormat="false" ht="15" hidden="false" customHeight="false" outlineLevel="0" collapsed="false">
      <c r="A57" s="25"/>
      <c r="B57" s="25"/>
      <c r="C57" s="26"/>
      <c r="D57" s="25"/>
      <c r="E57" s="25"/>
      <c r="F57" s="27"/>
      <c r="G57" s="26"/>
      <c r="H57" s="25"/>
      <c r="I57" s="25"/>
      <c r="J57" s="25"/>
    </row>
    <row r="58" customFormat="false" ht="15" hidden="false" customHeight="false" outlineLevel="0" collapsed="false">
      <c r="A58" s="22"/>
      <c r="B58" s="22"/>
      <c r="C58" s="23"/>
      <c r="D58" s="22"/>
      <c r="E58" s="22"/>
      <c r="F58" s="24"/>
      <c r="G58" s="23"/>
      <c r="H58" s="22"/>
      <c r="I58" s="22"/>
      <c r="J58" s="22"/>
    </row>
    <row r="59" customFormat="false" ht="15" hidden="false" customHeight="false" outlineLevel="0" collapsed="false">
      <c r="A59" s="25"/>
      <c r="B59" s="25"/>
      <c r="C59" s="26"/>
      <c r="D59" s="25"/>
      <c r="E59" s="25"/>
      <c r="F59" s="27"/>
      <c r="G59" s="26"/>
      <c r="H59" s="25"/>
      <c r="I59" s="25"/>
      <c r="J59" s="25"/>
    </row>
    <row r="60" customFormat="false" ht="15" hidden="false" customHeight="false" outlineLevel="0" collapsed="false">
      <c r="A60" s="22"/>
      <c r="B60" s="22"/>
      <c r="C60" s="23"/>
      <c r="D60" s="22"/>
      <c r="E60" s="22"/>
      <c r="F60" s="24"/>
      <c r="G60" s="23"/>
      <c r="H60" s="22"/>
      <c r="I60" s="22"/>
      <c r="J60" s="22"/>
    </row>
    <row r="61" customFormat="false" ht="15" hidden="false" customHeight="false" outlineLevel="0" collapsed="false">
      <c r="A61" s="25"/>
      <c r="B61" s="25"/>
      <c r="C61" s="26"/>
      <c r="D61" s="25"/>
      <c r="E61" s="25"/>
      <c r="F61" s="27"/>
      <c r="G61" s="26"/>
      <c r="H61" s="25"/>
      <c r="I61" s="25"/>
      <c r="J61" s="25"/>
    </row>
    <row r="62" customFormat="false" ht="15" hidden="false" customHeight="false" outlineLevel="0" collapsed="false">
      <c r="A62" s="22"/>
      <c r="B62" s="22"/>
      <c r="C62" s="23"/>
      <c r="D62" s="22"/>
      <c r="E62" s="22"/>
      <c r="F62" s="24"/>
      <c r="G62" s="23"/>
      <c r="H62" s="22"/>
      <c r="I62" s="22"/>
      <c r="J62" s="22"/>
    </row>
    <row r="63" customFormat="false" ht="15" hidden="false" customHeight="false" outlineLevel="0" collapsed="false">
      <c r="A63" s="25"/>
      <c r="B63" s="25"/>
      <c r="C63" s="26"/>
      <c r="D63" s="25"/>
      <c r="E63" s="25"/>
      <c r="F63" s="27"/>
      <c r="G63" s="26"/>
      <c r="H63" s="25"/>
      <c r="I63" s="25"/>
      <c r="J63" s="25"/>
    </row>
    <row r="64" customFormat="false" ht="15" hidden="false" customHeight="false" outlineLevel="0" collapsed="false">
      <c r="A64" s="22"/>
      <c r="B64" s="22"/>
      <c r="C64" s="23"/>
      <c r="D64" s="22"/>
      <c r="E64" s="22"/>
      <c r="F64" s="24"/>
      <c r="G64" s="23"/>
      <c r="H64" s="22"/>
      <c r="I64" s="22"/>
      <c r="J64" s="22"/>
    </row>
    <row r="65" customFormat="false" ht="15" hidden="false" customHeight="false" outlineLevel="0" collapsed="false">
      <c r="A65" s="25"/>
      <c r="B65" s="25"/>
      <c r="C65" s="26"/>
      <c r="D65" s="25"/>
      <c r="E65" s="25"/>
      <c r="F65" s="27"/>
      <c r="G65" s="26"/>
      <c r="H65" s="25"/>
      <c r="I65" s="25"/>
      <c r="J65" s="25"/>
    </row>
    <row r="66" customFormat="false" ht="15" hidden="false" customHeight="false" outlineLevel="0" collapsed="false">
      <c r="A66" s="22"/>
      <c r="B66" s="22"/>
      <c r="C66" s="23"/>
      <c r="D66" s="22"/>
      <c r="E66" s="22"/>
      <c r="F66" s="24"/>
      <c r="G66" s="23"/>
      <c r="H66" s="22"/>
      <c r="I66" s="22"/>
      <c r="J66" s="22"/>
    </row>
    <row r="67" customFormat="false" ht="15" hidden="false" customHeight="false" outlineLevel="0" collapsed="false">
      <c r="A67" s="25"/>
      <c r="B67" s="25"/>
      <c r="C67" s="26"/>
      <c r="D67" s="25"/>
      <c r="E67" s="25"/>
      <c r="F67" s="27"/>
      <c r="G67" s="26"/>
      <c r="H67" s="25"/>
      <c r="I67" s="25"/>
      <c r="J67" s="25"/>
    </row>
    <row r="68" customFormat="false" ht="15" hidden="false" customHeight="false" outlineLevel="0" collapsed="false">
      <c r="A68" s="22"/>
      <c r="B68" s="22"/>
      <c r="C68" s="23"/>
      <c r="D68" s="22"/>
      <c r="E68" s="22"/>
      <c r="F68" s="24"/>
      <c r="G68" s="23"/>
      <c r="H68" s="22"/>
      <c r="I68" s="22"/>
      <c r="J68" s="22"/>
    </row>
    <row r="69" customFormat="false" ht="15" hidden="false" customHeight="false" outlineLevel="0" collapsed="false">
      <c r="A69" s="25"/>
      <c r="B69" s="25"/>
      <c r="C69" s="26"/>
      <c r="D69" s="25"/>
      <c r="E69" s="25"/>
      <c r="F69" s="27"/>
      <c r="G69" s="26"/>
      <c r="H69" s="25"/>
      <c r="I69" s="25"/>
      <c r="J69" s="25"/>
    </row>
    <row r="70" customFormat="false" ht="15" hidden="false" customHeight="false" outlineLevel="0" collapsed="false">
      <c r="A70" s="22"/>
      <c r="B70" s="22"/>
      <c r="C70" s="23"/>
      <c r="D70" s="22"/>
      <c r="E70" s="22"/>
      <c r="F70" s="24"/>
      <c r="G70" s="23"/>
      <c r="H70" s="22"/>
      <c r="I70" s="22"/>
      <c r="J70" s="22"/>
    </row>
    <row r="71" customFormat="false" ht="15" hidden="false" customHeight="false" outlineLevel="0" collapsed="false">
      <c r="A71" s="25"/>
      <c r="B71" s="25"/>
      <c r="C71" s="26"/>
      <c r="D71" s="25"/>
      <c r="E71" s="25"/>
      <c r="F71" s="27"/>
      <c r="G71" s="26"/>
      <c r="H71" s="25"/>
      <c r="I71" s="25"/>
      <c r="J71" s="25"/>
    </row>
    <row r="72" customFormat="false" ht="15" hidden="false" customHeight="false" outlineLevel="0" collapsed="false">
      <c r="A72" s="22"/>
      <c r="B72" s="22"/>
      <c r="C72" s="23"/>
      <c r="D72" s="22"/>
      <c r="E72" s="22"/>
      <c r="F72" s="24"/>
      <c r="G72" s="23"/>
      <c r="H72" s="22"/>
      <c r="I72" s="22"/>
      <c r="J72" s="22"/>
    </row>
    <row r="73" customFormat="false" ht="15" hidden="false" customHeight="false" outlineLevel="0" collapsed="false">
      <c r="A73" s="25"/>
      <c r="B73" s="25"/>
      <c r="C73" s="26"/>
      <c r="D73" s="25"/>
      <c r="E73" s="25"/>
      <c r="F73" s="27"/>
      <c r="G73" s="26"/>
      <c r="H73" s="25"/>
      <c r="I73" s="25"/>
      <c r="J73" s="25"/>
    </row>
    <row r="74" customFormat="false" ht="15" hidden="false" customHeight="false" outlineLevel="0" collapsed="false">
      <c r="A74" s="22"/>
      <c r="B74" s="22"/>
      <c r="C74" s="23"/>
      <c r="D74" s="22"/>
      <c r="E74" s="22"/>
      <c r="F74" s="24"/>
      <c r="G74" s="23"/>
      <c r="H74" s="22"/>
      <c r="I74" s="22"/>
      <c r="J74" s="22"/>
    </row>
    <row r="75" customFormat="false" ht="15" hidden="false" customHeight="false" outlineLevel="0" collapsed="false">
      <c r="A75" s="25"/>
      <c r="B75" s="25"/>
      <c r="C75" s="26"/>
      <c r="D75" s="25"/>
      <c r="E75" s="25"/>
      <c r="F75" s="27"/>
      <c r="G75" s="26"/>
      <c r="H75" s="25"/>
      <c r="I75" s="25"/>
      <c r="J75" s="25"/>
    </row>
    <row r="76" customFormat="false" ht="15" hidden="false" customHeight="false" outlineLevel="0" collapsed="false">
      <c r="A76" s="22"/>
      <c r="B76" s="22"/>
      <c r="C76" s="23"/>
      <c r="D76" s="22"/>
      <c r="E76" s="22"/>
      <c r="F76" s="24"/>
      <c r="G76" s="23"/>
      <c r="H76" s="22"/>
      <c r="I76" s="22"/>
      <c r="J76" s="22"/>
    </row>
    <row r="77" customFormat="false" ht="15" hidden="false" customHeight="false" outlineLevel="0" collapsed="false">
      <c r="A77" s="25"/>
      <c r="B77" s="25"/>
      <c r="C77" s="26"/>
      <c r="D77" s="25"/>
      <c r="E77" s="25"/>
      <c r="F77" s="27"/>
      <c r="G77" s="26"/>
      <c r="H77" s="25"/>
      <c r="I77" s="25"/>
      <c r="J77" s="25"/>
    </row>
    <row r="78" customFormat="false" ht="15" hidden="false" customHeight="false" outlineLevel="0" collapsed="false">
      <c r="A78" s="22"/>
      <c r="B78" s="22"/>
      <c r="C78" s="23"/>
      <c r="D78" s="22"/>
      <c r="E78" s="22"/>
      <c r="F78" s="24"/>
      <c r="G78" s="23"/>
      <c r="H78" s="22"/>
      <c r="I78" s="22"/>
      <c r="J78" s="22"/>
    </row>
    <row r="79" customFormat="false" ht="15" hidden="false" customHeight="false" outlineLevel="0" collapsed="false">
      <c r="A79" s="25"/>
      <c r="B79" s="25"/>
      <c r="C79" s="26"/>
      <c r="D79" s="25"/>
      <c r="E79" s="25"/>
      <c r="F79" s="27"/>
      <c r="G79" s="26"/>
      <c r="H79" s="25"/>
      <c r="I79" s="25"/>
      <c r="J79" s="25"/>
    </row>
    <row r="80" customFormat="false" ht="15" hidden="false" customHeight="false" outlineLevel="0" collapsed="false">
      <c r="A80" s="22"/>
      <c r="B80" s="22"/>
      <c r="C80" s="23"/>
      <c r="D80" s="22"/>
      <c r="E80" s="22"/>
      <c r="F80" s="24"/>
      <c r="G80" s="23"/>
      <c r="H80" s="22"/>
      <c r="I80" s="22"/>
      <c r="J80" s="22"/>
    </row>
    <row r="81" customFormat="false" ht="15" hidden="false" customHeight="false" outlineLevel="0" collapsed="false">
      <c r="A81" s="25"/>
      <c r="B81" s="25"/>
      <c r="C81" s="26"/>
      <c r="D81" s="25"/>
      <c r="E81" s="25"/>
      <c r="F81" s="27"/>
      <c r="G81" s="26"/>
      <c r="H81" s="25"/>
      <c r="I81" s="25"/>
      <c r="J81" s="25"/>
    </row>
    <row r="82" customFormat="false" ht="15" hidden="false" customHeight="false" outlineLevel="0" collapsed="false">
      <c r="A82" s="22"/>
      <c r="B82" s="22"/>
      <c r="C82" s="23"/>
      <c r="D82" s="22"/>
      <c r="E82" s="22"/>
      <c r="F82" s="24"/>
      <c r="G82" s="23"/>
      <c r="H82" s="22"/>
      <c r="I82" s="22"/>
      <c r="J82" s="22"/>
    </row>
    <row r="83" customFormat="false" ht="15" hidden="false" customHeight="false" outlineLevel="0" collapsed="false">
      <c r="A83" s="25"/>
      <c r="B83" s="25"/>
      <c r="C83" s="26"/>
      <c r="D83" s="25"/>
      <c r="E83" s="25"/>
      <c r="F83" s="27"/>
      <c r="G83" s="26"/>
      <c r="H83" s="25"/>
      <c r="I83" s="25"/>
      <c r="J83" s="25"/>
    </row>
    <row r="84" customFormat="false" ht="15" hidden="false" customHeight="false" outlineLevel="0" collapsed="false">
      <c r="A84" s="22"/>
      <c r="B84" s="22"/>
      <c r="C84" s="23"/>
      <c r="D84" s="22"/>
      <c r="E84" s="22"/>
      <c r="F84" s="24"/>
      <c r="G84" s="23"/>
      <c r="H84" s="22"/>
      <c r="I84" s="22"/>
      <c r="J84" s="22"/>
    </row>
    <row r="85" customFormat="false" ht="15" hidden="false" customHeight="false" outlineLevel="0" collapsed="false">
      <c r="A85" s="25"/>
      <c r="B85" s="25"/>
      <c r="C85" s="26"/>
      <c r="D85" s="25"/>
      <c r="E85" s="25"/>
      <c r="F85" s="27"/>
      <c r="G85" s="26"/>
      <c r="H85" s="25"/>
      <c r="I85" s="25"/>
      <c r="J85" s="25"/>
    </row>
    <row r="86" customFormat="false" ht="15" hidden="false" customHeight="false" outlineLevel="0" collapsed="false">
      <c r="A86" s="22"/>
      <c r="B86" s="22"/>
      <c r="C86" s="23"/>
      <c r="D86" s="22"/>
      <c r="E86" s="22"/>
      <c r="F86" s="24"/>
      <c r="G86" s="23"/>
      <c r="H86" s="22"/>
      <c r="I86" s="22"/>
      <c r="J86" s="22"/>
    </row>
    <row r="87" customFormat="false" ht="15" hidden="false" customHeight="false" outlineLevel="0" collapsed="false">
      <c r="A87" s="25"/>
      <c r="B87" s="25"/>
      <c r="C87" s="26"/>
      <c r="D87" s="25"/>
      <c r="E87" s="25"/>
      <c r="F87" s="27"/>
      <c r="G87" s="26"/>
      <c r="H87" s="25"/>
      <c r="I87" s="25"/>
      <c r="J87" s="25"/>
    </row>
    <row r="88" customFormat="false" ht="15" hidden="false" customHeight="false" outlineLevel="0" collapsed="false">
      <c r="A88" s="22"/>
      <c r="B88" s="22"/>
      <c r="C88" s="23"/>
      <c r="D88" s="22"/>
      <c r="E88" s="22"/>
      <c r="F88" s="24"/>
      <c r="G88" s="23"/>
      <c r="H88" s="22"/>
      <c r="I88" s="22"/>
      <c r="J88" s="22"/>
    </row>
    <row r="89" customFormat="false" ht="15" hidden="false" customHeight="false" outlineLevel="0" collapsed="false">
      <c r="A89" s="25"/>
      <c r="B89" s="25"/>
      <c r="C89" s="26"/>
      <c r="D89" s="25"/>
      <c r="E89" s="25"/>
      <c r="F89" s="27"/>
      <c r="G89" s="26"/>
      <c r="H89" s="25"/>
      <c r="I89" s="25"/>
      <c r="J89" s="25"/>
    </row>
    <row r="90" customFormat="false" ht="15" hidden="false" customHeight="false" outlineLevel="0" collapsed="false">
      <c r="A90" s="22"/>
      <c r="B90" s="22"/>
      <c r="C90" s="23"/>
      <c r="D90" s="22"/>
      <c r="E90" s="22"/>
      <c r="F90" s="24"/>
      <c r="G90" s="23"/>
      <c r="H90" s="22"/>
      <c r="I90" s="22"/>
      <c r="J90" s="22"/>
    </row>
    <row r="91" customFormat="false" ht="15" hidden="false" customHeight="false" outlineLevel="0" collapsed="false">
      <c r="A91" s="25"/>
      <c r="B91" s="25"/>
      <c r="C91" s="26"/>
      <c r="D91" s="25"/>
      <c r="E91" s="25"/>
      <c r="F91" s="27"/>
      <c r="G91" s="26"/>
      <c r="H91" s="25"/>
      <c r="I91" s="25"/>
      <c r="J91" s="25"/>
    </row>
    <row r="92" customFormat="false" ht="15" hidden="false" customHeight="false" outlineLevel="0" collapsed="false">
      <c r="A92" s="22"/>
      <c r="B92" s="22"/>
      <c r="C92" s="23"/>
      <c r="D92" s="22"/>
      <c r="E92" s="22"/>
      <c r="F92" s="24"/>
      <c r="G92" s="23"/>
      <c r="H92" s="22"/>
      <c r="I92" s="22"/>
      <c r="J92" s="22"/>
    </row>
    <row r="93" customFormat="false" ht="15" hidden="false" customHeight="false" outlineLevel="0" collapsed="false">
      <c r="A93" s="25"/>
      <c r="B93" s="25"/>
      <c r="C93" s="26"/>
      <c r="D93" s="25"/>
      <c r="E93" s="25"/>
      <c r="F93" s="27"/>
      <c r="G93" s="26"/>
      <c r="H93" s="25"/>
      <c r="I93" s="25"/>
      <c r="J93" s="25"/>
    </row>
    <row r="94" customFormat="false" ht="15" hidden="false" customHeight="false" outlineLevel="0" collapsed="false">
      <c r="A94" s="22"/>
      <c r="B94" s="22"/>
      <c r="C94" s="23"/>
      <c r="D94" s="22"/>
      <c r="E94" s="22"/>
      <c r="F94" s="24"/>
      <c r="G94" s="23"/>
      <c r="H94" s="22"/>
      <c r="I94" s="22"/>
      <c r="J94" s="22"/>
    </row>
    <row r="95" customFormat="false" ht="15" hidden="false" customHeight="false" outlineLevel="0" collapsed="false">
      <c r="A95" s="25"/>
      <c r="B95" s="25"/>
      <c r="C95" s="26"/>
      <c r="D95" s="25"/>
      <c r="E95" s="25"/>
      <c r="F95" s="27"/>
      <c r="G95" s="26"/>
      <c r="H95" s="25"/>
      <c r="I95" s="25"/>
      <c r="J95" s="25"/>
    </row>
    <row r="96" customFormat="false" ht="15" hidden="false" customHeight="false" outlineLevel="0" collapsed="false">
      <c r="A96" s="22"/>
      <c r="B96" s="22"/>
      <c r="C96" s="23"/>
      <c r="D96" s="22"/>
      <c r="E96" s="22"/>
      <c r="F96" s="24"/>
      <c r="G96" s="23"/>
      <c r="H96" s="22"/>
      <c r="I96" s="22"/>
      <c r="J96" s="22"/>
    </row>
    <row r="97" customFormat="false" ht="15" hidden="false" customHeight="false" outlineLevel="0" collapsed="false">
      <c r="A97" s="25"/>
      <c r="B97" s="25"/>
      <c r="C97" s="26"/>
      <c r="D97" s="25"/>
      <c r="E97" s="25"/>
      <c r="F97" s="27"/>
      <c r="G97" s="26"/>
      <c r="H97" s="25"/>
      <c r="I97" s="25"/>
      <c r="J97" s="25"/>
    </row>
    <row r="98" customFormat="false" ht="15" hidden="false" customHeight="false" outlineLevel="0" collapsed="false">
      <c r="A98" s="22"/>
      <c r="B98" s="22"/>
      <c r="C98" s="23"/>
      <c r="D98" s="22"/>
      <c r="E98" s="22"/>
      <c r="F98" s="24"/>
      <c r="G98" s="23"/>
      <c r="H98" s="22"/>
      <c r="I98" s="22"/>
      <c r="J98" s="22"/>
    </row>
    <row r="99" customFormat="false" ht="15" hidden="false" customHeight="false" outlineLevel="0" collapsed="false">
      <c r="A99" s="25"/>
      <c r="B99" s="25"/>
      <c r="C99" s="26"/>
      <c r="D99" s="25"/>
      <c r="E99" s="25"/>
      <c r="F99" s="27"/>
      <c r="G99" s="26"/>
      <c r="H99" s="25"/>
      <c r="I99" s="25"/>
      <c r="J99" s="25"/>
    </row>
    <row r="100" customFormat="false" ht="15" hidden="false" customHeight="false" outlineLevel="0" collapsed="false">
      <c r="A100" s="22"/>
      <c r="B100" s="22"/>
      <c r="C100" s="23"/>
      <c r="D100" s="22"/>
      <c r="E100" s="22"/>
      <c r="F100" s="24"/>
      <c r="G100" s="23"/>
      <c r="H100" s="22"/>
      <c r="I100" s="22"/>
      <c r="J100" s="22"/>
    </row>
    <row r="101" customFormat="false" ht="15" hidden="false" customHeight="false" outlineLevel="0" collapsed="false">
      <c r="A101" s="25"/>
      <c r="B101" s="25"/>
      <c r="C101" s="26"/>
      <c r="D101" s="25"/>
      <c r="E101" s="25"/>
      <c r="F101" s="27"/>
      <c r="G101" s="26"/>
      <c r="H101" s="25"/>
      <c r="I101" s="25"/>
      <c r="J101" s="25"/>
    </row>
    <row r="102" customFormat="false" ht="15" hidden="false" customHeight="false" outlineLevel="0" collapsed="false">
      <c r="A102" s="22"/>
      <c r="B102" s="22"/>
      <c r="C102" s="23"/>
      <c r="D102" s="22"/>
      <c r="E102" s="22"/>
      <c r="F102" s="24"/>
      <c r="G102" s="23"/>
      <c r="H102" s="22"/>
      <c r="I102" s="22"/>
      <c r="J102" s="22"/>
    </row>
    <row r="103" customFormat="false" ht="15" hidden="false" customHeight="false" outlineLevel="0" collapsed="false">
      <c r="A103" s="25"/>
      <c r="B103" s="25"/>
      <c r="C103" s="26"/>
      <c r="D103" s="25"/>
      <c r="E103" s="25"/>
      <c r="F103" s="27"/>
      <c r="G103" s="26"/>
      <c r="H103" s="25"/>
      <c r="I103" s="25"/>
      <c r="J103" s="25"/>
    </row>
    <row r="104" customFormat="false" ht="15" hidden="false" customHeight="false" outlineLevel="0" collapsed="false">
      <c r="A104" s="22"/>
      <c r="B104" s="22"/>
      <c r="C104" s="23"/>
      <c r="D104" s="22"/>
      <c r="E104" s="22"/>
      <c r="F104" s="24"/>
      <c r="G104" s="23"/>
      <c r="H104" s="22"/>
      <c r="I104" s="22"/>
      <c r="J104" s="22"/>
    </row>
    <row r="105" customFormat="false" ht="15" hidden="false" customHeight="false" outlineLevel="0" collapsed="false">
      <c r="A105" s="25"/>
      <c r="B105" s="25"/>
      <c r="C105" s="26"/>
      <c r="D105" s="25"/>
      <c r="E105" s="25"/>
      <c r="F105" s="27"/>
      <c r="G105" s="26"/>
      <c r="H105" s="25"/>
      <c r="I105" s="25"/>
      <c r="J105" s="25"/>
    </row>
    <row r="106" customFormat="false" ht="15" hidden="false" customHeight="false" outlineLevel="0" collapsed="false">
      <c r="A106" s="22"/>
      <c r="B106" s="22"/>
      <c r="C106" s="23"/>
      <c r="D106" s="22"/>
      <c r="E106" s="22"/>
      <c r="F106" s="24"/>
      <c r="G106" s="23"/>
      <c r="H106" s="22"/>
      <c r="I106" s="22"/>
      <c r="J106" s="22"/>
    </row>
    <row r="107" customFormat="false" ht="15" hidden="false" customHeight="false" outlineLevel="0" collapsed="false">
      <c r="A107" s="25"/>
      <c r="B107" s="25"/>
      <c r="C107" s="26"/>
      <c r="D107" s="25"/>
      <c r="E107" s="25"/>
      <c r="F107" s="27"/>
      <c r="G107" s="26"/>
      <c r="H107" s="25"/>
      <c r="I107" s="25"/>
      <c r="J107" s="25"/>
    </row>
    <row r="108" customFormat="false" ht="15" hidden="false" customHeight="false" outlineLevel="0" collapsed="false">
      <c r="A108" s="22"/>
      <c r="B108" s="22"/>
      <c r="C108" s="23"/>
      <c r="D108" s="22"/>
      <c r="E108" s="22"/>
      <c r="F108" s="24"/>
      <c r="G108" s="23"/>
      <c r="H108" s="22"/>
      <c r="I108" s="22"/>
      <c r="J108" s="22"/>
    </row>
    <row r="109" customFormat="false" ht="15" hidden="false" customHeight="false" outlineLevel="0" collapsed="false">
      <c r="A109" s="25"/>
      <c r="B109" s="25"/>
      <c r="C109" s="26"/>
      <c r="D109" s="25"/>
      <c r="E109" s="25"/>
      <c r="F109" s="27"/>
      <c r="G109" s="26"/>
      <c r="H109" s="25"/>
      <c r="I109" s="25"/>
      <c r="J109" s="25"/>
    </row>
    <row r="110" customFormat="false" ht="15" hidden="false" customHeight="false" outlineLevel="0" collapsed="false">
      <c r="A110" s="22"/>
      <c r="B110" s="22"/>
      <c r="C110" s="23"/>
      <c r="D110" s="22"/>
      <c r="E110" s="22"/>
      <c r="F110" s="24"/>
      <c r="G110" s="23"/>
      <c r="H110" s="22"/>
      <c r="I110" s="22"/>
      <c r="J110" s="22"/>
    </row>
    <row r="111" customFormat="false" ht="15" hidden="false" customHeight="false" outlineLevel="0" collapsed="false">
      <c r="A111" s="25"/>
      <c r="B111" s="25"/>
      <c r="C111" s="26"/>
      <c r="D111" s="25"/>
      <c r="E111" s="25"/>
      <c r="F111" s="27"/>
      <c r="G111" s="26"/>
      <c r="H111" s="25"/>
      <c r="I111" s="25"/>
      <c r="J111" s="25"/>
    </row>
    <row r="112" customFormat="false" ht="15" hidden="false" customHeight="false" outlineLevel="0" collapsed="false">
      <c r="A112" s="22"/>
      <c r="B112" s="22"/>
      <c r="C112" s="23"/>
      <c r="D112" s="22"/>
      <c r="E112" s="22"/>
      <c r="F112" s="24"/>
      <c r="G112" s="23"/>
      <c r="H112" s="22"/>
      <c r="I112" s="22"/>
      <c r="J112" s="22"/>
    </row>
    <row r="113" customFormat="false" ht="15" hidden="false" customHeight="false" outlineLevel="0" collapsed="false">
      <c r="A113" s="25"/>
      <c r="B113" s="25"/>
      <c r="C113" s="26"/>
      <c r="D113" s="25"/>
      <c r="E113" s="25"/>
      <c r="F113" s="27"/>
      <c r="G113" s="26"/>
      <c r="H113" s="25"/>
      <c r="I113" s="25"/>
      <c r="J113" s="25"/>
    </row>
    <row r="114" customFormat="false" ht="15" hidden="false" customHeight="false" outlineLevel="0" collapsed="false">
      <c r="A114" s="22"/>
      <c r="B114" s="22"/>
      <c r="C114" s="23"/>
      <c r="D114" s="22"/>
      <c r="E114" s="22"/>
      <c r="F114" s="24"/>
      <c r="G114" s="23"/>
      <c r="H114" s="22"/>
      <c r="I114" s="22"/>
      <c r="J114" s="22"/>
    </row>
    <row r="115" customFormat="false" ht="15" hidden="false" customHeight="false" outlineLevel="0" collapsed="false">
      <c r="A115" s="25"/>
      <c r="B115" s="25"/>
      <c r="C115" s="26"/>
      <c r="D115" s="25"/>
      <c r="E115" s="25"/>
      <c r="F115" s="27"/>
      <c r="G115" s="26"/>
      <c r="H115" s="25"/>
      <c r="I115" s="25"/>
      <c r="J115" s="25"/>
    </row>
    <row r="116" customFormat="false" ht="15" hidden="false" customHeight="false" outlineLevel="0" collapsed="false">
      <c r="A116" s="22"/>
      <c r="B116" s="22"/>
      <c r="C116" s="23"/>
      <c r="D116" s="22"/>
      <c r="E116" s="22"/>
      <c r="F116" s="24"/>
      <c r="G116" s="23"/>
      <c r="H116" s="22"/>
      <c r="I116" s="22"/>
      <c r="J116" s="22"/>
    </row>
    <row r="117" customFormat="false" ht="15" hidden="false" customHeight="false" outlineLevel="0" collapsed="false">
      <c r="A117" s="25"/>
      <c r="B117" s="25"/>
      <c r="C117" s="26"/>
      <c r="D117" s="25"/>
      <c r="E117" s="25"/>
      <c r="F117" s="27"/>
      <c r="G117" s="26"/>
      <c r="H117" s="25"/>
      <c r="I117" s="25"/>
      <c r="J117" s="25"/>
    </row>
    <row r="118" customFormat="false" ht="15" hidden="false" customHeight="false" outlineLevel="0" collapsed="false">
      <c r="A118" s="22"/>
      <c r="B118" s="22"/>
      <c r="C118" s="23"/>
      <c r="D118" s="22"/>
      <c r="E118" s="22"/>
      <c r="F118" s="24"/>
      <c r="G118" s="23"/>
      <c r="H118" s="22"/>
      <c r="I118" s="22"/>
      <c r="J118" s="22"/>
    </row>
    <row r="119" customFormat="false" ht="15" hidden="false" customHeight="false" outlineLevel="0" collapsed="false">
      <c r="A119" s="25"/>
      <c r="B119" s="25"/>
      <c r="C119" s="26"/>
      <c r="D119" s="25"/>
      <c r="E119" s="25"/>
      <c r="F119" s="27"/>
      <c r="G119" s="26"/>
      <c r="H119" s="25"/>
      <c r="I119" s="25"/>
      <c r="J119" s="25"/>
    </row>
    <row r="120" customFormat="false" ht="15" hidden="false" customHeight="false" outlineLevel="0" collapsed="false">
      <c r="A120" s="22"/>
      <c r="B120" s="22"/>
      <c r="C120" s="23"/>
      <c r="D120" s="22"/>
      <c r="E120" s="22"/>
      <c r="F120" s="24"/>
      <c r="G120" s="23"/>
      <c r="H120" s="22"/>
      <c r="I120" s="22"/>
      <c r="J120" s="22"/>
    </row>
    <row r="121" customFormat="false" ht="15" hidden="false" customHeight="false" outlineLevel="0" collapsed="false">
      <c r="A121" s="25"/>
      <c r="B121" s="25"/>
      <c r="C121" s="26"/>
      <c r="D121" s="25"/>
      <c r="E121" s="25"/>
      <c r="F121" s="27"/>
      <c r="G121" s="26"/>
      <c r="H121" s="25"/>
      <c r="I121" s="25"/>
      <c r="J121" s="25"/>
    </row>
    <row r="122" customFormat="false" ht="15" hidden="false" customHeight="false" outlineLevel="0" collapsed="false">
      <c r="A122" s="22"/>
      <c r="B122" s="22"/>
      <c r="C122" s="23"/>
      <c r="D122" s="22"/>
      <c r="E122" s="22"/>
      <c r="F122" s="24"/>
      <c r="G122" s="23"/>
      <c r="H122" s="22"/>
      <c r="I122" s="22"/>
      <c r="J122" s="22"/>
    </row>
    <row r="123" customFormat="false" ht="15" hidden="false" customHeight="false" outlineLevel="0" collapsed="false">
      <c r="A123" s="25"/>
      <c r="B123" s="25"/>
      <c r="C123" s="26"/>
      <c r="D123" s="25"/>
      <c r="E123" s="25"/>
      <c r="F123" s="27"/>
      <c r="G123" s="26"/>
      <c r="H123" s="25"/>
      <c r="I123" s="25"/>
      <c r="J123" s="25"/>
    </row>
    <row r="124" customFormat="false" ht="15" hidden="false" customHeight="false" outlineLevel="0" collapsed="false">
      <c r="A124" s="22"/>
      <c r="B124" s="22"/>
      <c r="C124" s="23"/>
      <c r="D124" s="22"/>
      <c r="E124" s="22"/>
      <c r="F124" s="24"/>
      <c r="G124" s="23"/>
      <c r="H124" s="22"/>
      <c r="I124" s="22"/>
      <c r="J124" s="22"/>
    </row>
    <row r="125" customFormat="false" ht="15" hidden="false" customHeight="false" outlineLevel="0" collapsed="false">
      <c r="A125" s="25"/>
      <c r="B125" s="25"/>
      <c r="C125" s="26"/>
      <c r="D125" s="25"/>
      <c r="E125" s="25"/>
      <c r="F125" s="27"/>
      <c r="G125" s="26"/>
      <c r="H125" s="25"/>
      <c r="I125" s="25"/>
      <c r="J125" s="25"/>
    </row>
    <row r="126" customFormat="false" ht="15" hidden="false" customHeight="false" outlineLevel="0" collapsed="false">
      <c r="A126" s="22"/>
      <c r="B126" s="22"/>
      <c r="C126" s="23"/>
      <c r="D126" s="22"/>
      <c r="E126" s="22"/>
      <c r="F126" s="24"/>
      <c r="G126" s="23"/>
      <c r="H126" s="22"/>
      <c r="I126" s="22"/>
      <c r="J126" s="22"/>
    </row>
    <row r="127" customFormat="false" ht="15" hidden="false" customHeight="false" outlineLevel="0" collapsed="false">
      <c r="A127" s="25"/>
      <c r="B127" s="25"/>
      <c r="C127" s="26"/>
      <c r="D127" s="25"/>
      <c r="E127" s="25"/>
      <c r="F127" s="27"/>
      <c r="G127" s="26"/>
      <c r="H127" s="25"/>
      <c r="I127" s="25"/>
      <c r="J127" s="25"/>
    </row>
    <row r="128" customFormat="false" ht="15" hidden="false" customHeight="false" outlineLevel="0" collapsed="false">
      <c r="A128" s="22"/>
      <c r="B128" s="22"/>
      <c r="C128" s="23"/>
      <c r="D128" s="22"/>
      <c r="E128" s="22"/>
      <c r="F128" s="24"/>
      <c r="G128" s="23"/>
      <c r="H128" s="22"/>
      <c r="I128" s="22"/>
      <c r="J128" s="22"/>
    </row>
    <row r="129" customFormat="false" ht="15" hidden="false" customHeight="false" outlineLevel="0" collapsed="false">
      <c r="A129" s="25"/>
      <c r="B129" s="25"/>
      <c r="C129" s="26"/>
      <c r="D129" s="25"/>
      <c r="E129" s="25"/>
      <c r="F129" s="27"/>
      <c r="G129" s="26"/>
      <c r="H129" s="25"/>
      <c r="I129" s="25"/>
      <c r="J129" s="25"/>
    </row>
    <row r="130" customFormat="false" ht="15" hidden="false" customHeight="false" outlineLevel="0" collapsed="false">
      <c r="A130" s="22"/>
      <c r="B130" s="22"/>
      <c r="C130" s="23"/>
      <c r="D130" s="22"/>
      <c r="E130" s="22"/>
      <c r="F130" s="24"/>
      <c r="G130" s="23"/>
      <c r="H130" s="22"/>
      <c r="I130" s="22"/>
      <c r="J130" s="22"/>
    </row>
    <row r="131" customFormat="false" ht="15" hidden="false" customHeight="false" outlineLevel="0" collapsed="false">
      <c r="A131" s="25"/>
      <c r="B131" s="25"/>
      <c r="C131" s="26"/>
      <c r="D131" s="25"/>
      <c r="E131" s="25"/>
      <c r="F131" s="27"/>
      <c r="G131" s="26"/>
      <c r="H131" s="25"/>
      <c r="I131" s="25"/>
      <c r="J131" s="25"/>
    </row>
    <row r="132" customFormat="false" ht="15" hidden="false" customHeight="false" outlineLevel="0" collapsed="false">
      <c r="A132" s="22"/>
      <c r="B132" s="22"/>
      <c r="C132" s="23"/>
      <c r="D132" s="22"/>
      <c r="E132" s="22"/>
      <c r="F132" s="24"/>
      <c r="G132" s="23"/>
      <c r="H132" s="22"/>
      <c r="I132" s="22"/>
      <c r="J132" s="22"/>
    </row>
    <row r="133" customFormat="false" ht="15" hidden="false" customHeight="false" outlineLevel="0" collapsed="false">
      <c r="A133" s="25"/>
      <c r="B133" s="25"/>
      <c r="C133" s="26"/>
      <c r="D133" s="25"/>
      <c r="E133" s="25"/>
      <c r="F133" s="27"/>
      <c r="G133" s="26"/>
      <c r="H133" s="25"/>
      <c r="I133" s="25"/>
      <c r="J133" s="25"/>
    </row>
    <row r="134" customFormat="false" ht="15" hidden="false" customHeight="false" outlineLevel="0" collapsed="false">
      <c r="A134" s="22"/>
      <c r="B134" s="22"/>
      <c r="C134" s="23"/>
      <c r="D134" s="22"/>
      <c r="E134" s="22"/>
      <c r="F134" s="24"/>
      <c r="G134" s="23"/>
      <c r="H134" s="22"/>
      <c r="I134" s="22"/>
      <c r="J134" s="22"/>
    </row>
    <row r="135" customFormat="false" ht="15" hidden="false" customHeight="false" outlineLevel="0" collapsed="false">
      <c r="A135" s="25"/>
      <c r="B135" s="25"/>
      <c r="C135" s="26"/>
      <c r="D135" s="25"/>
      <c r="E135" s="25"/>
      <c r="F135" s="27"/>
      <c r="G135" s="26"/>
      <c r="H135" s="25"/>
      <c r="I135" s="25"/>
      <c r="J135" s="25"/>
    </row>
    <row r="136" customFormat="false" ht="15" hidden="false" customHeight="false" outlineLevel="0" collapsed="false">
      <c r="A136" s="22"/>
      <c r="B136" s="22"/>
      <c r="C136" s="23"/>
      <c r="D136" s="22"/>
      <c r="E136" s="22"/>
      <c r="F136" s="24"/>
      <c r="G136" s="23"/>
      <c r="H136" s="22"/>
      <c r="I136" s="22"/>
      <c r="J136" s="22"/>
    </row>
    <row r="137" customFormat="false" ht="15" hidden="false" customHeight="false" outlineLevel="0" collapsed="false">
      <c r="A137" s="25"/>
      <c r="B137" s="25"/>
      <c r="C137" s="26"/>
      <c r="D137" s="25"/>
      <c r="E137" s="25"/>
      <c r="F137" s="27"/>
      <c r="G137" s="26"/>
      <c r="H137" s="25"/>
      <c r="I137" s="25"/>
      <c r="J137" s="25"/>
    </row>
    <row r="138" customFormat="false" ht="15" hidden="false" customHeight="false" outlineLevel="0" collapsed="false">
      <c r="A138" s="22"/>
      <c r="B138" s="22"/>
      <c r="C138" s="23"/>
      <c r="D138" s="22"/>
      <c r="E138" s="22"/>
      <c r="F138" s="24"/>
      <c r="G138" s="23"/>
      <c r="H138" s="22"/>
      <c r="I138" s="22"/>
      <c r="J138" s="22"/>
    </row>
    <row r="139" customFormat="false" ht="15" hidden="false" customHeight="false" outlineLevel="0" collapsed="false">
      <c r="A139" s="25"/>
      <c r="B139" s="25"/>
      <c r="C139" s="26"/>
      <c r="D139" s="25"/>
      <c r="E139" s="25"/>
      <c r="F139" s="27"/>
      <c r="G139" s="26"/>
      <c r="H139" s="25"/>
      <c r="I139" s="25"/>
      <c r="J139" s="25"/>
    </row>
    <row r="140" customFormat="false" ht="15" hidden="false" customHeight="false" outlineLevel="0" collapsed="false">
      <c r="A140" s="22"/>
      <c r="B140" s="22"/>
      <c r="C140" s="23"/>
      <c r="D140" s="22"/>
      <c r="E140" s="22"/>
      <c r="F140" s="24"/>
      <c r="G140" s="23"/>
      <c r="H140" s="22"/>
      <c r="I140" s="22"/>
      <c r="J140" s="22"/>
    </row>
    <row r="141" customFormat="false" ht="15" hidden="false" customHeight="false" outlineLevel="0" collapsed="false">
      <c r="A141" s="25"/>
      <c r="B141" s="25"/>
      <c r="C141" s="26"/>
      <c r="D141" s="25"/>
      <c r="E141" s="25"/>
      <c r="F141" s="27"/>
      <c r="G141" s="26"/>
      <c r="H141" s="25"/>
      <c r="I141" s="25"/>
      <c r="J141" s="25"/>
    </row>
    <row r="142" customFormat="false" ht="15" hidden="false" customHeight="false" outlineLevel="0" collapsed="false">
      <c r="A142" s="22"/>
      <c r="B142" s="22"/>
      <c r="C142" s="23"/>
      <c r="D142" s="22"/>
      <c r="E142" s="22"/>
      <c r="F142" s="24"/>
      <c r="G142" s="23"/>
      <c r="H142" s="22"/>
      <c r="I142" s="22"/>
      <c r="J142" s="22"/>
    </row>
    <row r="143" customFormat="false" ht="15" hidden="false" customHeight="false" outlineLevel="0" collapsed="false">
      <c r="A143" s="25"/>
      <c r="B143" s="25"/>
      <c r="C143" s="26"/>
      <c r="D143" s="25"/>
      <c r="E143" s="25"/>
      <c r="F143" s="27"/>
      <c r="G143" s="26"/>
      <c r="H143" s="25"/>
      <c r="I143" s="25"/>
      <c r="J143" s="25"/>
    </row>
    <row r="144" customFormat="false" ht="15" hidden="false" customHeight="false" outlineLevel="0" collapsed="false">
      <c r="A144" s="22"/>
      <c r="B144" s="22"/>
      <c r="C144" s="23"/>
      <c r="D144" s="22"/>
      <c r="E144" s="22"/>
      <c r="F144" s="24"/>
      <c r="G144" s="23"/>
      <c r="H144" s="22"/>
      <c r="I144" s="22"/>
      <c r="J144" s="22"/>
    </row>
    <row r="145" customFormat="false" ht="15" hidden="false" customHeight="false" outlineLevel="0" collapsed="false">
      <c r="A145" s="25"/>
      <c r="B145" s="25"/>
      <c r="C145" s="26"/>
      <c r="D145" s="25"/>
      <c r="E145" s="25"/>
      <c r="F145" s="27"/>
      <c r="G145" s="26"/>
      <c r="H145" s="25"/>
      <c r="I145" s="25"/>
      <c r="J145" s="25"/>
    </row>
    <row r="146" customFormat="false" ht="15" hidden="false" customHeight="false" outlineLevel="0" collapsed="false">
      <c r="A146" s="22"/>
      <c r="B146" s="22"/>
      <c r="C146" s="23"/>
      <c r="D146" s="22"/>
      <c r="E146" s="22"/>
      <c r="F146" s="24"/>
      <c r="G146" s="23"/>
      <c r="H146" s="22"/>
      <c r="I146" s="22"/>
      <c r="J146" s="22"/>
    </row>
    <row r="147" customFormat="false" ht="15" hidden="false" customHeight="false" outlineLevel="0" collapsed="false">
      <c r="A147" s="25"/>
      <c r="B147" s="25"/>
      <c r="C147" s="26"/>
      <c r="D147" s="25"/>
      <c r="E147" s="25"/>
      <c r="F147" s="27"/>
      <c r="G147" s="26"/>
      <c r="H147" s="25"/>
      <c r="I147" s="25"/>
      <c r="J147" s="25"/>
    </row>
    <row r="148" customFormat="false" ht="15" hidden="false" customHeight="false" outlineLevel="0" collapsed="false">
      <c r="A148" s="22"/>
      <c r="B148" s="22"/>
      <c r="C148" s="23"/>
      <c r="D148" s="22"/>
      <c r="E148" s="22"/>
      <c r="F148" s="24"/>
      <c r="G148" s="23"/>
      <c r="H148" s="22"/>
      <c r="I148" s="22"/>
      <c r="J148" s="22"/>
    </row>
    <row r="149" customFormat="false" ht="15" hidden="false" customHeight="false" outlineLevel="0" collapsed="false">
      <c r="A149" s="25"/>
      <c r="B149" s="25"/>
      <c r="C149" s="26"/>
      <c r="D149" s="25"/>
      <c r="E149" s="25"/>
      <c r="F149" s="27"/>
      <c r="G149" s="26"/>
      <c r="H149" s="25"/>
      <c r="I149" s="25"/>
      <c r="J149" s="25"/>
    </row>
    <row r="150" customFormat="false" ht="15" hidden="false" customHeight="false" outlineLevel="0" collapsed="false">
      <c r="A150" s="22"/>
      <c r="B150" s="22"/>
      <c r="C150" s="23"/>
      <c r="D150" s="22"/>
      <c r="E150" s="22"/>
      <c r="F150" s="24"/>
      <c r="G150" s="23"/>
      <c r="H150" s="22"/>
      <c r="I150" s="22"/>
      <c r="J150" s="22"/>
    </row>
    <row r="151" customFormat="false" ht="15" hidden="false" customHeight="false" outlineLevel="0" collapsed="false">
      <c r="A151" s="25"/>
      <c r="B151" s="25"/>
      <c r="C151" s="26"/>
      <c r="D151" s="25"/>
      <c r="E151" s="25"/>
      <c r="F151" s="27"/>
      <c r="G151" s="26"/>
      <c r="H151" s="25"/>
      <c r="I151" s="25"/>
      <c r="J151" s="25"/>
    </row>
    <row r="152" customFormat="false" ht="15" hidden="false" customHeight="false" outlineLevel="0" collapsed="false">
      <c r="A152" s="22"/>
      <c r="B152" s="22"/>
      <c r="C152" s="23"/>
      <c r="D152" s="22"/>
      <c r="E152" s="22"/>
      <c r="F152" s="24"/>
      <c r="G152" s="23"/>
      <c r="H152" s="22"/>
      <c r="I152" s="22"/>
      <c r="J152" s="22"/>
    </row>
    <row r="153" customFormat="false" ht="15" hidden="false" customHeight="false" outlineLevel="0" collapsed="false">
      <c r="A153" s="25"/>
      <c r="B153" s="25"/>
      <c r="C153" s="26"/>
      <c r="D153" s="25"/>
      <c r="E153" s="25"/>
      <c r="F153" s="27"/>
      <c r="G153" s="26"/>
      <c r="H153" s="25"/>
      <c r="I153" s="25"/>
      <c r="J153" s="25"/>
    </row>
    <row r="154" customFormat="false" ht="15" hidden="false" customHeight="false" outlineLevel="0" collapsed="false">
      <c r="A154" s="22"/>
      <c r="B154" s="22"/>
      <c r="C154" s="23"/>
      <c r="D154" s="22"/>
      <c r="E154" s="22"/>
      <c r="F154" s="24"/>
      <c r="G154" s="23"/>
      <c r="H154" s="22"/>
      <c r="I154" s="22"/>
      <c r="J154" s="22"/>
    </row>
    <row r="155" customFormat="false" ht="15" hidden="false" customHeight="false" outlineLevel="0" collapsed="false">
      <c r="A155" s="25"/>
      <c r="B155" s="25"/>
      <c r="C155" s="26"/>
      <c r="D155" s="25"/>
      <c r="E155" s="25"/>
      <c r="F155" s="27"/>
      <c r="G155" s="26"/>
      <c r="H155" s="25"/>
      <c r="I155" s="25"/>
      <c r="J155" s="25"/>
    </row>
    <row r="156" customFormat="false" ht="15" hidden="false" customHeight="false" outlineLevel="0" collapsed="false">
      <c r="A156" s="22"/>
      <c r="B156" s="22"/>
      <c r="C156" s="23"/>
      <c r="D156" s="22"/>
      <c r="E156" s="22"/>
      <c r="F156" s="24"/>
      <c r="G156" s="23"/>
      <c r="H156" s="22"/>
      <c r="I156" s="22"/>
      <c r="J156" s="22"/>
    </row>
    <row r="157" customFormat="false" ht="15" hidden="false" customHeight="false" outlineLevel="0" collapsed="false">
      <c r="A157" s="25"/>
      <c r="B157" s="25"/>
      <c r="C157" s="26"/>
      <c r="D157" s="25"/>
      <c r="E157" s="25"/>
      <c r="F157" s="27"/>
      <c r="G157" s="26"/>
      <c r="H157" s="25"/>
      <c r="I157" s="25"/>
      <c r="J157" s="25"/>
    </row>
    <row r="158" customFormat="false" ht="15" hidden="false" customHeight="false" outlineLevel="0" collapsed="false">
      <c r="A158" s="22"/>
      <c r="B158" s="22"/>
      <c r="C158" s="23"/>
      <c r="D158" s="22"/>
      <c r="E158" s="22"/>
      <c r="F158" s="24"/>
      <c r="G158" s="23"/>
      <c r="H158" s="22"/>
      <c r="I158" s="22"/>
      <c r="J158" s="22"/>
    </row>
    <row r="159" customFormat="false" ht="15" hidden="false" customHeight="false" outlineLevel="0" collapsed="false">
      <c r="A159" s="25"/>
      <c r="B159" s="25"/>
      <c r="C159" s="26"/>
      <c r="D159" s="25"/>
      <c r="E159" s="25"/>
      <c r="F159" s="27"/>
      <c r="G159" s="26"/>
      <c r="H159" s="25"/>
      <c r="I159" s="25"/>
      <c r="J159" s="25"/>
    </row>
    <row r="160" customFormat="false" ht="15" hidden="false" customHeight="false" outlineLevel="0" collapsed="false">
      <c r="A160" s="22"/>
      <c r="B160" s="22"/>
      <c r="C160" s="23"/>
      <c r="D160" s="22"/>
      <c r="E160" s="22"/>
      <c r="F160" s="24"/>
      <c r="G160" s="23"/>
      <c r="H160" s="22"/>
      <c r="I160" s="22"/>
      <c r="J160" s="22"/>
    </row>
    <row r="161" customFormat="false" ht="15" hidden="false" customHeight="false" outlineLevel="0" collapsed="false">
      <c r="A161" s="25"/>
      <c r="B161" s="25"/>
      <c r="C161" s="26"/>
      <c r="D161" s="25"/>
      <c r="E161" s="25"/>
      <c r="F161" s="27"/>
      <c r="G161" s="26"/>
      <c r="H161" s="25"/>
      <c r="I161" s="25"/>
      <c r="J161" s="25"/>
    </row>
    <row r="162" customFormat="false" ht="15" hidden="false" customHeight="false" outlineLevel="0" collapsed="false">
      <c r="A162" s="22"/>
      <c r="B162" s="22"/>
      <c r="C162" s="23"/>
      <c r="D162" s="22"/>
      <c r="E162" s="22"/>
      <c r="F162" s="24"/>
      <c r="G162" s="23"/>
      <c r="H162" s="22"/>
      <c r="I162" s="22"/>
      <c r="J162" s="22"/>
    </row>
    <row r="163" customFormat="false" ht="15" hidden="false" customHeight="false" outlineLevel="0" collapsed="false">
      <c r="A163" s="25"/>
      <c r="B163" s="25"/>
      <c r="C163" s="26"/>
      <c r="D163" s="25"/>
      <c r="E163" s="25"/>
      <c r="F163" s="27"/>
      <c r="G163" s="26"/>
      <c r="H163" s="25"/>
      <c r="I163" s="25"/>
      <c r="J163" s="25"/>
    </row>
    <row r="164" customFormat="false" ht="15" hidden="false" customHeight="false" outlineLevel="0" collapsed="false">
      <c r="A164" s="22"/>
      <c r="B164" s="22"/>
      <c r="C164" s="23"/>
      <c r="D164" s="22"/>
      <c r="E164" s="22"/>
      <c r="F164" s="24"/>
      <c r="G164" s="23"/>
      <c r="H164" s="22"/>
      <c r="I164" s="22"/>
      <c r="J164" s="22"/>
    </row>
    <row r="165" customFormat="false" ht="15" hidden="false" customHeight="false" outlineLevel="0" collapsed="false">
      <c r="A165" s="25"/>
      <c r="B165" s="25"/>
      <c r="C165" s="26"/>
      <c r="D165" s="25"/>
      <c r="E165" s="25"/>
      <c r="F165" s="27"/>
      <c r="G165" s="26"/>
      <c r="H165" s="25"/>
      <c r="I165" s="25"/>
      <c r="J165" s="25"/>
    </row>
    <row r="166" customFormat="false" ht="15" hidden="false" customHeight="false" outlineLevel="0" collapsed="false">
      <c r="A166" s="22"/>
      <c r="B166" s="22"/>
      <c r="C166" s="23"/>
      <c r="D166" s="22"/>
      <c r="E166" s="22"/>
      <c r="F166" s="24"/>
      <c r="G166" s="23"/>
      <c r="H166" s="22"/>
      <c r="I166" s="22"/>
      <c r="J166" s="22"/>
    </row>
    <row r="167" customFormat="false" ht="15" hidden="false" customHeight="false" outlineLevel="0" collapsed="false">
      <c r="A167" s="25"/>
      <c r="B167" s="25"/>
      <c r="C167" s="26"/>
      <c r="D167" s="25"/>
      <c r="E167" s="25"/>
      <c r="F167" s="27"/>
      <c r="G167" s="26"/>
      <c r="H167" s="25"/>
      <c r="I167" s="25"/>
      <c r="J167" s="25"/>
    </row>
    <row r="168" customFormat="false" ht="15" hidden="false" customHeight="false" outlineLevel="0" collapsed="false">
      <c r="A168" s="22"/>
      <c r="B168" s="22"/>
      <c r="C168" s="23"/>
      <c r="D168" s="22"/>
      <c r="E168" s="22"/>
      <c r="F168" s="24"/>
      <c r="G168" s="23"/>
      <c r="H168" s="22"/>
      <c r="I168" s="22"/>
      <c r="J168" s="22"/>
    </row>
    <row r="169" customFormat="false" ht="15" hidden="false" customHeight="false" outlineLevel="0" collapsed="false">
      <c r="A169" s="25"/>
      <c r="B169" s="25"/>
      <c r="C169" s="26"/>
      <c r="D169" s="25"/>
      <c r="E169" s="25"/>
      <c r="F169" s="27"/>
      <c r="G169" s="26"/>
      <c r="H169" s="25"/>
      <c r="I169" s="25"/>
      <c r="J169" s="25"/>
    </row>
    <row r="170" customFormat="false" ht="15" hidden="false" customHeight="false" outlineLevel="0" collapsed="false">
      <c r="A170" s="22"/>
      <c r="B170" s="22"/>
      <c r="C170" s="23"/>
      <c r="D170" s="22"/>
      <c r="E170" s="22"/>
      <c r="F170" s="24"/>
      <c r="G170" s="23"/>
      <c r="H170" s="22"/>
      <c r="I170" s="22"/>
      <c r="J170" s="22"/>
    </row>
    <row r="171" customFormat="false" ht="15" hidden="false" customHeight="false" outlineLevel="0" collapsed="false">
      <c r="A171" s="25"/>
      <c r="B171" s="25"/>
      <c r="C171" s="26"/>
      <c r="D171" s="25"/>
      <c r="E171" s="25"/>
      <c r="F171" s="27"/>
      <c r="G171" s="26"/>
      <c r="H171" s="25"/>
      <c r="I171" s="25"/>
      <c r="J171" s="25"/>
    </row>
    <row r="172" customFormat="false" ht="15" hidden="false" customHeight="false" outlineLevel="0" collapsed="false">
      <c r="A172" s="22"/>
      <c r="B172" s="22"/>
      <c r="C172" s="23"/>
      <c r="D172" s="22"/>
      <c r="E172" s="22"/>
      <c r="F172" s="24"/>
      <c r="G172" s="23"/>
      <c r="H172" s="22"/>
      <c r="I172" s="22"/>
      <c r="J172" s="22"/>
    </row>
    <row r="173" customFormat="false" ht="15" hidden="false" customHeight="false" outlineLevel="0" collapsed="false">
      <c r="A173" s="25"/>
      <c r="B173" s="25"/>
      <c r="C173" s="26"/>
      <c r="D173" s="25"/>
      <c r="E173" s="25"/>
      <c r="F173" s="27"/>
      <c r="G173" s="26"/>
      <c r="H173" s="25"/>
      <c r="I173" s="25"/>
      <c r="J173" s="25"/>
    </row>
    <row r="174" customFormat="false" ht="15" hidden="false" customHeight="false" outlineLevel="0" collapsed="false">
      <c r="A174" s="22"/>
      <c r="B174" s="22"/>
      <c r="C174" s="23"/>
      <c r="D174" s="22"/>
      <c r="E174" s="22"/>
      <c r="F174" s="24"/>
      <c r="G174" s="23"/>
      <c r="H174" s="22"/>
      <c r="I174" s="22"/>
      <c r="J174" s="22"/>
    </row>
    <row r="175" customFormat="false" ht="15" hidden="false" customHeight="false" outlineLevel="0" collapsed="false">
      <c r="A175" s="25"/>
      <c r="B175" s="25"/>
      <c r="C175" s="26"/>
      <c r="D175" s="25"/>
      <c r="E175" s="25"/>
      <c r="F175" s="27"/>
      <c r="G175" s="26"/>
      <c r="H175" s="25"/>
      <c r="I175" s="25"/>
      <c r="J175" s="25"/>
    </row>
    <row r="176" customFormat="false" ht="15" hidden="false" customHeight="false" outlineLevel="0" collapsed="false">
      <c r="A176" s="22"/>
      <c r="B176" s="22"/>
      <c r="C176" s="23"/>
      <c r="D176" s="22"/>
      <c r="E176" s="22"/>
      <c r="F176" s="24"/>
      <c r="G176" s="23"/>
      <c r="H176" s="22"/>
      <c r="I176" s="22"/>
      <c r="J176" s="22"/>
    </row>
    <row r="177" customFormat="false" ht="15" hidden="false" customHeight="false" outlineLevel="0" collapsed="false">
      <c r="A177" s="25"/>
      <c r="B177" s="25"/>
      <c r="C177" s="26"/>
      <c r="D177" s="25"/>
      <c r="E177" s="25"/>
      <c r="F177" s="27"/>
      <c r="G177" s="26"/>
      <c r="H177" s="25"/>
      <c r="I177" s="25"/>
      <c r="J177" s="25"/>
    </row>
    <row r="178" customFormat="false" ht="15" hidden="false" customHeight="false" outlineLevel="0" collapsed="false">
      <c r="A178" s="22"/>
      <c r="B178" s="22"/>
      <c r="C178" s="23"/>
      <c r="D178" s="22"/>
      <c r="E178" s="22"/>
      <c r="F178" s="24"/>
      <c r="G178" s="23"/>
      <c r="H178" s="22"/>
      <c r="I178" s="22"/>
      <c r="J178" s="22"/>
    </row>
    <row r="179" customFormat="false" ht="15" hidden="false" customHeight="false" outlineLevel="0" collapsed="false">
      <c r="A179" s="25"/>
      <c r="B179" s="25"/>
      <c r="C179" s="26"/>
      <c r="D179" s="25"/>
      <c r="E179" s="25"/>
      <c r="F179" s="27"/>
      <c r="G179" s="26"/>
      <c r="H179" s="25"/>
      <c r="I179" s="25"/>
      <c r="J179" s="25"/>
    </row>
    <row r="180" customFormat="false" ht="15" hidden="false" customHeight="false" outlineLevel="0" collapsed="false">
      <c r="A180" s="22"/>
      <c r="B180" s="22"/>
      <c r="C180" s="23"/>
      <c r="D180" s="22"/>
      <c r="E180" s="22"/>
      <c r="F180" s="24"/>
      <c r="G180" s="23"/>
      <c r="H180" s="22"/>
      <c r="I180" s="22"/>
      <c r="J180" s="22"/>
    </row>
    <row r="181" customFormat="false" ht="15" hidden="false" customHeight="false" outlineLevel="0" collapsed="false">
      <c r="A181" s="25"/>
      <c r="B181" s="25"/>
      <c r="C181" s="26"/>
      <c r="D181" s="25"/>
      <c r="E181" s="25"/>
      <c r="F181" s="27"/>
      <c r="G181" s="26"/>
      <c r="H181" s="25"/>
      <c r="I181" s="25"/>
      <c r="J181" s="25"/>
    </row>
    <row r="182" customFormat="false" ht="15" hidden="false" customHeight="false" outlineLevel="0" collapsed="false">
      <c r="A182" s="22"/>
      <c r="B182" s="22"/>
      <c r="C182" s="23"/>
      <c r="D182" s="22"/>
      <c r="E182" s="22"/>
      <c r="F182" s="24"/>
      <c r="G182" s="23"/>
      <c r="H182" s="22"/>
      <c r="I182" s="22"/>
      <c r="J182" s="22"/>
    </row>
    <row r="183" customFormat="false" ht="15" hidden="false" customHeight="false" outlineLevel="0" collapsed="false">
      <c r="A183" s="25"/>
      <c r="B183" s="25"/>
      <c r="C183" s="26"/>
      <c r="D183" s="25"/>
      <c r="E183" s="25"/>
      <c r="F183" s="27"/>
      <c r="G183" s="26"/>
      <c r="H183" s="25"/>
      <c r="I183" s="25"/>
      <c r="J183" s="25"/>
    </row>
    <row r="184" customFormat="false" ht="15" hidden="false" customHeight="false" outlineLevel="0" collapsed="false">
      <c r="A184" s="22"/>
      <c r="B184" s="22"/>
      <c r="C184" s="23"/>
      <c r="D184" s="22"/>
      <c r="E184" s="22"/>
      <c r="F184" s="24"/>
      <c r="G184" s="23"/>
      <c r="H184" s="22"/>
      <c r="I184" s="22"/>
      <c r="J184" s="22"/>
    </row>
    <row r="185" customFormat="false" ht="15" hidden="false" customHeight="false" outlineLevel="0" collapsed="false">
      <c r="A185" s="25"/>
      <c r="B185" s="25"/>
      <c r="C185" s="26"/>
      <c r="D185" s="25"/>
      <c r="E185" s="25"/>
      <c r="F185" s="27"/>
      <c r="G185" s="26"/>
      <c r="H185" s="25"/>
      <c r="I185" s="25"/>
      <c r="J185" s="25"/>
    </row>
    <row r="186" customFormat="false" ht="15" hidden="false" customHeight="false" outlineLevel="0" collapsed="false">
      <c r="A186" s="22"/>
      <c r="B186" s="22"/>
      <c r="C186" s="23"/>
      <c r="D186" s="22"/>
      <c r="E186" s="22"/>
      <c r="F186" s="24"/>
      <c r="G186" s="23"/>
      <c r="H186" s="22"/>
      <c r="I186" s="22"/>
      <c r="J186" s="22"/>
    </row>
    <row r="187" customFormat="false" ht="15" hidden="false" customHeight="false" outlineLevel="0" collapsed="false">
      <c r="A187" s="25"/>
      <c r="B187" s="25"/>
      <c r="C187" s="26"/>
      <c r="D187" s="25"/>
      <c r="E187" s="25"/>
      <c r="F187" s="27"/>
      <c r="G187" s="26"/>
      <c r="H187" s="25"/>
      <c r="I187" s="25"/>
      <c r="J187" s="25"/>
    </row>
    <row r="188" customFormat="false" ht="15" hidden="false" customHeight="false" outlineLevel="0" collapsed="false">
      <c r="A188" s="22"/>
      <c r="B188" s="22"/>
      <c r="C188" s="23"/>
      <c r="D188" s="22"/>
      <c r="E188" s="22"/>
      <c r="F188" s="24"/>
      <c r="G188" s="23"/>
      <c r="H188" s="22"/>
      <c r="I188" s="22"/>
      <c r="J188" s="22"/>
    </row>
    <row r="189" customFormat="false" ht="15" hidden="false" customHeight="false" outlineLevel="0" collapsed="false">
      <c r="A189" s="25"/>
      <c r="B189" s="25"/>
      <c r="C189" s="26"/>
      <c r="D189" s="25"/>
      <c r="E189" s="25"/>
      <c r="F189" s="27"/>
      <c r="G189" s="26"/>
      <c r="H189" s="25"/>
      <c r="I189" s="25"/>
      <c r="J189" s="25"/>
    </row>
    <row r="190" customFormat="false" ht="15" hidden="false" customHeight="false" outlineLevel="0" collapsed="false">
      <c r="A190" s="22"/>
      <c r="B190" s="22"/>
      <c r="C190" s="23"/>
      <c r="D190" s="22"/>
      <c r="E190" s="22"/>
      <c r="F190" s="24"/>
      <c r="G190" s="23"/>
      <c r="H190" s="22"/>
      <c r="I190" s="22"/>
      <c r="J190" s="22"/>
    </row>
    <row r="191" customFormat="false" ht="15" hidden="false" customHeight="false" outlineLevel="0" collapsed="false">
      <c r="A191" s="25"/>
      <c r="B191" s="25"/>
      <c r="C191" s="26"/>
      <c r="D191" s="25"/>
      <c r="E191" s="25"/>
      <c r="F191" s="27"/>
      <c r="G191" s="26"/>
      <c r="H191" s="25"/>
      <c r="I191" s="25"/>
      <c r="J191" s="25"/>
    </row>
    <row r="192" customFormat="false" ht="15" hidden="false" customHeight="false" outlineLevel="0" collapsed="false">
      <c r="A192" s="22"/>
      <c r="B192" s="22"/>
      <c r="C192" s="23"/>
      <c r="D192" s="22"/>
      <c r="E192" s="22"/>
      <c r="F192" s="24"/>
      <c r="G192" s="23"/>
      <c r="H192" s="22"/>
      <c r="I192" s="22"/>
      <c r="J192" s="22"/>
    </row>
    <row r="193" customFormat="false" ht="15" hidden="false" customHeight="false" outlineLevel="0" collapsed="false">
      <c r="A193" s="25"/>
      <c r="B193" s="25"/>
      <c r="C193" s="26"/>
      <c r="D193" s="25"/>
      <c r="E193" s="25"/>
      <c r="F193" s="27"/>
      <c r="G193" s="26"/>
      <c r="H193" s="25"/>
      <c r="I193" s="25"/>
      <c r="J193" s="25"/>
    </row>
    <row r="194" customFormat="false" ht="15" hidden="false" customHeight="false" outlineLevel="0" collapsed="false">
      <c r="A194" s="22"/>
      <c r="B194" s="22"/>
      <c r="C194" s="23"/>
      <c r="D194" s="22"/>
      <c r="E194" s="22"/>
      <c r="F194" s="24"/>
      <c r="G194" s="23"/>
      <c r="H194" s="22"/>
      <c r="I194" s="22"/>
      <c r="J194" s="22"/>
    </row>
    <row r="195" customFormat="false" ht="15" hidden="false" customHeight="false" outlineLevel="0" collapsed="false">
      <c r="A195" s="25"/>
      <c r="B195" s="25"/>
      <c r="C195" s="26"/>
      <c r="D195" s="25"/>
      <c r="E195" s="25"/>
      <c r="F195" s="27"/>
      <c r="G195" s="26"/>
      <c r="H195" s="25"/>
      <c r="I195" s="25"/>
      <c r="J195" s="25"/>
    </row>
    <row r="196" customFormat="false" ht="15" hidden="false" customHeight="false" outlineLevel="0" collapsed="false">
      <c r="A196" s="22"/>
      <c r="B196" s="22"/>
      <c r="C196" s="23"/>
      <c r="D196" s="22"/>
      <c r="E196" s="22"/>
      <c r="F196" s="24"/>
      <c r="G196" s="23"/>
      <c r="H196" s="22"/>
      <c r="I196" s="22"/>
      <c r="J196" s="22"/>
    </row>
    <row r="197" customFormat="false" ht="15" hidden="false" customHeight="false" outlineLevel="0" collapsed="false">
      <c r="A197" s="25"/>
      <c r="B197" s="25"/>
      <c r="C197" s="26"/>
      <c r="D197" s="25"/>
      <c r="E197" s="25"/>
      <c r="F197" s="27"/>
      <c r="G197" s="26"/>
      <c r="H197" s="25"/>
      <c r="I197" s="25"/>
      <c r="J197" s="25"/>
    </row>
    <row r="198" customFormat="false" ht="15" hidden="false" customHeight="false" outlineLevel="0" collapsed="false">
      <c r="A198" s="22"/>
      <c r="B198" s="22"/>
      <c r="C198" s="23"/>
      <c r="D198" s="22"/>
      <c r="E198" s="22"/>
      <c r="F198" s="24"/>
      <c r="G198" s="23"/>
      <c r="H198" s="22"/>
      <c r="I198" s="22"/>
      <c r="J198" s="22"/>
    </row>
    <row r="199" customFormat="false" ht="15" hidden="false" customHeight="false" outlineLevel="0" collapsed="false">
      <c r="A199" s="25"/>
      <c r="B199" s="25"/>
      <c r="C199" s="26"/>
      <c r="D199" s="25"/>
      <c r="E199" s="25"/>
      <c r="F199" s="27"/>
      <c r="G199" s="26"/>
      <c r="H199" s="25"/>
      <c r="I199" s="25"/>
      <c r="J199" s="25"/>
    </row>
    <row r="200" customFormat="false" ht="15" hidden="false" customHeight="false" outlineLevel="0" collapsed="false">
      <c r="A200" s="22"/>
      <c r="B200" s="22"/>
      <c r="C200" s="23"/>
      <c r="D200" s="22"/>
      <c r="E200" s="22"/>
      <c r="F200" s="24"/>
      <c r="G200" s="23"/>
      <c r="H200" s="22"/>
      <c r="I200" s="22"/>
      <c r="J200" s="22"/>
    </row>
    <row r="201" customFormat="false" ht="15" hidden="false" customHeight="false" outlineLevel="0" collapsed="false">
      <c r="A201" s="25"/>
      <c r="B201" s="25"/>
      <c r="C201" s="26"/>
      <c r="D201" s="25"/>
      <c r="E201" s="25"/>
      <c r="F201" s="27"/>
      <c r="G201" s="26"/>
      <c r="H201" s="25"/>
      <c r="I201" s="25"/>
      <c r="J201" s="25"/>
    </row>
    <row r="202" customFormat="false" ht="15" hidden="false" customHeight="false" outlineLevel="0" collapsed="false">
      <c r="A202" s="22"/>
      <c r="B202" s="22"/>
      <c r="C202" s="23"/>
      <c r="D202" s="22"/>
      <c r="E202" s="22"/>
      <c r="F202" s="24"/>
      <c r="G202" s="23"/>
      <c r="H202" s="22"/>
      <c r="I202" s="22"/>
      <c r="J202" s="22"/>
    </row>
    <row r="203" customFormat="false" ht="15" hidden="false" customHeight="false" outlineLevel="0" collapsed="false">
      <c r="A203" s="25"/>
      <c r="B203" s="25"/>
      <c r="C203" s="26"/>
      <c r="D203" s="25"/>
      <c r="E203" s="25"/>
      <c r="F203" s="27"/>
      <c r="G203" s="26"/>
      <c r="H203" s="25"/>
      <c r="I203" s="25"/>
      <c r="J203" s="25"/>
    </row>
    <row r="204" customFormat="false" ht="15" hidden="false" customHeight="false" outlineLevel="0" collapsed="false">
      <c r="A204" s="22"/>
      <c r="B204" s="22"/>
      <c r="C204" s="23"/>
      <c r="D204" s="22"/>
      <c r="E204" s="22"/>
      <c r="F204" s="24"/>
      <c r="G204" s="23"/>
      <c r="H204" s="22"/>
      <c r="I204" s="22"/>
      <c r="J204" s="22"/>
    </row>
    <row r="205" customFormat="false" ht="15" hidden="false" customHeight="false" outlineLevel="0" collapsed="false">
      <c r="A205" s="25"/>
      <c r="B205" s="25"/>
      <c r="C205" s="26"/>
      <c r="D205" s="25"/>
      <c r="E205" s="25"/>
      <c r="F205" s="27"/>
      <c r="G205" s="26"/>
      <c r="H205" s="25"/>
      <c r="I205" s="25"/>
      <c r="J205" s="25"/>
    </row>
    <row r="207" customFormat="false" ht="24" hidden="false" customHeight="true" outlineLevel="0" collapsed="false">
      <c r="A207" s="28" t="s">
        <v>23</v>
      </c>
      <c r="B207" s="28"/>
      <c r="C207" s="28"/>
      <c r="D207" s="28"/>
      <c r="E207" s="28"/>
      <c r="F207" s="28"/>
      <c r="G207" s="28"/>
      <c r="H207" s="28"/>
      <c r="I207" s="28"/>
      <c r="J207" s="28"/>
    </row>
    <row r="208" customFormat="false" ht="15" hidden="false" customHeight="false" outlineLevel="0" collapsed="false">
      <c r="A208" s="16" t="s">
        <v>24</v>
      </c>
      <c r="B208" s="16"/>
      <c r="C208" s="16"/>
      <c r="D208" s="16"/>
      <c r="E208" s="16"/>
      <c r="F208" s="16"/>
      <c r="G208" s="29" t="n">
        <f aca="false">COUNTA(A6:A205)</f>
        <v>0</v>
      </c>
      <c r="H208" s="29"/>
      <c r="I208" s="29"/>
      <c r="J208" s="29"/>
    </row>
    <row r="209" customFormat="false" ht="15" hidden="false" customHeight="false" outlineLevel="0" collapsed="false">
      <c r="A209" s="16" t="s">
        <v>25</v>
      </c>
      <c r="B209" s="16"/>
      <c r="C209" s="16"/>
      <c r="D209" s="16"/>
      <c r="E209" s="16"/>
      <c r="F209" s="16"/>
      <c r="G209" s="29" t="n">
        <f aca="false">SUMIF(F6:F205,"&gt;0",F6:F205)</f>
        <v>0</v>
      </c>
      <c r="H209" s="29"/>
      <c r="I209" s="29"/>
      <c r="J209" s="29"/>
    </row>
    <row r="210" customFormat="false" ht="15" hidden="false" customHeight="false" outlineLevel="0" collapsed="false">
      <c r="A210" s="16" t="s">
        <v>26</v>
      </c>
      <c r="B210" s="16"/>
      <c r="C210" s="16"/>
      <c r="D210" s="16"/>
      <c r="E210" s="16"/>
      <c r="F210" s="16"/>
      <c r="G210" s="30" t="n">
        <f aca="false">IFERROR(AVERAGEIF(F6:F205,"&gt;0",F6:F205),0)</f>
        <v>0</v>
      </c>
      <c r="H210" s="30"/>
      <c r="I210" s="30"/>
      <c r="J210" s="30"/>
    </row>
    <row r="211" customFormat="false" ht="15" hidden="false" customHeight="false" outlineLevel="0" collapsed="false">
      <c r="A211" s="16" t="s">
        <v>27</v>
      </c>
      <c r="B211" s="16"/>
      <c r="C211" s="16"/>
      <c r="D211" s="16"/>
      <c r="E211" s="16"/>
      <c r="F211" s="16"/>
      <c r="G211" s="29" t="n">
        <f aca="false">IFERROR(minifs(F6:F205,F6:F205,"&gt;0"),0)</f>
        <v>0</v>
      </c>
      <c r="H211" s="29"/>
      <c r="I211" s="29"/>
      <c r="J211" s="29"/>
    </row>
    <row r="212" customFormat="false" ht="15" hidden="false" customHeight="false" outlineLevel="0" collapsed="false">
      <c r="A212" s="16" t="s">
        <v>28</v>
      </c>
      <c r="B212" s="16"/>
      <c r="C212" s="16"/>
      <c r="D212" s="16"/>
      <c r="E212" s="16"/>
      <c r="F212" s="16"/>
      <c r="G212" s="29" t="n">
        <f aca="false">IFERROR(maxifs(F6:F205,F6:F205,"&gt;0"),0)</f>
        <v>0</v>
      </c>
      <c r="H212" s="29"/>
      <c r="I212" s="29"/>
      <c r="J212" s="29"/>
    </row>
    <row r="213" customFormat="false" ht="15" hidden="false" customHeight="false" outlineLevel="0" collapsed="false">
      <c r="A213" s="16" t="s">
        <v>29</v>
      </c>
      <c r="B213" s="16"/>
      <c r="C213" s="16"/>
      <c r="D213" s="16"/>
      <c r="E213" s="16"/>
      <c r="F213" s="16"/>
      <c r="G213" s="29" t="n">
        <f aca="false">COUNTIF(I6:I205,"Pending Shipment")</f>
        <v>0</v>
      </c>
      <c r="H213" s="29"/>
      <c r="I213" s="29"/>
      <c r="J213" s="29"/>
    </row>
    <row r="214" customFormat="false" ht="15" hidden="false" customHeight="false" outlineLevel="0" collapsed="false">
      <c r="A214" s="16" t="s">
        <v>30</v>
      </c>
      <c r="B214" s="16"/>
      <c r="C214" s="16"/>
      <c r="D214" s="16"/>
      <c r="E214" s="16"/>
      <c r="F214" s="16"/>
      <c r="G214" s="29" t="n">
        <f aca="false">COUNTIF(I6:I205,"Shipped")</f>
        <v>0</v>
      </c>
      <c r="H214" s="29"/>
      <c r="I214" s="29"/>
      <c r="J214" s="29"/>
    </row>
    <row r="215" customFormat="false" ht="15" hidden="false" customHeight="false" outlineLevel="0" collapsed="false">
      <c r="A215" s="16" t="s">
        <v>31</v>
      </c>
      <c r="B215" s="16"/>
      <c r="C215" s="16"/>
      <c r="D215" s="16"/>
      <c r="E215" s="16"/>
      <c r="F215" s="16"/>
      <c r="G215" s="31" t="n">
        <f aca="false">IFERROR(MAX(C6:C205),"N/A")</f>
        <v>0</v>
      </c>
      <c r="H215" s="31"/>
      <c r="I215" s="31"/>
      <c r="J215" s="31"/>
    </row>
  </sheetData>
  <mergeCells count="20">
    <mergeCell ref="A1:J1"/>
    <mergeCell ref="A2:D2"/>
    <mergeCell ref="E2:H2"/>
    <mergeCell ref="A207:J207"/>
    <mergeCell ref="A208:F208"/>
    <mergeCell ref="G208:J208"/>
    <mergeCell ref="A209:F209"/>
    <mergeCell ref="G209:J209"/>
    <mergeCell ref="A210:F210"/>
    <mergeCell ref="G210:J210"/>
    <mergeCell ref="A211:F211"/>
    <mergeCell ref="G211:J211"/>
    <mergeCell ref="A212:F212"/>
    <mergeCell ref="G212:J212"/>
    <mergeCell ref="A213:F213"/>
    <mergeCell ref="G213:J213"/>
    <mergeCell ref="A214:F214"/>
    <mergeCell ref="G214:J214"/>
    <mergeCell ref="A215:F215"/>
    <mergeCell ref="G215:J215"/>
  </mergeCells>
  <dataValidations count="1">
    <dataValidation allowBlank="true" errorStyle="stop" operator="between" showDropDown="false" showErrorMessage="false" showInputMessage="false" sqref="I6:I205" type="list">
      <formula1>"Pending Shipment,Shipped,Recycled,Under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40"/>
    <pageSetUpPr fitToPage="false"/>
  </sheetPr>
  <dimension ref="A1:K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6" min="5" style="1" width="18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24"/>
    <col collapsed="false" customWidth="true" hidden="false" outlineLevel="0" max="10" min="10" style="1" width="20"/>
    <col collapsed="false" customWidth="true" hidden="false" outlineLevel="0" max="11" min="11" style="1" width="30"/>
  </cols>
  <sheetData>
    <row r="1" customFormat="false" ht="43.5" hidden="false" customHeight="true" outlineLevel="0" collapsed="false">
      <c r="A1" s="32" t="s">
        <v>35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4" t="s">
        <v>2</v>
      </c>
      <c r="F2" s="4"/>
      <c r="G2" s="4"/>
      <c r="H2" s="4"/>
      <c r="I2" s="5" t="s">
        <v>3</v>
      </c>
      <c r="J2" s="6" t="n">
        <v>2024</v>
      </c>
    </row>
    <row r="4" customFormat="false" ht="36" hidden="false" customHeight="true" outlineLevel="0" collapsed="false">
      <c r="A4" s="33" t="s">
        <v>4</v>
      </c>
      <c r="B4" s="33" t="s">
        <v>5</v>
      </c>
      <c r="C4" s="33" t="s">
        <v>6</v>
      </c>
      <c r="D4" s="33" t="s">
        <v>7</v>
      </c>
      <c r="E4" s="33" t="s">
        <v>36</v>
      </c>
      <c r="F4" s="33" t="s">
        <v>8</v>
      </c>
      <c r="G4" s="33" t="s">
        <v>9</v>
      </c>
      <c r="H4" s="33" t="s">
        <v>10</v>
      </c>
      <c r="I4" s="33" t="s">
        <v>11</v>
      </c>
      <c r="J4" s="33" t="s">
        <v>12</v>
      </c>
      <c r="K4" s="33" t="s">
        <v>13</v>
      </c>
    </row>
    <row r="5" customFormat="false" ht="19.5" hidden="false" customHeight="true" outlineLevel="0" collapsed="false">
      <c r="A5" s="8" t="s">
        <v>37</v>
      </c>
      <c r="B5" s="8" t="s">
        <v>38</v>
      </c>
      <c r="C5" s="8" t="s">
        <v>16</v>
      </c>
      <c r="D5" s="8" t="s">
        <v>17</v>
      </c>
      <c r="E5" s="8" t="s">
        <v>39</v>
      </c>
      <c r="F5" s="8" t="s">
        <v>18</v>
      </c>
      <c r="G5" s="8" t="n">
        <v>0</v>
      </c>
      <c r="H5" s="8" t="s">
        <v>19</v>
      </c>
      <c r="I5" s="8" t="s">
        <v>20</v>
      </c>
      <c r="J5" s="8" t="s">
        <v>21</v>
      </c>
      <c r="K5" s="8" t="s">
        <v>22</v>
      </c>
    </row>
    <row r="6" customFormat="false" ht="15" hidden="false" customHeight="false" outlineLevel="0" collapsed="false">
      <c r="A6" s="34"/>
      <c r="B6" s="34"/>
      <c r="C6" s="35"/>
      <c r="D6" s="34"/>
      <c r="E6" s="34"/>
      <c r="F6" s="34"/>
      <c r="G6" s="36"/>
      <c r="H6" s="35"/>
      <c r="I6" s="34"/>
      <c r="J6" s="34"/>
      <c r="K6" s="34"/>
    </row>
    <row r="7" customFormat="false" ht="15" hidden="false" customHeight="false" outlineLevel="0" collapsed="false">
      <c r="A7" s="37"/>
      <c r="B7" s="37"/>
      <c r="C7" s="38"/>
      <c r="D7" s="37"/>
      <c r="E7" s="37"/>
      <c r="F7" s="37"/>
      <c r="G7" s="39"/>
      <c r="H7" s="38"/>
      <c r="I7" s="37"/>
      <c r="J7" s="37"/>
      <c r="K7" s="37"/>
    </row>
    <row r="8" customFormat="false" ht="15" hidden="false" customHeight="false" outlineLevel="0" collapsed="false">
      <c r="A8" s="34"/>
      <c r="B8" s="34"/>
      <c r="C8" s="35"/>
      <c r="D8" s="34"/>
      <c r="E8" s="34"/>
      <c r="F8" s="34"/>
      <c r="G8" s="36"/>
      <c r="H8" s="35"/>
      <c r="I8" s="34"/>
      <c r="J8" s="34"/>
      <c r="K8" s="34"/>
    </row>
    <row r="9" customFormat="false" ht="15" hidden="false" customHeight="false" outlineLevel="0" collapsed="false">
      <c r="A9" s="37"/>
      <c r="B9" s="37"/>
      <c r="C9" s="38"/>
      <c r="D9" s="37"/>
      <c r="E9" s="37"/>
      <c r="F9" s="37"/>
      <c r="G9" s="39"/>
      <c r="H9" s="38"/>
      <c r="I9" s="37"/>
      <c r="J9" s="37"/>
      <c r="K9" s="37"/>
    </row>
    <row r="10" customFormat="false" ht="15" hidden="false" customHeight="false" outlineLevel="0" collapsed="false">
      <c r="A10" s="34"/>
      <c r="B10" s="34"/>
      <c r="C10" s="35"/>
      <c r="D10" s="34"/>
      <c r="E10" s="34"/>
      <c r="F10" s="34"/>
      <c r="G10" s="36"/>
      <c r="H10" s="35"/>
      <c r="I10" s="34"/>
      <c r="J10" s="34"/>
      <c r="K10" s="34"/>
    </row>
    <row r="11" customFormat="false" ht="15" hidden="false" customHeight="false" outlineLevel="0" collapsed="false">
      <c r="A11" s="37"/>
      <c r="B11" s="37"/>
      <c r="C11" s="38"/>
      <c r="D11" s="37"/>
      <c r="E11" s="37"/>
      <c r="F11" s="37"/>
      <c r="G11" s="39"/>
      <c r="H11" s="38"/>
      <c r="I11" s="37"/>
      <c r="J11" s="37"/>
      <c r="K11" s="37"/>
    </row>
    <row r="12" customFormat="false" ht="15" hidden="false" customHeight="false" outlineLevel="0" collapsed="false">
      <c r="A12" s="34"/>
      <c r="B12" s="34"/>
      <c r="C12" s="35"/>
      <c r="D12" s="34"/>
      <c r="E12" s="34"/>
      <c r="F12" s="34"/>
      <c r="G12" s="36"/>
      <c r="H12" s="35"/>
      <c r="I12" s="34"/>
      <c r="J12" s="34"/>
      <c r="K12" s="34"/>
    </row>
    <row r="13" customFormat="false" ht="15" hidden="false" customHeight="false" outlineLevel="0" collapsed="false">
      <c r="A13" s="37"/>
      <c r="B13" s="37"/>
      <c r="C13" s="38"/>
      <c r="D13" s="37"/>
      <c r="E13" s="37"/>
      <c r="F13" s="37"/>
      <c r="G13" s="39"/>
      <c r="H13" s="38"/>
      <c r="I13" s="37"/>
      <c r="J13" s="37"/>
      <c r="K13" s="37"/>
    </row>
    <row r="14" customFormat="false" ht="15" hidden="false" customHeight="false" outlineLevel="0" collapsed="false">
      <c r="A14" s="34"/>
      <c r="B14" s="34"/>
      <c r="C14" s="35"/>
      <c r="D14" s="34"/>
      <c r="E14" s="34"/>
      <c r="F14" s="34"/>
      <c r="G14" s="36"/>
      <c r="H14" s="35"/>
      <c r="I14" s="34"/>
      <c r="J14" s="34"/>
      <c r="K14" s="34"/>
    </row>
    <row r="15" customFormat="false" ht="15" hidden="false" customHeight="false" outlineLevel="0" collapsed="false">
      <c r="A15" s="37"/>
      <c r="B15" s="37"/>
      <c r="C15" s="38"/>
      <c r="D15" s="37"/>
      <c r="E15" s="37"/>
      <c r="F15" s="37"/>
      <c r="G15" s="39"/>
      <c r="H15" s="38"/>
      <c r="I15" s="37"/>
      <c r="J15" s="37"/>
      <c r="K15" s="37"/>
    </row>
    <row r="16" customFormat="false" ht="15" hidden="false" customHeight="false" outlineLevel="0" collapsed="false">
      <c r="A16" s="34"/>
      <c r="B16" s="34"/>
      <c r="C16" s="35"/>
      <c r="D16" s="34"/>
      <c r="E16" s="34"/>
      <c r="F16" s="34"/>
      <c r="G16" s="36"/>
      <c r="H16" s="35"/>
      <c r="I16" s="34"/>
      <c r="J16" s="34"/>
      <c r="K16" s="34"/>
    </row>
    <row r="17" customFormat="false" ht="15" hidden="false" customHeight="false" outlineLevel="0" collapsed="false">
      <c r="A17" s="37"/>
      <c r="B17" s="37"/>
      <c r="C17" s="38"/>
      <c r="D17" s="37"/>
      <c r="E17" s="37"/>
      <c r="F17" s="37"/>
      <c r="G17" s="39"/>
      <c r="H17" s="38"/>
      <c r="I17" s="37"/>
      <c r="J17" s="37"/>
      <c r="K17" s="37"/>
    </row>
    <row r="18" customFormat="false" ht="15" hidden="false" customHeight="false" outlineLevel="0" collapsed="false">
      <c r="A18" s="34"/>
      <c r="B18" s="34"/>
      <c r="C18" s="35"/>
      <c r="D18" s="34"/>
      <c r="E18" s="34"/>
      <c r="F18" s="34"/>
      <c r="G18" s="36"/>
      <c r="H18" s="35"/>
      <c r="I18" s="34"/>
      <c r="J18" s="34"/>
      <c r="K18" s="34"/>
    </row>
    <row r="19" customFormat="false" ht="15" hidden="false" customHeight="false" outlineLevel="0" collapsed="false">
      <c r="A19" s="37"/>
      <c r="B19" s="37"/>
      <c r="C19" s="38"/>
      <c r="D19" s="37"/>
      <c r="E19" s="37"/>
      <c r="F19" s="37"/>
      <c r="G19" s="39"/>
      <c r="H19" s="38"/>
      <c r="I19" s="37"/>
      <c r="J19" s="37"/>
      <c r="K19" s="37"/>
    </row>
    <row r="20" customFormat="false" ht="15" hidden="false" customHeight="false" outlineLevel="0" collapsed="false">
      <c r="A20" s="34"/>
      <c r="B20" s="34"/>
      <c r="C20" s="35"/>
      <c r="D20" s="34"/>
      <c r="E20" s="34"/>
      <c r="F20" s="34"/>
      <c r="G20" s="36"/>
      <c r="H20" s="35"/>
      <c r="I20" s="34"/>
      <c r="J20" s="34"/>
      <c r="K20" s="34"/>
    </row>
    <row r="21" customFormat="false" ht="15" hidden="false" customHeight="false" outlineLevel="0" collapsed="false">
      <c r="A21" s="37"/>
      <c r="B21" s="37"/>
      <c r="C21" s="38"/>
      <c r="D21" s="37"/>
      <c r="E21" s="37"/>
      <c r="F21" s="37"/>
      <c r="G21" s="39"/>
      <c r="H21" s="38"/>
      <c r="I21" s="37"/>
      <c r="J21" s="37"/>
      <c r="K21" s="37"/>
    </row>
    <row r="22" customFormat="false" ht="15" hidden="false" customHeight="false" outlineLevel="0" collapsed="false">
      <c r="A22" s="34"/>
      <c r="B22" s="34"/>
      <c r="C22" s="35"/>
      <c r="D22" s="34"/>
      <c r="E22" s="34"/>
      <c r="F22" s="34"/>
      <c r="G22" s="36"/>
      <c r="H22" s="35"/>
      <c r="I22" s="34"/>
      <c r="J22" s="34"/>
      <c r="K22" s="34"/>
    </row>
    <row r="23" customFormat="false" ht="15" hidden="false" customHeight="false" outlineLevel="0" collapsed="false">
      <c r="A23" s="37"/>
      <c r="B23" s="37"/>
      <c r="C23" s="38"/>
      <c r="D23" s="37"/>
      <c r="E23" s="37"/>
      <c r="F23" s="37"/>
      <c r="G23" s="39"/>
      <c r="H23" s="38"/>
      <c r="I23" s="37"/>
      <c r="J23" s="37"/>
      <c r="K23" s="37"/>
    </row>
    <row r="24" customFormat="false" ht="15" hidden="false" customHeight="false" outlineLevel="0" collapsed="false">
      <c r="A24" s="34"/>
      <c r="B24" s="34"/>
      <c r="C24" s="35"/>
      <c r="D24" s="34"/>
      <c r="E24" s="34"/>
      <c r="F24" s="34"/>
      <c r="G24" s="36"/>
      <c r="H24" s="35"/>
      <c r="I24" s="34"/>
      <c r="J24" s="34"/>
      <c r="K24" s="34"/>
    </row>
    <row r="25" customFormat="false" ht="15" hidden="false" customHeight="false" outlineLevel="0" collapsed="false">
      <c r="A25" s="37"/>
      <c r="B25" s="37"/>
      <c r="C25" s="38"/>
      <c r="D25" s="37"/>
      <c r="E25" s="37"/>
      <c r="F25" s="37"/>
      <c r="G25" s="39"/>
      <c r="H25" s="38"/>
      <c r="I25" s="37"/>
      <c r="J25" s="37"/>
      <c r="K25" s="37"/>
    </row>
    <row r="26" customFormat="false" ht="15" hidden="false" customHeight="false" outlineLevel="0" collapsed="false">
      <c r="A26" s="34"/>
      <c r="B26" s="34"/>
      <c r="C26" s="35"/>
      <c r="D26" s="34"/>
      <c r="E26" s="34"/>
      <c r="F26" s="34"/>
      <c r="G26" s="36"/>
      <c r="H26" s="35"/>
      <c r="I26" s="34"/>
      <c r="J26" s="34"/>
      <c r="K26" s="34"/>
    </row>
    <row r="27" customFormat="false" ht="15" hidden="false" customHeight="false" outlineLevel="0" collapsed="false">
      <c r="A27" s="37"/>
      <c r="B27" s="37"/>
      <c r="C27" s="38"/>
      <c r="D27" s="37"/>
      <c r="E27" s="37"/>
      <c r="F27" s="37"/>
      <c r="G27" s="39"/>
      <c r="H27" s="38"/>
      <c r="I27" s="37"/>
      <c r="J27" s="37"/>
      <c r="K27" s="37"/>
    </row>
    <row r="28" customFormat="false" ht="15" hidden="false" customHeight="false" outlineLevel="0" collapsed="false">
      <c r="A28" s="34"/>
      <c r="B28" s="34"/>
      <c r="C28" s="35"/>
      <c r="D28" s="34"/>
      <c r="E28" s="34"/>
      <c r="F28" s="34"/>
      <c r="G28" s="36"/>
      <c r="H28" s="35"/>
      <c r="I28" s="34"/>
      <c r="J28" s="34"/>
      <c r="K28" s="34"/>
    </row>
    <row r="29" customFormat="false" ht="15" hidden="false" customHeight="false" outlineLevel="0" collapsed="false">
      <c r="A29" s="37"/>
      <c r="B29" s="37"/>
      <c r="C29" s="38"/>
      <c r="D29" s="37"/>
      <c r="E29" s="37"/>
      <c r="F29" s="37"/>
      <c r="G29" s="39"/>
      <c r="H29" s="38"/>
      <c r="I29" s="37"/>
      <c r="J29" s="37"/>
      <c r="K29" s="37"/>
    </row>
    <row r="30" customFormat="false" ht="15" hidden="false" customHeight="false" outlineLevel="0" collapsed="false">
      <c r="A30" s="34"/>
      <c r="B30" s="34"/>
      <c r="C30" s="35"/>
      <c r="D30" s="34"/>
      <c r="E30" s="34"/>
      <c r="F30" s="34"/>
      <c r="G30" s="36"/>
      <c r="H30" s="35"/>
      <c r="I30" s="34"/>
      <c r="J30" s="34"/>
      <c r="K30" s="34"/>
    </row>
    <row r="31" customFormat="false" ht="15" hidden="false" customHeight="false" outlineLevel="0" collapsed="false">
      <c r="A31" s="37"/>
      <c r="B31" s="37"/>
      <c r="C31" s="38"/>
      <c r="D31" s="37"/>
      <c r="E31" s="37"/>
      <c r="F31" s="37"/>
      <c r="G31" s="39"/>
      <c r="H31" s="38"/>
      <c r="I31" s="37"/>
      <c r="J31" s="37"/>
      <c r="K31" s="37"/>
    </row>
    <row r="32" customFormat="false" ht="15" hidden="false" customHeight="false" outlineLevel="0" collapsed="false">
      <c r="A32" s="34"/>
      <c r="B32" s="34"/>
      <c r="C32" s="35"/>
      <c r="D32" s="34"/>
      <c r="E32" s="34"/>
      <c r="F32" s="34"/>
      <c r="G32" s="36"/>
      <c r="H32" s="35"/>
      <c r="I32" s="34"/>
      <c r="J32" s="34"/>
      <c r="K32" s="34"/>
    </row>
    <row r="33" customFormat="false" ht="15" hidden="false" customHeight="false" outlineLevel="0" collapsed="false">
      <c r="A33" s="37"/>
      <c r="B33" s="37"/>
      <c r="C33" s="38"/>
      <c r="D33" s="37"/>
      <c r="E33" s="37"/>
      <c r="F33" s="37"/>
      <c r="G33" s="39"/>
      <c r="H33" s="38"/>
      <c r="I33" s="37"/>
      <c r="J33" s="37"/>
      <c r="K33" s="37"/>
    </row>
    <row r="34" customFormat="false" ht="15" hidden="false" customHeight="false" outlineLevel="0" collapsed="false">
      <c r="A34" s="34"/>
      <c r="B34" s="34"/>
      <c r="C34" s="35"/>
      <c r="D34" s="34"/>
      <c r="E34" s="34"/>
      <c r="F34" s="34"/>
      <c r="G34" s="36"/>
      <c r="H34" s="35"/>
      <c r="I34" s="34"/>
      <c r="J34" s="34"/>
      <c r="K34" s="34"/>
    </row>
    <row r="35" customFormat="false" ht="15" hidden="false" customHeight="false" outlineLevel="0" collapsed="false">
      <c r="A35" s="37"/>
      <c r="B35" s="37"/>
      <c r="C35" s="38"/>
      <c r="D35" s="37"/>
      <c r="E35" s="37"/>
      <c r="F35" s="37"/>
      <c r="G35" s="39"/>
      <c r="H35" s="38"/>
      <c r="I35" s="37"/>
      <c r="J35" s="37"/>
      <c r="K35" s="37"/>
    </row>
    <row r="36" customFormat="false" ht="15" hidden="false" customHeight="false" outlineLevel="0" collapsed="false">
      <c r="A36" s="34"/>
      <c r="B36" s="34"/>
      <c r="C36" s="35"/>
      <c r="D36" s="34"/>
      <c r="E36" s="34"/>
      <c r="F36" s="34"/>
      <c r="G36" s="36"/>
      <c r="H36" s="35"/>
      <c r="I36" s="34"/>
      <c r="J36" s="34"/>
      <c r="K36" s="34"/>
    </row>
    <row r="37" customFormat="false" ht="15" hidden="false" customHeight="false" outlineLevel="0" collapsed="false">
      <c r="A37" s="37"/>
      <c r="B37" s="37"/>
      <c r="C37" s="38"/>
      <c r="D37" s="37"/>
      <c r="E37" s="37"/>
      <c r="F37" s="37"/>
      <c r="G37" s="39"/>
      <c r="H37" s="38"/>
      <c r="I37" s="37"/>
      <c r="J37" s="37"/>
      <c r="K37" s="37"/>
    </row>
    <row r="38" customFormat="false" ht="15" hidden="false" customHeight="false" outlineLevel="0" collapsed="false">
      <c r="A38" s="34"/>
      <c r="B38" s="34"/>
      <c r="C38" s="35"/>
      <c r="D38" s="34"/>
      <c r="E38" s="34"/>
      <c r="F38" s="34"/>
      <c r="G38" s="36"/>
      <c r="H38" s="35"/>
      <c r="I38" s="34"/>
      <c r="J38" s="34"/>
      <c r="K38" s="34"/>
    </row>
    <row r="39" customFormat="false" ht="15" hidden="false" customHeight="false" outlineLevel="0" collapsed="false">
      <c r="A39" s="37"/>
      <c r="B39" s="37"/>
      <c r="C39" s="38"/>
      <c r="D39" s="37"/>
      <c r="E39" s="37"/>
      <c r="F39" s="37"/>
      <c r="G39" s="39"/>
      <c r="H39" s="38"/>
      <c r="I39" s="37"/>
      <c r="J39" s="37"/>
      <c r="K39" s="37"/>
    </row>
    <row r="40" customFormat="false" ht="15" hidden="false" customHeight="false" outlineLevel="0" collapsed="false">
      <c r="A40" s="34"/>
      <c r="B40" s="34"/>
      <c r="C40" s="35"/>
      <c r="D40" s="34"/>
      <c r="E40" s="34"/>
      <c r="F40" s="34"/>
      <c r="G40" s="36"/>
      <c r="H40" s="35"/>
      <c r="I40" s="34"/>
      <c r="J40" s="34"/>
      <c r="K40" s="34"/>
    </row>
    <row r="41" customFormat="false" ht="15" hidden="false" customHeight="false" outlineLevel="0" collapsed="false">
      <c r="A41" s="37"/>
      <c r="B41" s="37"/>
      <c r="C41" s="38"/>
      <c r="D41" s="37"/>
      <c r="E41" s="37"/>
      <c r="F41" s="37"/>
      <c r="G41" s="39"/>
      <c r="H41" s="38"/>
      <c r="I41" s="37"/>
      <c r="J41" s="37"/>
      <c r="K41" s="37"/>
    </row>
    <row r="42" customFormat="false" ht="15" hidden="false" customHeight="false" outlineLevel="0" collapsed="false">
      <c r="A42" s="34"/>
      <c r="B42" s="34"/>
      <c r="C42" s="35"/>
      <c r="D42" s="34"/>
      <c r="E42" s="34"/>
      <c r="F42" s="34"/>
      <c r="G42" s="36"/>
      <c r="H42" s="35"/>
      <c r="I42" s="34"/>
      <c r="J42" s="34"/>
      <c r="K42" s="34"/>
    </row>
    <row r="43" customFormat="false" ht="15" hidden="false" customHeight="false" outlineLevel="0" collapsed="false">
      <c r="A43" s="37"/>
      <c r="B43" s="37"/>
      <c r="C43" s="38"/>
      <c r="D43" s="37"/>
      <c r="E43" s="37"/>
      <c r="F43" s="37"/>
      <c r="G43" s="39"/>
      <c r="H43" s="38"/>
      <c r="I43" s="37"/>
      <c r="J43" s="37"/>
      <c r="K43" s="37"/>
    </row>
    <row r="44" customFormat="false" ht="15" hidden="false" customHeight="false" outlineLevel="0" collapsed="false">
      <c r="A44" s="34"/>
      <c r="B44" s="34"/>
      <c r="C44" s="35"/>
      <c r="D44" s="34"/>
      <c r="E44" s="34"/>
      <c r="F44" s="34"/>
      <c r="G44" s="36"/>
      <c r="H44" s="35"/>
      <c r="I44" s="34"/>
      <c r="J44" s="34"/>
      <c r="K44" s="34"/>
    </row>
    <row r="45" customFormat="false" ht="15" hidden="false" customHeight="false" outlineLevel="0" collapsed="false">
      <c r="A45" s="37"/>
      <c r="B45" s="37"/>
      <c r="C45" s="38"/>
      <c r="D45" s="37"/>
      <c r="E45" s="37"/>
      <c r="F45" s="37"/>
      <c r="G45" s="39"/>
      <c r="H45" s="38"/>
      <c r="I45" s="37"/>
      <c r="J45" s="37"/>
      <c r="K45" s="37"/>
    </row>
    <row r="46" customFormat="false" ht="15" hidden="false" customHeight="false" outlineLevel="0" collapsed="false">
      <c r="A46" s="34"/>
      <c r="B46" s="34"/>
      <c r="C46" s="35"/>
      <c r="D46" s="34"/>
      <c r="E46" s="34"/>
      <c r="F46" s="34"/>
      <c r="G46" s="36"/>
      <c r="H46" s="35"/>
      <c r="I46" s="34"/>
      <c r="J46" s="34"/>
      <c r="K46" s="34"/>
    </row>
    <row r="47" customFormat="false" ht="15" hidden="false" customHeight="false" outlineLevel="0" collapsed="false">
      <c r="A47" s="37"/>
      <c r="B47" s="37"/>
      <c r="C47" s="38"/>
      <c r="D47" s="37"/>
      <c r="E47" s="37"/>
      <c r="F47" s="37"/>
      <c r="G47" s="39"/>
      <c r="H47" s="38"/>
      <c r="I47" s="37"/>
      <c r="J47" s="37"/>
      <c r="K47" s="37"/>
    </row>
    <row r="48" customFormat="false" ht="15" hidden="false" customHeight="false" outlineLevel="0" collapsed="false">
      <c r="A48" s="34"/>
      <c r="B48" s="34"/>
      <c r="C48" s="35"/>
      <c r="D48" s="34"/>
      <c r="E48" s="34"/>
      <c r="F48" s="34"/>
      <c r="G48" s="36"/>
      <c r="H48" s="35"/>
      <c r="I48" s="34"/>
      <c r="J48" s="34"/>
      <c r="K48" s="34"/>
    </row>
    <row r="49" customFormat="false" ht="15" hidden="false" customHeight="false" outlineLevel="0" collapsed="false">
      <c r="A49" s="37"/>
      <c r="B49" s="37"/>
      <c r="C49" s="38"/>
      <c r="D49" s="37"/>
      <c r="E49" s="37"/>
      <c r="F49" s="37"/>
      <c r="G49" s="39"/>
      <c r="H49" s="38"/>
      <c r="I49" s="37"/>
      <c r="J49" s="37"/>
      <c r="K49" s="37"/>
    </row>
    <row r="50" customFormat="false" ht="15" hidden="false" customHeight="false" outlineLevel="0" collapsed="false">
      <c r="A50" s="34"/>
      <c r="B50" s="34"/>
      <c r="C50" s="35"/>
      <c r="D50" s="34"/>
      <c r="E50" s="34"/>
      <c r="F50" s="34"/>
      <c r="G50" s="36"/>
      <c r="H50" s="35"/>
      <c r="I50" s="34"/>
      <c r="J50" s="34"/>
      <c r="K50" s="34"/>
    </row>
    <row r="51" customFormat="false" ht="15" hidden="false" customHeight="false" outlineLevel="0" collapsed="false">
      <c r="A51" s="37"/>
      <c r="B51" s="37"/>
      <c r="C51" s="38"/>
      <c r="D51" s="37"/>
      <c r="E51" s="37"/>
      <c r="F51" s="37"/>
      <c r="G51" s="39"/>
      <c r="H51" s="38"/>
      <c r="I51" s="37"/>
      <c r="J51" s="37"/>
      <c r="K51" s="37"/>
    </row>
    <row r="52" customFormat="false" ht="15" hidden="false" customHeight="false" outlineLevel="0" collapsed="false">
      <c r="A52" s="34"/>
      <c r="B52" s="34"/>
      <c r="C52" s="35"/>
      <c r="D52" s="34"/>
      <c r="E52" s="34"/>
      <c r="F52" s="34"/>
      <c r="G52" s="36"/>
      <c r="H52" s="35"/>
      <c r="I52" s="34"/>
      <c r="J52" s="34"/>
      <c r="K52" s="34"/>
    </row>
    <row r="53" customFormat="false" ht="15" hidden="false" customHeight="false" outlineLevel="0" collapsed="false">
      <c r="A53" s="37"/>
      <c r="B53" s="37"/>
      <c r="C53" s="38"/>
      <c r="D53" s="37"/>
      <c r="E53" s="37"/>
      <c r="F53" s="37"/>
      <c r="G53" s="39"/>
      <c r="H53" s="38"/>
      <c r="I53" s="37"/>
      <c r="J53" s="37"/>
      <c r="K53" s="37"/>
    </row>
    <row r="54" customFormat="false" ht="15" hidden="false" customHeight="false" outlineLevel="0" collapsed="false">
      <c r="A54" s="34"/>
      <c r="B54" s="34"/>
      <c r="C54" s="35"/>
      <c r="D54" s="34"/>
      <c r="E54" s="34"/>
      <c r="F54" s="34"/>
      <c r="G54" s="36"/>
      <c r="H54" s="35"/>
      <c r="I54" s="34"/>
      <c r="J54" s="34"/>
      <c r="K54" s="34"/>
    </row>
    <row r="55" customFormat="false" ht="15" hidden="false" customHeight="false" outlineLevel="0" collapsed="false">
      <c r="A55" s="37"/>
      <c r="B55" s="37"/>
      <c r="C55" s="38"/>
      <c r="D55" s="37"/>
      <c r="E55" s="37"/>
      <c r="F55" s="37"/>
      <c r="G55" s="39"/>
      <c r="H55" s="38"/>
      <c r="I55" s="37"/>
      <c r="J55" s="37"/>
      <c r="K55" s="37"/>
    </row>
    <row r="56" customFormat="false" ht="15" hidden="false" customHeight="false" outlineLevel="0" collapsed="false">
      <c r="A56" s="34"/>
      <c r="B56" s="34"/>
      <c r="C56" s="35"/>
      <c r="D56" s="34"/>
      <c r="E56" s="34"/>
      <c r="F56" s="34"/>
      <c r="G56" s="36"/>
      <c r="H56" s="35"/>
      <c r="I56" s="34"/>
      <c r="J56" s="34"/>
      <c r="K56" s="34"/>
    </row>
    <row r="57" customFormat="false" ht="15" hidden="false" customHeight="false" outlineLevel="0" collapsed="false">
      <c r="A57" s="37"/>
      <c r="B57" s="37"/>
      <c r="C57" s="38"/>
      <c r="D57" s="37"/>
      <c r="E57" s="37"/>
      <c r="F57" s="37"/>
      <c r="G57" s="39"/>
      <c r="H57" s="38"/>
      <c r="I57" s="37"/>
      <c r="J57" s="37"/>
      <c r="K57" s="37"/>
    </row>
    <row r="58" customFormat="false" ht="15" hidden="false" customHeight="false" outlineLevel="0" collapsed="false">
      <c r="A58" s="34"/>
      <c r="B58" s="34"/>
      <c r="C58" s="35"/>
      <c r="D58" s="34"/>
      <c r="E58" s="34"/>
      <c r="F58" s="34"/>
      <c r="G58" s="36"/>
      <c r="H58" s="35"/>
      <c r="I58" s="34"/>
      <c r="J58" s="34"/>
      <c r="K58" s="34"/>
    </row>
    <row r="59" customFormat="false" ht="15" hidden="false" customHeight="false" outlineLevel="0" collapsed="false">
      <c r="A59" s="37"/>
      <c r="B59" s="37"/>
      <c r="C59" s="38"/>
      <c r="D59" s="37"/>
      <c r="E59" s="37"/>
      <c r="F59" s="37"/>
      <c r="G59" s="39"/>
      <c r="H59" s="38"/>
      <c r="I59" s="37"/>
      <c r="J59" s="37"/>
      <c r="K59" s="37"/>
    </row>
    <row r="60" customFormat="false" ht="15" hidden="false" customHeight="false" outlineLevel="0" collapsed="false">
      <c r="A60" s="34"/>
      <c r="B60" s="34"/>
      <c r="C60" s="35"/>
      <c r="D60" s="34"/>
      <c r="E60" s="34"/>
      <c r="F60" s="34"/>
      <c r="G60" s="36"/>
      <c r="H60" s="35"/>
      <c r="I60" s="34"/>
      <c r="J60" s="34"/>
      <c r="K60" s="34"/>
    </row>
    <row r="61" customFormat="false" ht="15" hidden="false" customHeight="false" outlineLevel="0" collapsed="false">
      <c r="A61" s="37"/>
      <c r="B61" s="37"/>
      <c r="C61" s="38"/>
      <c r="D61" s="37"/>
      <c r="E61" s="37"/>
      <c r="F61" s="37"/>
      <c r="G61" s="39"/>
      <c r="H61" s="38"/>
      <c r="I61" s="37"/>
      <c r="J61" s="37"/>
      <c r="K61" s="37"/>
    </row>
    <row r="62" customFormat="false" ht="15" hidden="false" customHeight="false" outlineLevel="0" collapsed="false">
      <c r="A62" s="34"/>
      <c r="B62" s="34"/>
      <c r="C62" s="35"/>
      <c r="D62" s="34"/>
      <c r="E62" s="34"/>
      <c r="F62" s="34"/>
      <c r="G62" s="36"/>
      <c r="H62" s="35"/>
      <c r="I62" s="34"/>
      <c r="J62" s="34"/>
      <c r="K62" s="34"/>
    </row>
    <row r="63" customFormat="false" ht="15" hidden="false" customHeight="false" outlineLevel="0" collapsed="false">
      <c r="A63" s="37"/>
      <c r="B63" s="37"/>
      <c r="C63" s="38"/>
      <c r="D63" s="37"/>
      <c r="E63" s="37"/>
      <c r="F63" s="37"/>
      <c r="G63" s="39"/>
      <c r="H63" s="38"/>
      <c r="I63" s="37"/>
      <c r="J63" s="37"/>
      <c r="K63" s="37"/>
    </row>
    <row r="64" customFormat="false" ht="15" hidden="false" customHeight="false" outlineLevel="0" collapsed="false">
      <c r="A64" s="34"/>
      <c r="B64" s="34"/>
      <c r="C64" s="35"/>
      <c r="D64" s="34"/>
      <c r="E64" s="34"/>
      <c r="F64" s="34"/>
      <c r="G64" s="36"/>
      <c r="H64" s="35"/>
      <c r="I64" s="34"/>
      <c r="J64" s="34"/>
      <c r="K64" s="34"/>
    </row>
    <row r="65" customFormat="false" ht="15" hidden="false" customHeight="false" outlineLevel="0" collapsed="false">
      <c r="A65" s="37"/>
      <c r="B65" s="37"/>
      <c r="C65" s="38"/>
      <c r="D65" s="37"/>
      <c r="E65" s="37"/>
      <c r="F65" s="37"/>
      <c r="G65" s="39"/>
      <c r="H65" s="38"/>
      <c r="I65" s="37"/>
      <c r="J65" s="37"/>
      <c r="K65" s="37"/>
    </row>
    <row r="66" customFormat="false" ht="15" hidden="false" customHeight="false" outlineLevel="0" collapsed="false">
      <c r="A66" s="34"/>
      <c r="B66" s="34"/>
      <c r="C66" s="35"/>
      <c r="D66" s="34"/>
      <c r="E66" s="34"/>
      <c r="F66" s="34"/>
      <c r="G66" s="36"/>
      <c r="H66" s="35"/>
      <c r="I66" s="34"/>
      <c r="J66" s="34"/>
      <c r="K66" s="34"/>
    </row>
    <row r="67" customFormat="false" ht="15" hidden="false" customHeight="false" outlineLevel="0" collapsed="false">
      <c r="A67" s="37"/>
      <c r="B67" s="37"/>
      <c r="C67" s="38"/>
      <c r="D67" s="37"/>
      <c r="E67" s="37"/>
      <c r="F67" s="37"/>
      <c r="G67" s="39"/>
      <c r="H67" s="38"/>
      <c r="I67" s="37"/>
      <c r="J67" s="37"/>
      <c r="K67" s="37"/>
    </row>
    <row r="68" customFormat="false" ht="15" hidden="false" customHeight="false" outlineLevel="0" collapsed="false">
      <c r="A68" s="34"/>
      <c r="B68" s="34"/>
      <c r="C68" s="35"/>
      <c r="D68" s="34"/>
      <c r="E68" s="34"/>
      <c r="F68" s="34"/>
      <c r="G68" s="36"/>
      <c r="H68" s="35"/>
      <c r="I68" s="34"/>
      <c r="J68" s="34"/>
      <c r="K68" s="34"/>
    </row>
    <row r="69" customFormat="false" ht="15" hidden="false" customHeight="false" outlineLevel="0" collapsed="false">
      <c r="A69" s="37"/>
      <c r="B69" s="37"/>
      <c r="C69" s="38"/>
      <c r="D69" s="37"/>
      <c r="E69" s="37"/>
      <c r="F69" s="37"/>
      <c r="G69" s="39"/>
      <c r="H69" s="38"/>
      <c r="I69" s="37"/>
      <c r="J69" s="37"/>
      <c r="K69" s="37"/>
    </row>
    <row r="70" customFormat="false" ht="15" hidden="false" customHeight="false" outlineLevel="0" collapsed="false">
      <c r="A70" s="34"/>
      <c r="B70" s="34"/>
      <c r="C70" s="35"/>
      <c r="D70" s="34"/>
      <c r="E70" s="34"/>
      <c r="F70" s="34"/>
      <c r="G70" s="36"/>
      <c r="H70" s="35"/>
      <c r="I70" s="34"/>
      <c r="J70" s="34"/>
      <c r="K70" s="34"/>
    </row>
    <row r="71" customFormat="false" ht="15" hidden="false" customHeight="false" outlineLevel="0" collapsed="false">
      <c r="A71" s="37"/>
      <c r="B71" s="37"/>
      <c r="C71" s="38"/>
      <c r="D71" s="37"/>
      <c r="E71" s="37"/>
      <c r="F71" s="37"/>
      <c r="G71" s="39"/>
      <c r="H71" s="38"/>
      <c r="I71" s="37"/>
      <c r="J71" s="37"/>
      <c r="K71" s="37"/>
    </row>
    <row r="72" customFormat="false" ht="15" hidden="false" customHeight="false" outlineLevel="0" collapsed="false">
      <c r="A72" s="34"/>
      <c r="B72" s="34"/>
      <c r="C72" s="35"/>
      <c r="D72" s="34"/>
      <c r="E72" s="34"/>
      <c r="F72" s="34"/>
      <c r="G72" s="36"/>
      <c r="H72" s="35"/>
      <c r="I72" s="34"/>
      <c r="J72" s="34"/>
      <c r="K72" s="34"/>
    </row>
    <row r="73" customFormat="false" ht="15" hidden="false" customHeight="false" outlineLevel="0" collapsed="false">
      <c r="A73" s="37"/>
      <c r="B73" s="37"/>
      <c r="C73" s="38"/>
      <c r="D73" s="37"/>
      <c r="E73" s="37"/>
      <c r="F73" s="37"/>
      <c r="G73" s="39"/>
      <c r="H73" s="38"/>
      <c r="I73" s="37"/>
      <c r="J73" s="37"/>
      <c r="K73" s="37"/>
    </row>
    <row r="74" customFormat="false" ht="15" hidden="false" customHeight="false" outlineLevel="0" collapsed="false">
      <c r="A74" s="34"/>
      <c r="B74" s="34"/>
      <c r="C74" s="35"/>
      <c r="D74" s="34"/>
      <c r="E74" s="34"/>
      <c r="F74" s="34"/>
      <c r="G74" s="36"/>
      <c r="H74" s="35"/>
      <c r="I74" s="34"/>
      <c r="J74" s="34"/>
      <c r="K74" s="34"/>
    </row>
    <row r="75" customFormat="false" ht="15" hidden="false" customHeight="false" outlineLevel="0" collapsed="false">
      <c r="A75" s="37"/>
      <c r="B75" s="37"/>
      <c r="C75" s="38"/>
      <c r="D75" s="37"/>
      <c r="E75" s="37"/>
      <c r="F75" s="37"/>
      <c r="G75" s="39"/>
      <c r="H75" s="38"/>
      <c r="I75" s="37"/>
      <c r="J75" s="37"/>
      <c r="K75" s="37"/>
    </row>
    <row r="76" customFormat="false" ht="15" hidden="false" customHeight="false" outlineLevel="0" collapsed="false">
      <c r="A76" s="34"/>
      <c r="B76" s="34"/>
      <c r="C76" s="35"/>
      <c r="D76" s="34"/>
      <c r="E76" s="34"/>
      <c r="F76" s="34"/>
      <c r="G76" s="36"/>
      <c r="H76" s="35"/>
      <c r="I76" s="34"/>
      <c r="J76" s="34"/>
      <c r="K76" s="34"/>
    </row>
    <row r="77" customFormat="false" ht="15" hidden="false" customHeight="false" outlineLevel="0" collapsed="false">
      <c r="A77" s="37"/>
      <c r="B77" s="37"/>
      <c r="C77" s="38"/>
      <c r="D77" s="37"/>
      <c r="E77" s="37"/>
      <c r="F77" s="37"/>
      <c r="G77" s="39"/>
      <c r="H77" s="38"/>
      <c r="I77" s="37"/>
      <c r="J77" s="37"/>
      <c r="K77" s="37"/>
    </row>
    <row r="78" customFormat="false" ht="15" hidden="false" customHeight="false" outlineLevel="0" collapsed="false">
      <c r="A78" s="34"/>
      <c r="B78" s="34"/>
      <c r="C78" s="35"/>
      <c r="D78" s="34"/>
      <c r="E78" s="34"/>
      <c r="F78" s="34"/>
      <c r="G78" s="36"/>
      <c r="H78" s="35"/>
      <c r="I78" s="34"/>
      <c r="J78" s="34"/>
      <c r="K78" s="34"/>
    </row>
    <row r="79" customFormat="false" ht="15" hidden="false" customHeight="false" outlineLevel="0" collapsed="false">
      <c r="A79" s="37"/>
      <c r="B79" s="37"/>
      <c r="C79" s="38"/>
      <c r="D79" s="37"/>
      <c r="E79" s="37"/>
      <c r="F79" s="37"/>
      <c r="G79" s="39"/>
      <c r="H79" s="38"/>
      <c r="I79" s="37"/>
      <c r="J79" s="37"/>
      <c r="K79" s="37"/>
    </row>
    <row r="80" customFormat="false" ht="15" hidden="false" customHeight="false" outlineLevel="0" collapsed="false">
      <c r="A80" s="34"/>
      <c r="B80" s="34"/>
      <c r="C80" s="35"/>
      <c r="D80" s="34"/>
      <c r="E80" s="34"/>
      <c r="F80" s="34"/>
      <c r="G80" s="36"/>
      <c r="H80" s="35"/>
      <c r="I80" s="34"/>
      <c r="J80" s="34"/>
      <c r="K80" s="34"/>
    </row>
    <row r="81" customFormat="false" ht="15" hidden="false" customHeight="false" outlineLevel="0" collapsed="false">
      <c r="A81" s="37"/>
      <c r="B81" s="37"/>
      <c r="C81" s="38"/>
      <c r="D81" s="37"/>
      <c r="E81" s="37"/>
      <c r="F81" s="37"/>
      <c r="G81" s="39"/>
      <c r="H81" s="38"/>
      <c r="I81" s="37"/>
      <c r="J81" s="37"/>
      <c r="K81" s="37"/>
    </row>
    <row r="82" customFormat="false" ht="15" hidden="false" customHeight="false" outlineLevel="0" collapsed="false">
      <c r="A82" s="34"/>
      <c r="B82" s="34"/>
      <c r="C82" s="35"/>
      <c r="D82" s="34"/>
      <c r="E82" s="34"/>
      <c r="F82" s="34"/>
      <c r="G82" s="36"/>
      <c r="H82" s="35"/>
      <c r="I82" s="34"/>
      <c r="J82" s="34"/>
      <c r="K82" s="34"/>
    </row>
    <row r="83" customFormat="false" ht="15" hidden="false" customHeight="false" outlineLevel="0" collapsed="false">
      <c r="A83" s="37"/>
      <c r="B83" s="37"/>
      <c r="C83" s="38"/>
      <c r="D83" s="37"/>
      <c r="E83" s="37"/>
      <c r="F83" s="37"/>
      <c r="G83" s="39"/>
      <c r="H83" s="38"/>
      <c r="I83" s="37"/>
      <c r="J83" s="37"/>
      <c r="K83" s="37"/>
    </row>
    <row r="84" customFormat="false" ht="15" hidden="false" customHeight="false" outlineLevel="0" collapsed="false">
      <c r="A84" s="34"/>
      <c r="B84" s="34"/>
      <c r="C84" s="35"/>
      <c r="D84" s="34"/>
      <c r="E84" s="34"/>
      <c r="F84" s="34"/>
      <c r="G84" s="36"/>
      <c r="H84" s="35"/>
      <c r="I84" s="34"/>
      <c r="J84" s="34"/>
      <c r="K84" s="34"/>
    </row>
    <row r="85" customFormat="false" ht="15" hidden="false" customHeight="false" outlineLevel="0" collapsed="false">
      <c r="A85" s="37"/>
      <c r="B85" s="37"/>
      <c r="C85" s="38"/>
      <c r="D85" s="37"/>
      <c r="E85" s="37"/>
      <c r="F85" s="37"/>
      <c r="G85" s="39"/>
      <c r="H85" s="38"/>
      <c r="I85" s="37"/>
      <c r="J85" s="37"/>
      <c r="K85" s="37"/>
    </row>
    <row r="86" customFormat="false" ht="15" hidden="false" customHeight="false" outlineLevel="0" collapsed="false">
      <c r="A86" s="34"/>
      <c r="B86" s="34"/>
      <c r="C86" s="35"/>
      <c r="D86" s="34"/>
      <c r="E86" s="34"/>
      <c r="F86" s="34"/>
      <c r="G86" s="36"/>
      <c r="H86" s="35"/>
      <c r="I86" s="34"/>
      <c r="J86" s="34"/>
      <c r="K86" s="34"/>
    </row>
    <row r="87" customFormat="false" ht="15" hidden="false" customHeight="false" outlineLevel="0" collapsed="false">
      <c r="A87" s="37"/>
      <c r="B87" s="37"/>
      <c r="C87" s="38"/>
      <c r="D87" s="37"/>
      <c r="E87" s="37"/>
      <c r="F87" s="37"/>
      <c r="G87" s="39"/>
      <c r="H87" s="38"/>
      <c r="I87" s="37"/>
      <c r="J87" s="37"/>
      <c r="K87" s="37"/>
    </row>
    <row r="88" customFormat="false" ht="15" hidden="false" customHeight="false" outlineLevel="0" collapsed="false">
      <c r="A88" s="34"/>
      <c r="B88" s="34"/>
      <c r="C88" s="35"/>
      <c r="D88" s="34"/>
      <c r="E88" s="34"/>
      <c r="F88" s="34"/>
      <c r="G88" s="36"/>
      <c r="H88" s="35"/>
      <c r="I88" s="34"/>
      <c r="J88" s="34"/>
      <c r="K88" s="34"/>
    </row>
    <row r="89" customFormat="false" ht="15" hidden="false" customHeight="false" outlineLevel="0" collapsed="false">
      <c r="A89" s="37"/>
      <c r="B89" s="37"/>
      <c r="C89" s="38"/>
      <c r="D89" s="37"/>
      <c r="E89" s="37"/>
      <c r="F89" s="37"/>
      <c r="G89" s="39"/>
      <c r="H89" s="38"/>
      <c r="I89" s="37"/>
      <c r="J89" s="37"/>
      <c r="K89" s="37"/>
    </row>
    <row r="90" customFormat="false" ht="15" hidden="false" customHeight="false" outlineLevel="0" collapsed="false">
      <c r="A90" s="34"/>
      <c r="B90" s="34"/>
      <c r="C90" s="35"/>
      <c r="D90" s="34"/>
      <c r="E90" s="34"/>
      <c r="F90" s="34"/>
      <c r="G90" s="36"/>
      <c r="H90" s="35"/>
      <c r="I90" s="34"/>
      <c r="J90" s="34"/>
      <c r="K90" s="34"/>
    </row>
    <row r="91" customFormat="false" ht="15" hidden="false" customHeight="false" outlineLevel="0" collapsed="false">
      <c r="A91" s="37"/>
      <c r="B91" s="37"/>
      <c r="C91" s="38"/>
      <c r="D91" s="37"/>
      <c r="E91" s="37"/>
      <c r="F91" s="37"/>
      <c r="G91" s="39"/>
      <c r="H91" s="38"/>
      <c r="I91" s="37"/>
      <c r="J91" s="37"/>
      <c r="K91" s="37"/>
    </row>
    <row r="92" customFormat="false" ht="15" hidden="false" customHeight="false" outlineLevel="0" collapsed="false">
      <c r="A92" s="34"/>
      <c r="B92" s="34"/>
      <c r="C92" s="35"/>
      <c r="D92" s="34"/>
      <c r="E92" s="34"/>
      <c r="F92" s="34"/>
      <c r="G92" s="36"/>
      <c r="H92" s="35"/>
      <c r="I92" s="34"/>
      <c r="J92" s="34"/>
      <c r="K92" s="34"/>
    </row>
    <row r="93" customFormat="false" ht="15" hidden="false" customHeight="false" outlineLevel="0" collapsed="false">
      <c r="A93" s="37"/>
      <c r="B93" s="37"/>
      <c r="C93" s="38"/>
      <c r="D93" s="37"/>
      <c r="E93" s="37"/>
      <c r="F93" s="37"/>
      <c r="G93" s="39"/>
      <c r="H93" s="38"/>
      <c r="I93" s="37"/>
      <c r="J93" s="37"/>
      <c r="K93" s="37"/>
    </row>
    <row r="94" customFormat="false" ht="15" hidden="false" customHeight="false" outlineLevel="0" collapsed="false">
      <c r="A94" s="34"/>
      <c r="B94" s="34"/>
      <c r="C94" s="35"/>
      <c r="D94" s="34"/>
      <c r="E94" s="34"/>
      <c r="F94" s="34"/>
      <c r="G94" s="36"/>
      <c r="H94" s="35"/>
      <c r="I94" s="34"/>
      <c r="J94" s="34"/>
      <c r="K94" s="34"/>
    </row>
    <row r="95" customFormat="false" ht="15" hidden="false" customHeight="false" outlineLevel="0" collapsed="false">
      <c r="A95" s="37"/>
      <c r="B95" s="37"/>
      <c r="C95" s="38"/>
      <c r="D95" s="37"/>
      <c r="E95" s="37"/>
      <c r="F95" s="37"/>
      <c r="G95" s="39"/>
      <c r="H95" s="38"/>
      <c r="I95" s="37"/>
      <c r="J95" s="37"/>
      <c r="K95" s="37"/>
    </row>
    <row r="96" customFormat="false" ht="15" hidden="false" customHeight="false" outlineLevel="0" collapsed="false">
      <c r="A96" s="34"/>
      <c r="B96" s="34"/>
      <c r="C96" s="35"/>
      <c r="D96" s="34"/>
      <c r="E96" s="34"/>
      <c r="F96" s="34"/>
      <c r="G96" s="36"/>
      <c r="H96" s="35"/>
      <c r="I96" s="34"/>
      <c r="J96" s="34"/>
      <c r="K96" s="34"/>
    </row>
    <row r="97" customFormat="false" ht="15" hidden="false" customHeight="false" outlineLevel="0" collapsed="false">
      <c r="A97" s="37"/>
      <c r="B97" s="37"/>
      <c r="C97" s="38"/>
      <c r="D97" s="37"/>
      <c r="E97" s="37"/>
      <c r="F97" s="37"/>
      <c r="G97" s="39"/>
      <c r="H97" s="38"/>
      <c r="I97" s="37"/>
      <c r="J97" s="37"/>
      <c r="K97" s="37"/>
    </row>
    <row r="98" customFormat="false" ht="15" hidden="false" customHeight="false" outlineLevel="0" collapsed="false">
      <c r="A98" s="34"/>
      <c r="B98" s="34"/>
      <c r="C98" s="35"/>
      <c r="D98" s="34"/>
      <c r="E98" s="34"/>
      <c r="F98" s="34"/>
      <c r="G98" s="36"/>
      <c r="H98" s="35"/>
      <c r="I98" s="34"/>
      <c r="J98" s="34"/>
      <c r="K98" s="34"/>
    </row>
    <row r="99" customFormat="false" ht="15" hidden="false" customHeight="false" outlineLevel="0" collapsed="false">
      <c r="A99" s="37"/>
      <c r="B99" s="37"/>
      <c r="C99" s="38"/>
      <c r="D99" s="37"/>
      <c r="E99" s="37"/>
      <c r="F99" s="37"/>
      <c r="G99" s="39"/>
      <c r="H99" s="38"/>
      <c r="I99" s="37"/>
      <c r="J99" s="37"/>
      <c r="K99" s="37"/>
    </row>
    <row r="100" customFormat="false" ht="15" hidden="false" customHeight="false" outlineLevel="0" collapsed="false">
      <c r="A100" s="34"/>
      <c r="B100" s="34"/>
      <c r="C100" s="35"/>
      <c r="D100" s="34"/>
      <c r="E100" s="34"/>
      <c r="F100" s="34"/>
      <c r="G100" s="36"/>
      <c r="H100" s="35"/>
      <c r="I100" s="34"/>
      <c r="J100" s="34"/>
      <c r="K100" s="34"/>
    </row>
    <row r="101" customFormat="false" ht="15" hidden="false" customHeight="false" outlineLevel="0" collapsed="false">
      <c r="A101" s="37"/>
      <c r="B101" s="37"/>
      <c r="C101" s="38"/>
      <c r="D101" s="37"/>
      <c r="E101" s="37"/>
      <c r="F101" s="37"/>
      <c r="G101" s="39"/>
      <c r="H101" s="38"/>
      <c r="I101" s="37"/>
      <c r="J101" s="37"/>
      <c r="K101" s="37"/>
    </row>
    <row r="102" customFormat="false" ht="15" hidden="false" customHeight="false" outlineLevel="0" collapsed="false">
      <c r="A102" s="34"/>
      <c r="B102" s="34"/>
      <c r="C102" s="35"/>
      <c r="D102" s="34"/>
      <c r="E102" s="34"/>
      <c r="F102" s="34"/>
      <c r="G102" s="36"/>
      <c r="H102" s="35"/>
      <c r="I102" s="34"/>
      <c r="J102" s="34"/>
      <c r="K102" s="34"/>
    </row>
    <row r="103" customFormat="false" ht="15" hidden="false" customHeight="false" outlineLevel="0" collapsed="false">
      <c r="A103" s="37"/>
      <c r="B103" s="37"/>
      <c r="C103" s="38"/>
      <c r="D103" s="37"/>
      <c r="E103" s="37"/>
      <c r="F103" s="37"/>
      <c r="G103" s="39"/>
      <c r="H103" s="38"/>
      <c r="I103" s="37"/>
      <c r="J103" s="37"/>
      <c r="K103" s="37"/>
    </row>
    <row r="104" customFormat="false" ht="15" hidden="false" customHeight="false" outlineLevel="0" collapsed="false">
      <c r="A104" s="34"/>
      <c r="B104" s="34"/>
      <c r="C104" s="35"/>
      <c r="D104" s="34"/>
      <c r="E104" s="34"/>
      <c r="F104" s="34"/>
      <c r="G104" s="36"/>
      <c r="H104" s="35"/>
      <c r="I104" s="34"/>
      <c r="J104" s="34"/>
      <c r="K104" s="34"/>
    </row>
    <row r="105" customFormat="false" ht="15" hidden="false" customHeight="false" outlineLevel="0" collapsed="false">
      <c r="A105" s="37"/>
      <c r="B105" s="37"/>
      <c r="C105" s="38"/>
      <c r="D105" s="37"/>
      <c r="E105" s="37"/>
      <c r="F105" s="37"/>
      <c r="G105" s="39"/>
      <c r="H105" s="38"/>
      <c r="I105" s="37"/>
      <c r="J105" s="37"/>
      <c r="K105" s="37"/>
    </row>
    <row r="106" customFormat="false" ht="15" hidden="false" customHeight="false" outlineLevel="0" collapsed="false">
      <c r="A106" s="34"/>
      <c r="B106" s="34"/>
      <c r="C106" s="35"/>
      <c r="D106" s="34"/>
      <c r="E106" s="34"/>
      <c r="F106" s="34"/>
      <c r="G106" s="36"/>
      <c r="H106" s="35"/>
      <c r="I106" s="34"/>
      <c r="J106" s="34"/>
      <c r="K106" s="34"/>
    </row>
    <row r="107" customFormat="false" ht="15" hidden="false" customHeight="false" outlineLevel="0" collapsed="false">
      <c r="A107" s="37"/>
      <c r="B107" s="37"/>
      <c r="C107" s="38"/>
      <c r="D107" s="37"/>
      <c r="E107" s="37"/>
      <c r="F107" s="37"/>
      <c r="G107" s="39"/>
      <c r="H107" s="38"/>
      <c r="I107" s="37"/>
      <c r="J107" s="37"/>
      <c r="K107" s="37"/>
    </row>
    <row r="108" customFormat="false" ht="15" hidden="false" customHeight="false" outlineLevel="0" collapsed="false">
      <c r="A108" s="34"/>
      <c r="B108" s="34"/>
      <c r="C108" s="35"/>
      <c r="D108" s="34"/>
      <c r="E108" s="34"/>
      <c r="F108" s="34"/>
      <c r="G108" s="36"/>
      <c r="H108" s="35"/>
      <c r="I108" s="34"/>
      <c r="J108" s="34"/>
      <c r="K108" s="34"/>
    </row>
    <row r="109" customFormat="false" ht="15" hidden="false" customHeight="false" outlineLevel="0" collapsed="false">
      <c r="A109" s="37"/>
      <c r="B109" s="37"/>
      <c r="C109" s="38"/>
      <c r="D109" s="37"/>
      <c r="E109" s="37"/>
      <c r="F109" s="37"/>
      <c r="G109" s="39"/>
      <c r="H109" s="38"/>
      <c r="I109" s="37"/>
      <c r="J109" s="37"/>
      <c r="K109" s="37"/>
    </row>
    <row r="110" customFormat="false" ht="15" hidden="false" customHeight="false" outlineLevel="0" collapsed="false">
      <c r="A110" s="34"/>
      <c r="B110" s="34"/>
      <c r="C110" s="35"/>
      <c r="D110" s="34"/>
      <c r="E110" s="34"/>
      <c r="F110" s="34"/>
      <c r="G110" s="36"/>
      <c r="H110" s="35"/>
      <c r="I110" s="34"/>
      <c r="J110" s="34"/>
      <c r="K110" s="34"/>
    </row>
    <row r="111" customFormat="false" ht="15" hidden="false" customHeight="false" outlineLevel="0" collapsed="false">
      <c r="A111" s="37"/>
      <c r="B111" s="37"/>
      <c r="C111" s="38"/>
      <c r="D111" s="37"/>
      <c r="E111" s="37"/>
      <c r="F111" s="37"/>
      <c r="G111" s="39"/>
      <c r="H111" s="38"/>
      <c r="I111" s="37"/>
      <c r="J111" s="37"/>
      <c r="K111" s="37"/>
    </row>
    <row r="112" customFormat="false" ht="15" hidden="false" customHeight="false" outlineLevel="0" collapsed="false">
      <c r="A112" s="34"/>
      <c r="B112" s="34"/>
      <c r="C112" s="35"/>
      <c r="D112" s="34"/>
      <c r="E112" s="34"/>
      <c r="F112" s="34"/>
      <c r="G112" s="36"/>
      <c r="H112" s="35"/>
      <c r="I112" s="34"/>
      <c r="J112" s="34"/>
      <c r="K112" s="34"/>
    </row>
    <row r="113" customFormat="false" ht="15" hidden="false" customHeight="false" outlineLevel="0" collapsed="false">
      <c r="A113" s="37"/>
      <c r="B113" s="37"/>
      <c r="C113" s="38"/>
      <c r="D113" s="37"/>
      <c r="E113" s="37"/>
      <c r="F113" s="37"/>
      <c r="G113" s="39"/>
      <c r="H113" s="38"/>
      <c r="I113" s="37"/>
      <c r="J113" s="37"/>
      <c r="K113" s="37"/>
    </row>
    <row r="114" customFormat="false" ht="15" hidden="false" customHeight="false" outlineLevel="0" collapsed="false">
      <c r="A114" s="34"/>
      <c r="B114" s="34"/>
      <c r="C114" s="35"/>
      <c r="D114" s="34"/>
      <c r="E114" s="34"/>
      <c r="F114" s="34"/>
      <c r="G114" s="36"/>
      <c r="H114" s="35"/>
      <c r="I114" s="34"/>
      <c r="J114" s="34"/>
      <c r="K114" s="34"/>
    </row>
    <row r="115" customFormat="false" ht="15" hidden="false" customHeight="false" outlineLevel="0" collapsed="false">
      <c r="A115" s="37"/>
      <c r="B115" s="37"/>
      <c r="C115" s="38"/>
      <c r="D115" s="37"/>
      <c r="E115" s="37"/>
      <c r="F115" s="37"/>
      <c r="G115" s="39"/>
      <c r="H115" s="38"/>
      <c r="I115" s="37"/>
      <c r="J115" s="37"/>
      <c r="K115" s="37"/>
    </row>
    <row r="116" customFormat="false" ht="15" hidden="false" customHeight="false" outlineLevel="0" collapsed="false">
      <c r="A116" s="34"/>
      <c r="B116" s="34"/>
      <c r="C116" s="35"/>
      <c r="D116" s="34"/>
      <c r="E116" s="34"/>
      <c r="F116" s="34"/>
      <c r="G116" s="36"/>
      <c r="H116" s="35"/>
      <c r="I116" s="34"/>
      <c r="J116" s="34"/>
      <c r="K116" s="34"/>
    </row>
    <row r="117" customFormat="false" ht="15" hidden="false" customHeight="false" outlineLevel="0" collapsed="false">
      <c r="A117" s="37"/>
      <c r="B117" s="37"/>
      <c r="C117" s="38"/>
      <c r="D117" s="37"/>
      <c r="E117" s="37"/>
      <c r="F117" s="37"/>
      <c r="G117" s="39"/>
      <c r="H117" s="38"/>
      <c r="I117" s="37"/>
      <c r="J117" s="37"/>
      <c r="K117" s="37"/>
    </row>
    <row r="118" customFormat="false" ht="15" hidden="false" customHeight="false" outlineLevel="0" collapsed="false">
      <c r="A118" s="34"/>
      <c r="B118" s="34"/>
      <c r="C118" s="35"/>
      <c r="D118" s="34"/>
      <c r="E118" s="34"/>
      <c r="F118" s="34"/>
      <c r="G118" s="36"/>
      <c r="H118" s="35"/>
      <c r="I118" s="34"/>
      <c r="J118" s="34"/>
      <c r="K118" s="34"/>
    </row>
    <row r="119" customFormat="false" ht="15" hidden="false" customHeight="false" outlineLevel="0" collapsed="false">
      <c r="A119" s="37"/>
      <c r="B119" s="37"/>
      <c r="C119" s="38"/>
      <c r="D119" s="37"/>
      <c r="E119" s="37"/>
      <c r="F119" s="37"/>
      <c r="G119" s="39"/>
      <c r="H119" s="38"/>
      <c r="I119" s="37"/>
      <c r="J119" s="37"/>
      <c r="K119" s="37"/>
    </row>
    <row r="120" customFormat="false" ht="15" hidden="false" customHeight="false" outlineLevel="0" collapsed="false">
      <c r="A120" s="34"/>
      <c r="B120" s="34"/>
      <c r="C120" s="35"/>
      <c r="D120" s="34"/>
      <c r="E120" s="34"/>
      <c r="F120" s="34"/>
      <c r="G120" s="36"/>
      <c r="H120" s="35"/>
      <c r="I120" s="34"/>
      <c r="J120" s="34"/>
      <c r="K120" s="34"/>
    </row>
    <row r="121" customFormat="false" ht="15" hidden="false" customHeight="false" outlineLevel="0" collapsed="false">
      <c r="A121" s="37"/>
      <c r="B121" s="37"/>
      <c r="C121" s="38"/>
      <c r="D121" s="37"/>
      <c r="E121" s="37"/>
      <c r="F121" s="37"/>
      <c r="G121" s="39"/>
      <c r="H121" s="38"/>
      <c r="I121" s="37"/>
      <c r="J121" s="37"/>
      <c r="K121" s="37"/>
    </row>
    <row r="122" customFormat="false" ht="15" hidden="false" customHeight="false" outlineLevel="0" collapsed="false">
      <c r="A122" s="34"/>
      <c r="B122" s="34"/>
      <c r="C122" s="35"/>
      <c r="D122" s="34"/>
      <c r="E122" s="34"/>
      <c r="F122" s="34"/>
      <c r="G122" s="36"/>
      <c r="H122" s="35"/>
      <c r="I122" s="34"/>
      <c r="J122" s="34"/>
      <c r="K122" s="34"/>
    </row>
    <row r="123" customFormat="false" ht="15" hidden="false" customHeight="false" outlineLevel="0" collapsed="false">
      <c r="A123" s="37"/>
      <c r="B123" s="37"/>
      <c r="C123" s="38"/>
      <c r="D123" s="37"/>
      <c r="E123" s="37"/>
      <c r="F123" s="37"/>
      <c r="G123" s="39"/>
      <c r="H123" s="38"/>
      <c r="I123" s="37"/>
      <c r="J123" s="37"/>
      <c r="K123" s="37"/>
    </row>
    <row r="124" customFormat="false" ht="15" hidden="false" customHeight="false" outlineLevel="0" collapsed="false">
      <c r="A124" s="34"/>
      <c r="B124" s="34"/>
      <c r="C124" s="35"/>
      <c r="D124" s="34"/>
      <c r="E124" s="34"/>
      <c r="F124" s="34"/>
      <c r="G124" s="36"/>
      <c r="H124" s="35"/>
      <c r="I124" s="34"/>
      <c r="J124" s="34"/>
      <c r="K124" s="34"/>
    </row>
    <row r="125" customFormat="false" ht="15" hidden="false" customHeight="false" outlineLevel="0" collapsed="false">
      <c r="A125" s="37"/>
      <c r="B125" s="37"/>
      <c r="C125" s="38"/>
      <c r="D125" s="37"/>
      <c r="E125" s="37"/>
      <c r="F125" s="37"/>
      <c r="G125" s="39"/>
      <c r="H125" s="38"/>
      <c r="I125" s="37"/>
      <c r="J125" s="37"/>
      <c r="K125" s="37"/>
    </row>
    <row r="126" customFormat="false" ht="15" hidden="false" customHeight="false" outlineLevel="0" collapsed="false">
      <c r="A126" s="34"/>
      <c r="B126" s="34"/>
      <c r="C126" s="35"/>
      <c r="D126" s="34"/>
      <c r="E126" s="34"/>
      <c r="F126" s="34"/>
      <c r="G126" s="36"/>
      <c r="H126" s="35"/>
      <c r="I126" s="34"/>
      <c r="J126" s="34"/>
      <c r="K126" s="34"/>
    </row>
    <row r="127" customFormat="false" ht="15" hidden="false" customHeight="false" outlineLevel="0" collapsed="false">
      <c r="A127" s="37"/>
      <c r="B127" s="37"/>
      <c r="C127" s="38"/>
      <c r="D127" s="37"/>
      <c r="E127" s="37"/>
      <c r="F127" s="37"/>
      <c r="G127" s="39"/>
      <c r="H127" s="38"/>
      <c r="I127" s="37"/>
      <c r="J127" s="37"/>
      <c r="K127" s="37"/>
    </row>
    <row r="128" customFormat="false" ht="15" hidden="false" customHeight="false" outlineLevel="0" collapsed="false">
      <c r="A128" s="34"/>
      <c r="B128" s="34"/>
      <c r="C128" s="35"/>
      <c r="D128" s="34"/>
      <c r="E128" s="34"/>
      <c r="F128" s="34"/>
      <c r="G128" s="36"/>
      <c r="H128" s="35"/>
      <c r="I128" s="34"/>
      <c r="J128" s="34"/>
      <c r="K128" s="34"/>
    </row>
    <row r="129" customFormat="false" ht="15" hidden="false" customHeight="false" outlineLevel="0" collapsed="false">
      <c r="A129" s="37"/>
      <c r="B129" s="37"/>
      <c r="C129" s="38"/>
      <c r="D129" s="37"/>
      <c r="E129" s="37"/>
      <c r="F129" s="37"/>
      <c r="G129" s="39"/>
      <c r="H129" s="38"/>
      <c r="I129" s="37"/>
      <c r="J129" s="37"/>
      <c r="K129" s="37"/>
    </row>
    <row r="130" customFormat="false" ht="15" hidden="false" customHeight="false" outlineLevel="0" collapsed="false">
      <c r="A130" s="34"/>
      <c r="B130" s="34"/>
      <c r="C130" s="35"/>
      <c r="D130" s="34"/>
      <c r="E130" s="34"/>
      <c r="F130" s="34"/>
      <c r="G130" s="36"/>
      <c r="H130" s="35"/>
      <c r="I130" s="34"/>
      <c r="J130" s="34"/>
      <c r="K130" s="34"/>
    </row>
    <row r="131" customFormat="false" ht="15" hidden="false" customHeight="false" outlineLevel="0" collapsed="false">
      <c r="A131" s="37"/>
      <c r="B131" s="37"/>
      <c r="C131" s="38"/>
      <c r="D131" s="37"/>
      <c r="E131" s="37"/>
      <c r="F131" s="37"/>
      <c r="G131" s="39"/>
      <c r="H131" s="38"/>
      <c r="I131" s="37"/>
      <c r="J131" s="37"/>
      <c r="K131" s="37"/>
    </row>
    <row r="132" customFormat="false" ht="15" hidden="false" customHeight="false" outlineLevel="0" collapsed="false">
      <c r="A132" s="34"/>
      <c r="B132" s="34"/>
      <c r="C132" s="35"/>
      <c r="D132" s="34"/>
      <c r="E132" s="34"/>
      <c r="F132" s="34"/>
      <c r="G132" s="36"/>
      <c r="H132" s="35"/>
      <c r="I132" s="34"/>
      <c r="J132" s="34"/>
      <c r="K132" s="34"/>
    </row>
    <row r="133" customFormat="false" ht="15" hidden="false" customHeight="false" outlineLevel="0" collapsed="false">
      <c r="A133" s="37"/>
      <c r="B133" s="37"/>
      <c r="C133" s="38"/>
      <c r="D133" s="37"/>
      <c r="E133" s="37"/>
      <c r="F133" s="37"/>
      <c r="G133" s="39"/>
      <c r="H133" s="38"/>
      <c r="I133" s="37"/>
      <c r="J133" s="37"/>
      <c r="K133" s="37"/>
    </row>
    <row r="134" customFormat="false" ht="15" hidden="false" customHeight="false" outlineLevel="0" collapsed="false">
      <c r="A134" s="34"/>
      <c r="B134" s="34"/>
      <c r="C134" s="35"/>
      <c r="D134" s="34"/>
      <c r="E134" s="34"/>
      <c r="F134" s="34"/>
      <c r="G134" s="36"/>
      <c r="H134" s="35"/>
      <c r="I134" s="34"/>
      <c r="J134" s="34"/>
      <c r="K134" s="34"/>
    </row>
    <row r="135" customFormat="false" ht="15" hidden="false" customHeight="false" outlineLevel="0" collapsed="false">
      <c r="A135" s="37"/>
      <c r="B135" s="37"/>
      <c r="C135" s="38"/>
      <c r="D135" s="37"/>
      <c r="E135" s="37"/>
      <c r="F135" s="37"/>
      <c r="G135" s="39"/>
      <c r="H135" s="38"/>
      <c r="I135" s="37"/>
      <c r="J135" s="37"/>
      <c r="K135" s="37"/>
    </row>
    <row r="136" customFormat="false" ht="15" hidden="false" customHeight="false" outlineLevel="0" collapsed="false">
      <c r="A136" s="34"/>
      <c r="B136" s="34"/>
      <c r="C136" s="35"/>
      <c r="D136" s="34"/>
      <c r="E136" s="34"/>
      <c r="F136" s="34"/>
      <c r="G136" s="36"/>
      <c r="H136" s="35"/>
      <c r="I136" s="34"/>
      <c r="J136" s="34"/>
      <c r="K136" s="34"/>
    </row>
    <row r="137" customFormat="false" ht="15" hidden="false" customHeight="false" outlineLevel="0" collapsed="false">
      <c r="A137" s="37"/>
      <c r="B137" s="37"/>
      <c r="C137" s="38"/>
      <c r="D137" s="37"/>
      <c r="E137" s="37"/>
      <c r="F137" s="37"/>
      <c r="G137" s="39"/>
      <c r="H137" s="38"/>
      <c r="I137" s="37"/>
      <c r="J137" s="37"/>
      <c r="K137" s="37"/>
    </row>
    <row r="138" customFormat="false" ht="15" hidden="false" customHeight="false" outlineLevel="0" collapsed="false">
      <c r="A138" s="34"/>
      <c r="B138" s="34"/>
      <c r="C138" s="35"/>
      <c r="D138" s="34"/>
      <c r="E138" s="34"/>
      <c r="F138" s="34"/>
      <c r="G138" s="36"/>
      <c r="H138" s="35"/>
      <c r="I138" s="34"/>
      <c r="J138" s="34"/>
      <c r="K138" s="34"/>
    </row>
    <row r="139" customFormat="false" ht="15" hidden="false" customHeight="false" outlineLevel="0" collapsed="false">
      <c r="A139" s="37"/>
      <c r="B139" s="37"/>
      <c r="C139" s="38"/>
      <c r="D139" s="37"/>
      <c r="E139" s="37"/>
      <c r="F139" s="37"/>
      <c r="G139" s="39"/>
      <c r="H139" s="38"/>
      <c r="I139" s="37"/>
      <c r="J139" s="37"/>
      <c r="K139" s="37"/>
    </row>
    <row r="140" customFormat="false" ht="15" hidden="false" customHeight="false" outlineLevel="0" collapsed="false">
      <c r="A140" s="34"/>
      <c r="B140" s="34"/>
      <c r="C140" s="35"/>
      <c r="D140" s="34"/>
      <c r="E140" s="34"/>
      <c r="F140" s="34"/>
      <c r="G140" s="36"/>
      <c r="H140" s="35"/>
      <c r="I140" s="34"/>
      <c r="J140" s="34"/>
      <c r="K140" s="34"/>
    </row>
    <row r="141" customFormat="false" ht="15" hidden="false" customHeight="false" outlineLevel="0" collapsed="false">
      <c r="A141" s="37"/>
      <c r="B141" s="37"/>
      <c r="C141" s="38"/>
      <c r="D141" s="37"/>
      <c r="E141" s="37"/>
      <c r="F141" s="37"/>
      <c r="G141" s="39"/>
      <c r="H141" s="38"/>
      <c r="I141" s="37"/>
      <c r="J141" s="37"/>
      <c r="K141" s="37"/>
    </row>
    <row r="142" customFormat="false" ht="15" hidden="false" customHeight="false" outlineLevel="0" collapsed="false">
      <c r="A142" s="34"/>
      <c r="B142" s="34"/>
      <c r="C142" s="35"/>
      <c r="D142" s="34"/>
      <c r="E142" s="34"/>
      <c r="F142" s="34"/>
      <c r="G142" s="36"/>
      <c r="H142" s="35"/>
      <c r="I142" s="34"/>
      <c r="J142" s="34"/>
      <c r="K142" s="34"/>
    </row>
    <row r="143" customFormat="false" ht="15" hidden="false" customHeight="false" outlineLevel="0" collapsed="false">
      <c r="A143" s="37"/>
      <c r="B143" s="37"/>
      <c r="C143" s="38"/>
      <c r="D143" s="37"/>
      <c r="E143" s="37"/>
      <c r="F143" s="37"/>
      <c r="G143" s="39"/>
      <c r="H143" s="38"/>
      <c r="I143" s="37"/>
      <c r="J143" s="37"/>
      <c r="K143" s="37"/>
    </row>
    <row r="144" customFormat="false" ht="15" hidden="false" customHeight="false" outlineLevel="0" collapsed="false">
      <c r="A144" s="34"/>
      <c r="B144" s="34"/>
      <c r="C144" s="35"/>
      <c r="D144" s="34"/>
      <c r="E144" s="34"/>
      <c r="F144" s="34"/>
      <c r="G144" s="36"/>
      <c r="H144" s="35"/>
      <c r="I144" s="34"/>
      <c r="J144" s="34"/>
      <c r="K144" s="34"/>
    </row>
    <row r="145" customFormat="false" ht="15" hidden="false" customHeight="false" outlineLevel="0" collapsed="false">
      <c r="A145" s="37"/>
      <c r="B145" s="37"/>
      <c r="C145" s="38"/>
      <c r="D145" s="37"/>
      <c r="E145" s="37"/>
      <c r="F145" s="37"/>
      <c r="G145" s="39"/>
      <c r="H145" s="38"/>
      <c r="I145" s="37"/>
      <c r="J145" s="37"/>
      <c r="K145" s="37"/>
    </row>
    <row r="146" customFormat="false" ht="15" hidden="false" customHeight="false" outlineLevel="0" collapsed="false">
      <c r="A146" s="34"/>
      <c r="B146" s="34"/>
      <c r="C146" s="35"/>
      <c r="D146" s="34"/>
      <c r="E146" s="34"/>
      <c r="F146" s="34"/>
      <c r="G146" s="36"/>
      <c r="H146" s="35"/>
      <c r="I146" s="34"/>
      <c r="J146" s="34"/>
      <c r="K146" s="34"/>
    </row>
    <row r="147" customFormat="false" ht="15" hidden="false" customHeight="false" outlineLevel="0" collapsed="false">
      <c r="A147" s="37"/>
      <c r="B147" s="37"/>
      <c r="C147" s="38"/>
      <c r="D147" s="37"/>
      <c r="E147" s="37"/>
      <c r="F147" s="37"/>
      <c r="G147" s="39"/>
      <c r="H147" s="38"/>
      <c r="I147" s="37"/>
      <c r="J147" s="37"/>
      <c r="K147" s="37"/>
    </row>
    <row r="148" customFormat="false" ht="15" hidden="false" customHeight="false" outlineLevel="0" collapsed="false">
      <c r="A148" s="34"/>
      <c r="B148" s="34"/>
      <c r="C148" s="35"/>
      <c r="D148" s="34"/>
      <c r="E148" s="34"/>
      <c r="F148" s="34"/>
      <c r="G148" s="36"/>
      <c r="H148" s="35"/>
      <c r="I148" s="34"/>
      <c r="J148" s="34"/>
      <c r="K148" s="34"/>
    </row>
    <row r="149" customFormat="false" ht="15" hidden="false" customHeight="false" outlineLevel="0" collapsed="false">
      <c r="A149" s="37"/>
      <c r="B149" s="37"/>
      <c r="C149" s="38"/>
      <c r="D149" s="37"/>
      <c r="E149" s="37"/>
      <c r="F149" s="37"/>
      <c r="G149" s="39"/>
      <c r="H149" s="38"/>
      <c r="I149" s="37"/>
      <c r="J149" s="37"/>
      <c r="K149" s="37"/>
    </row>
    <row r="150" customFormat="false" ht="15" hidden="false" customHeight="false" outlineLevel="0" collapsed="false">
      <c r="A150" s="34"/>
      <c r="B150" s="34"/>
      <c r="C150" s="35"/>
      <c r="D150" s="34"/>
      <c r="E150" s="34"/>
      <c r="F150" s="34"/>
      <c r="G150" s="36"/>
      <c r="H150" s="35"/>
      <c r="I150" s="34"/>
      <c r="J150" s="34"/>
      <c r="K150" s="34"/>
    </row>
    <row r="151" customFormat="false" ht="15" hidden="false" customHeight="false" outlineLevel="0" collapsed="false">
      <c r="A151" s="37"/>
      <c r="B151" s="37"/>
      <c r="C151" s="38"/>
      <c r="D151" s="37"/>
      <c r="E151" s="37"/>
      <c r="F151" s="37"/>
      <c r="G151" s="39"/>
      <c r="H151" s="38"/>
      <c r="I151" s="37"/>
      <c r="J151" s="37"/>
      <c r="K151" s="37"/>
    </row>
    <row r="152" customFormat="false" ht="15" hidden="false" customHeight="false" outlineLevel="0" collapsed="false">
      <c r="A152" s="34"/>
      <c r="B152" s="34"/>
      <c r="C152" s="35"/>
      <c r="D152" s="34"/>
      <c r="E152" s="34"/>
      <c r="F152" s="34"/>
      <c r="G152" s="36"/>
      <c r="H152" s="35"/>
      <c r="I152" s="34"/>
      <c r="J152" s="34"/>
      <c r="K152" s="34"/>
    </row>
    <row r="153" customFormat="false" ht="15" hidden="false" customHeight="false" outlineLevel="0" collapsed="false">
      <c r="A153" s="37"/>
      <c r="B153" s="37"/>
      <c r="C153" s="38"/>
      <c r="D153" s="37"/>
      <c r="E153" s="37"/>
      <c r="F153" s="37"/>
      <c r="G153" s="39"/>
      <c r="H153" s="38"/>
      <c r="I153" s="37"/>
      <c r="J153" s="37"/>
      <c r="K153" s="37"/>
    </row>
    <row r="154" customFormat="false" ht="15" hidden="false" customHeight="false" outlineLevel="0" collapsed="false">
      <c r="A154" s="34"/>
      <c r="B154" s="34"/>
      <c r="C154" s="35"/>
      <c r="D154" s="34"/>
      <c r="E154" s="34"/>
      <c r="F154" s="34"/>
      <c r="G154" s="36"/>
      <c r="H154" s="35"/>
      <c r="I154" s="34"/>
      <c r="J154" s="34"/>
      <c r="K154" s="34"/>
    </row>
    <row r="155" customFormat="false" ht="15" hidden="false" customHeight="false" outlineLevel="0" collapsed="false">
      <c r="A155" s="37"/>
      <c r="B155" s="37"/>
      <c r="C155" s="38"/>
      <c r="D155" s="37"/>
      <c r="E155" s="37"/>
      <c r="F155" s="37"/>
      <c r="G155" s="39"/>
      <c r="H155" s="38"/>
      <c r="I155" s="37"/>
      <c r="J155" s="37"/>
      <c r="K155" s="37"/>
    </row>
    <row r="156" customFormat="false" ht="15" hidden="false" customHeight="false" outlineLevel="0" collapsed="false">
      <c r="A156" s="34"/>
      <c r="B156" s="34"/>
      <c r="C156" s="35"/>
      <c r="D156" s="34"/>
      <c r="E156" s="34"/>
      <c r="F156" s="34"/>
      <c r="G156" s="36"/>
      <c r="H156" s="35"/>
      <c r="I156" s="34"/>
      <c r="J156" s="34"/>
      <c r="K156" s="34"/>
    </row>
    <row r="157" customFormat="false" ht="15" hidden="false" customHeight="false" outlineLevel="0" collapsed="false">
      <c r="A157" s="37"/>
      <c r="B157" s="37"/>
      <c r="C157" s="38"/>
      <c r="D157" s="37"/>
      <c r="E157" s="37"/>
      <c r="F157" s="37"/>
      <c r="G157" s="39"/>
      <c r="H157" s="38"/>
      <c r="I157" s="37"/>
      <c r="J157" s="37"/>
      <c r="K157" s="37"/>
    </row>
    <row r="158" customFormat="false" ht="15" hidden="false" customHeight="false" outlineLevel="0" collapsed="false">
      <c r="A158" s="34"/>
      <c r="B158" s="34"/>
      <c r="C158" s="35"/>
      <c r="D158" s="34"/>
      <c r="E158" s="34"/>
      <c r="F158" s="34"/>
      <c r="G158" s="36"/>
      <c r="H158" s="35"/>
      <c r="I158" s="34"/>
      <c r="J158" s="34"/>
      <c r="K158" s="34"/>
    </row>
    <row r="159" customFormat="false" ht="15" hidden="false" customHeight="false" outlineLevel="0" collapsed="false">
      <c r="A159" s="37"/>
      <c r="B159" s="37"/>
      <c r="C159" s="38"/>
      <c r="D159" s="37"/>
      <c r="E159" s="37"/>
      <c r="F159" s="37"/>
      <c r="G159" s="39"/>
      <c r="H159" s="38"/>
      <c r="I159" s="37"/>
      <c r="J159" s="37"/>
      <c r="K159" s="37"/>
    </row>
    <row r="160" customFormat="false" ht="15" hidden="false" customHeight="false" outlineLevel="0" collapsed="false">
      <c r="A160" s="34"/>
      <c r="B160" s="34"/>
      <c r="C160" s="35"/>
      <c r="D160" s="34"/>
      <c r="E160" s="34"/>
      <c r="F160" s="34"/>
      <c r="G160" s="36"/>
      <c r="H160" s="35"/>
      <c r="I160" s="34"/>
      <c r="J160" s="34"/>
      <c r="K160" s="34"/>
    </row>
    <row r="161" customFormat="false" ht="15" hidden="false" customHeight="false" outlineLevel="0" collapsed="false">
      <c r="A161" s="37"/>
      <c r="B161" s="37"/>
      <c r="C161" s="38"/>
      <c r="D161" s="37"/>
      <c r="E161" s="37"/>
      <c r="F161" s="37"/>
      <c r="G161" s="39"/>
      <c r="H161" s="38"/>
      <c r="I161" s="37"/>
      <c r="J161" s="37"/>
      <c r="K161" s="37"/>
    </row>
    <row r="162" customFormat="false" ht="15" hidden="false" customHeight="false" outlineLevel="0" collapsed="false">
      <c r="A162" s="34"/>
      <c r="B162" s="34"/>
      <c r="C162" s="35"/>
      <c r="D162" s="34"/>
      <c r="E162" s="34"/>
      <c r="F162" s="34"/>
      <c r="G162" s="36"/>
      <c r="H162" s="35"/>
      <c r="I162" s="34"/>
      <c r="J162" s="34"/>
      <c r="K162" s="34"/>
    </row>
    <row r="163" customFormat="false" ht="15" hidden="false" customHeight="false" outlineLevel="0" collapsed="false">
      <c r="A163" s="37"/>
      <c r="B163" s="37"/>
      <c r="C163" s="38"/>
      <c r="D163" s="37"/>
      <c r="E163" s="37"/>
      <c r="F163" s="37"/>
      <c r="G163" s="39"/>
      <c r="H163" s="38"/>
      <c r="I163" s="37"/>
      <c r="J163" s="37"/>
      <c r="K163" s="37"/>
    </row>
    <row r="164" customFormat="false" ht="15" hidden="false" customHeight="false" outlineLevel="0" collapsed="false">
      <c r="A164" s="34"/>
      <c r="B164" s="34"/>
      <c r="C164" s="35"/>
      <c r="D164" s="34"/>
      <c r="E164" s="34"/>
      <c r="F164" s="34"/>
      <c r="G164" s="36"/>
      <c r="H164" s="35"/>
      <c r="I164" s="34"/>
      <c r="J164" s="34"/>
      <c r="K164" s="34"/>
    </row>
    <row r="165" customFormat="false" ht="15" hidden="false" customHeight="false" outlineLevel="0" collapsed="false">
      <c r="A165" s="37"/>
      <c r="B165" s="37"/>
      <c r="C165" s="38"/>
      <c r="D165" s="37"/>
      <c r="E165" s="37"/>
      <c r="F165" s="37"/>
      <c r="G165" s="39"/>
      <c r="H165" s="38"/>
      <c r="I165" s="37"/>
      <c r="J165" s="37"/>
      <c r="K165" s="37"/>
    </row>
    <row r="166" customFormat="false" ht="15" hidden="false" customHeight="false" outlineLevel="0" collapsed="false">
      <c r="A166" s="34"/>
      <c r="B166" s="34"/>
      <c r="C166" s="35"/>
      <c r="D166" s="34"/>
      <c r="E166" s="34"/>
      <c r="F166" s="34"/>
      <c r="G166" s="36"/>
      <c r="H166" s="35"/>
      <c r="I166" s="34"/>
      <c r="J166" s="34"/>
      <c r="K166" s="34"/>
    </row>
    <row r="167" customFormat="false" ht="15" hidden="false" customHeight="false" outlineLevel="0" collapsed="false">
      <c r="A167" s="37"/>
      <c r="B167" s="37"/>
      <c r="C167" s="38"/>
      <c r="D167" s="37"/>
      <c r="E167" s="37"/>
      <c r="F167" s="37"/>
      <c r="G167" s="39"/>
      <c r="H167" s="38"/>
      <c r="I167" s="37"/>
      <c r="J167" s="37"/>
      <c r="K167" s="37"/>
    </row>
    <row r="168" customFormat="false" ht="15" hidden="false" customHeight="false" outlineLevel="0" collapsed="false">
      <c r="A168" s="34"/>
      <c r="B168" s="34"/>
      <c r="C168" s="35"/>
      <c r="D168" s="34"/>
      <c r="E168" s="34"/>
      <c r="F168" s="34"/>
      <c r="G168" s="36"/>
      <c r="H168" s="35"/>
      <c r="I168" s="34"/>
      <c r="J168" s="34"/>
      <c r="K168" s="34"/>
    </row>
    <row r="169" customFormat="false" ht="15" hidden="false" customHeight="false" outlineLevel="0" collapsed="false">
      <c r="A169" s="37"/>
      <c r="B169" s="37"/>
      <c r="C169" s="38"/>
      <c r="D169" s="37"/>
      <c r="E169" s="37"/>
      <c r="F169" s="37"/>
      <c r="G169" s="39"/>
      <c r="H169" s="38"/>
      <c r="I169" s="37"/>
      <c r="J169" s="37"/>
      <c r="K169" s="37"/>
    </row>
    <row r="170" customFormat="false" ht="15" hidden="false" customHeight="false" outlineLevel="0" collapsed="false">
      <c r="A170" s="34"/>
      <c r="B170" s="34"/>
      <c r="C170" s="35"/>
      <c r="D170" s="34"/>
      <c r="E170" s="34"/>
      <c r="F170" s="34"/>
      <c r="G170" s="36"/>
      <c r="H170" s="35"/>
      <c r="I170" s="34"/>
      <c r="J170" s="34"/>
      <c r="K170" s="34"/>
    </row>
    <row r="171" customFormat="false" ht="15" hidden="false" customHeight="false" outlineLevel="0" collapsed="false">
      <c r="A171" s="37"/>
      <c r="B171" s="37"/>
      <c r="C171" s="38"/>
      <c r="D171" s="37"/>
      <c r="E171" s="37"/>
      <c r="F171" s="37"/>
      <c r="G171" s="39"/>
      <c r="H171" s="38"/>
      <c r="I171" s="37"/>
      <c r="J171" s="37"/>
      <c r="K171" s="37"/>
    </row>
    <row r="172" customFormat="false" ht="15" hidden="false" customHeight="false" outlineLevel="0" collapsed="false">
      <c r="A172" s="34"/>
      <c r="B172" s="34"/>
      <c r="C172" s="35"/>
      <c r="D172" s="34"/>
      <c r="E172" s="34"/>
      <c r="F172" s="34"/>
      <c r="G172" s="36"/>
      <c r="H172" s="35"/>
      <c r="I172" s="34"/>
      <c r="J172" s="34"/>
      <c r="K172" s="34"/>
    </row>
    <row r="173" customFormat="false" ht="15" hidden="false" customHeight="false" outlineLevel="0" collapsed="false">
      <c r="A173" s="37"/>
      <c r="B173" s="37"/>
      <c r="C173" s="38"/>
      <c r="D173" s="37"/>
      <c r="E173" s="37"/>
      <c r="F173" s="37"/>
      <c r="G173" s="39"/>
      <c r="H173" s="38"/>
      <c r="I173" s="37"/>
      <c r="J173" s="37"/>
      <c r="K173" s="37"/>
    </row>
    <row r="174" customFormat="false" ht="15" hidden="false" customHeight="false" outlineLevel="0" collapsed="false">
      <c r="A174" s="34"/>
      <c r="B174" s="34"/>
      <c r="C174" s="35"/>
      <c r="D174" s="34"/>
      <c r="E174" s="34"/>
      <c r="F174" s="34"/>
      <c r="G174" s="36"/>
      <c r="H174" s="35"/>
      <c r="I174" s="34"/>
      <c r="J174" s="34"/>
      <c r="K174" s="34"/>
    </row>
    <row r="175" customFormat="false" ht="15" hidden="false" customHeight="false" outlineLevel="0" collapsed="false">
      <c r="A175" s="37"/>
      <c r="B175" s="37"/>
      <c r="C175" s="38"/>
      <c r="D175" s="37"/>
      <c r="E175" s="37"/>
      <c r="F175" s="37"/>
      <c r="G175" s="39"/>
      <c r="H175" s="38"/>
      <c r="I175" s="37"/>
      <c r="J175" s="37"/>
      <c r="K175" s="37"/>
    </row>
    <row r="176" customFormat="false" ht="15" hidden="false" customHeight="false" outlineLevel="0" collapsed="false">
      <c r="A176" s="34"/>
      <c r="B176" s="34"/>
      <c r="C176" s="35"/>
      <c r="D176" s="34"/>
      <c r="E176" s="34"/>
      <c r="F176" s="34"/>
      <c r="G176" s="36"/>
      <c r="H176" s="35"/>
      <c r="I176" s="34"/>
      <c r="J176" s="34"/>
      <c r="K176" s="34"/>
    </row>
    <row r="177" customFormat="false" ht="15" hidden="false" customHeight="false" outlineLevel="0" collapsed="false">
      <c r="A177" s="37"/>
      <c r="B177" s="37"/>
      <c r="C177" s="38"/>
      <c r="D177" s="37"/>
      <c r="E177" s="37"/>
      <c r="F177" s="37"/>
      <c r="G177" s="39"/>
      <c r="H177" s="38"/>
      <c r="I177" s="37"/>
      <c r="J177" s="37"/>
      <c r="K177" s="37"/>
    </row>
    <row r="178" customFormat="false" ht="15" hidden="false" customHeight="false" outlineLevel="0" collapsed="false">
      <c r="A178" s="34"/>
      <c r="B178" s="34"/>
      <c r="C178" s="35"/>
      <c r="D178" s="34"/>
      <c r="E178" s="34"/>
      <c r="F178" s="34"/>
      <c r="G178" s="36"/>
      <c r="H178" s="35"/>
      <c r="I178" s="34"/>
      <c r="J178" s="34"/>
      <c r="K178" s="34"/>
    </row>
    <row r="179" customFormat="false" ht="15" hidden="false" customHeight="false" outlineLevel="0" collapsed="false">
      <c r="A179" s="37"/>
      <c r="B179" s="37"/>
      <c r="C179" s="38"/>
      <c r="D179" s="37"/>
      <c r="E179" s="37"/>
      <c r="F179" s="37"/>
      <c r="G179" s="39"/>
      <c r="H179" s="38"/>
      <c r="I179" s="37"/>
      <c r="J179" s="37"/>
      <c r="K179" s="37"/>
    </row>
    <row r="180" customFormat="false" ht="15" hidden="false" customHeight="false" outlineLevel="0" collapsed="false">
      <c r="A180" s="34"/>
      <c r="B180" s="34"/>
      <c r="C180" s="35"/>
      <c r="D180" s="34"/>
      <c r="E180" s="34"/>
      <c r="F180" s="34"/>
      <c r="G180" s="36"/>
      <c r="H180" s="35"/>
      <c r="I180" s="34"/>
      <c r="J180" s="34"/>
      <c r="K180" s="34"/>
    </row>
    <row r="181" customFormat="false" ht="15" hidden="false" customHeight="false" outlineLevel="0" collapsed="false">
      <c r="A181" s="37"/>
      <c r="B181" s="37"/>
      <c r="C181" s="38"/>
      <c r="D181" s="37"/>
      <c r="E181" s="37"/>
      <c r="F181" s="37"/>
      <c r="G181" s="39"/>
      <c r="H181" s="38"/>
      <c r="I181" s="37"/>
      <c r="J181" s="37"/>
      <c r="K181" s="37"/>
    </row>
    <row r="182" customFormat="false" ht="15" hidden="false" customHeight="false" outlineLevel="0" collapsed="false">
      <c r="A182" s="34"/>
      <c r="B182" s="34"/>
      <c r="C182" s="35"/>
      <c r="D182" s="34"/>
      <c r="E182" s="34"/>
      <c r="F182" s="34"/>
      <c r="G182" s="36"/>
      <c r="H182" s="35"/>
      <c r="I182" s="34"/>
      <c r="J182" s="34"/>
      <c r="K182" s="34"/>
    </row>
    <row r="183" customFormat="false" ht="15" hidden="false" customHeight="false" outlineLevel="0" collapsed="false">
      <c r="A183" s="37"/>
      <c r="B183" s="37"/>
      <c r="C183" s="38"/>
      <c r="D183" s="37"/>
      <c r="E183" s="37"/>
      <c r="F183" s="37"/>
      <c r="G183" s="39"/>
      <c r="H183" s="38"/>
      <c r="I183" s="37"/>
      <c r="J183" s="37"/>
      <c r="K183" s="37"/>
    </row>
    <row r="184" customFormat="false" ht="15" hidden="false" customHeight="false" outlineLevel="0" collapsed="false">
      <c r="A184" s="34"/>
      <c r="B184" s="34"/>
      <c r="C184" s="35"/>
      <c r="D184" s="34"/>
      <c r="E184" s="34"/>
      <c r="F184" s="34"/>
      <c r="G184" s="36"/>
      <c r="H184" s="35"/>
      <c r="I184" s="34"/>
      <c r="J184" s="34"/>
      <c r="K184" s="34"/>
    </row>
    <row r="185" customFormat="false" ht="15" hidden="false" customHeight="false" outlineLevel="0" collapsed="false">
      <c r="A185" s="37"/>
      <c r="B185" s="37"/>
      <c r="C185" s="38"/>
      <c r="D185" s="37"/>
      <c r="E185" s="37"/>
      <c r="F185" s="37"/>
      <c r="G185" s="39"/>
      <c r="H185" s="38"/>
      <c r="I185" s="37"/>
      <c r="J185" s="37"/>
      <c r="K185" s="37"/>
    </row>
    <row r="186" customFormat="false" ht="15" hidden="false" customHeight="false" outlineLevel="0" collapsed="false">
      <c r="A186" s="34"/>
      <c r="B186" s="34"/>
      <c r="C186" s="35"/>
      <c r="D186" s="34"/>
      <c r="E186" s="34"/>
      <c r="F186" s="34"/>
      <c r="G186" s="36"/>
      <c r="H186" s="35"/>
      <c r="I186" s="34"/>
      <c r="J186" s="34"/>
      <c r="K186" s="34"/>
    </row>
    <row r="187" customFormat="false" ht="15" hidden="false" customHeight="false" outlineLevel="0" collapsed="false">
      <c r="A187" s="37"/>
      <c r="B187" s="37"/>
      <c r="C187" s="38"/>
      <c r="D187" s="37"/>
      <c r="E187" s="37"/>
      <c r="F187" s="37"/>
      <c r="G187" s="39"/>
      <c r="H187" s="38"/>
      <c r="I187" s="37"/>
      <c r="J187" s="37"/>
      <c r="K187" s="37"/>
    </row>
    <row r="188" customFormat="false" ht="15" hidden="false" customHeight="false" outlineLevel="0" collapsed="false">
      <c r="A188" s="34"/>
      <c r="B188" s="34"/>
      <c r="C188" s="35"/>
      <c r="D188" s="34"/>
      <c r="E188" s="34"/>
      <c r="F188" s="34"/>
      <c r="G188" s="36"/>
      <c r="H188" s="35"/>
      <c r="I188" s="34"/>
      <c r="J188" s="34"/>
      <c r="K188" s="34"/>
    </row>
    <row r="189" customFormat="false" ht="15" hidden="false" customHeight="false" outlineLevel="0" collapsed="false">
      <c r="A189" s="37"/>
      <c r="B189" s="37"/>
      <c r="C189" s="38"/>
      <c r="D189" s="37"/>
      <c r="E189" s="37"/>
      <c r="F189" s="37"/>
      <c r="G189" s="39"/>
      <c r="H189" s="38"/>
      <c r="I189" s="37"/>
      <c r="J189" s="37"/>
      <c r="K189" s="37"/>
    </row>
    <row r="190" customFormat="false" ht="15" hidden="false" customHeight="false" outlineLevel="0" collapsed="false">
      <c r="A190" s="34"/>
      <c r="B190" s="34"/>
      <c r="C190" s="35"/>
      <c r="D190" s="34"/>
      <c r="E190" s="34"/>
      <c r="F190" s="34"/>
      <c r="G190" s="36"/>
      <c r="H190" s="35"/>
      <c r="I190" s="34"/>
      <c r="J190" s="34"/>
      <c r="K190" s="34"/>
    </row>
    <row r="191" customFormat="false" ht="15" hidden="false" customHeight="false" outlineLevel="0" collapsed="false">
      <c r="A191" s="37"/>
      <c r="B191" s="37"/>
      <c r="C191" s="38"/>
      <c r="D191" s="37"/>
      <c r="E191" s="37"/>
      <c r="F191" s="37"/>
      <c r="G191" s="39"/>
      <c r="H191" s="38"/>
      <c r="I191" s="37"/>
      <c r="J191" s="37"/>
      <c r="K191" s="37"/>
    </row>
    <row r="192" customFormat="false" ht="15" hidden="false" customHeight="false" outlineLevel="0" collapsed="false">
      <c r="A192" s="34"/>
      <c r="B192" s="34"/>
      <c r="C192" s="35"/>
      <c r="D192" s="34"/>
      <c r="E192" s="34"/>
      <c r="F192" s="34"/>
      <c r="G192" s="36"/>
      <c r="H192" s="35"/>
      <c r="I192" s="34"/>
      <c r="J192" s="34"/>
      <c r="K192" s="34"/>
    </row>
    <row r="193" customFormat="false" ht="15" hidden="false" customHeight="false" outlineLevel="0" collapsed="false">
      <c r="A193" s="37"/>
      <c r="B193" s="37"/>
      <c r="C193" s="38"/>
      <c r="D193" s="37"/>
      <c r="E193" s="37"/>
      <c r="F193" s="37"/>
      <c r="G193" s="39"/>
      <c r="H193" s="38"/>
      <c r="I193" s="37"/>
      <c r="J193" s="37"/>
      <c r="K193" s="37"/>
    </row>
    <row r="194" customFormat="false" ht="15" hidden="false" customHeight="false" outlineLevel="0" collapsed="false">
      <c r="A194" s="34"/>
      <c r="B194" s="34"/>
      <c r="C194" s="35"/>
      <c r="D194" s="34"/>
      <c r="E194" s="34"/>
      <c r="F194" s="34"/>
      <c r="G194" s="36"/>
      <c r="H194" s="35"/>
      <c r="I194" s="34"/>
      <c r="J194" s="34"/>
      <c r="K194" s="34"/>
    </row>
    <row r="195" customFormat="false" ht="15" hidden="false" customHeight="false" outlineLevel="0" collapsed="false">
      <c r="A195" s="37"/>
      <c r="B195" s="37"/>
      <c r="C195" s="38"/>
      <c r="D195" s="37"/>
      <c r="E195" s="37"/>
      <c r="F195" s="37"/>
      <c r="G195" s="39"/>
      <c r="H195" s="38"/>
      <c r="I195" s="37"/>
      <c r="J195" s="37"/>
      <c r="K195" s="37"/>
    </row>
    <row r="196" customFormat="false" ht="15" hidden="false" customHeight="false" outlineLevel="0" collapsed="false">
      <c r="A196" s="34"/>
      <c r="B196" s="34"/>
      <c r="C196" s="35"/>
      <c r="D196" s="34"/>
      <c r="E196" s="34"/>
      <c r="F196" s="34"/>
      <c r="G196" s="36"/>
      <c r="H196" s="35"/>
      <c r="I196" s="34"/>
      <c r="J196" s="34"/>
      <c r="K196" s="34"/>
    </row>
    <row r="197" customFormat="false" ht="15" hidden="false" customHeight="false" outlineLevel="0" collapsed="false">
      <c r="A197" s="37"/>
      <c r="B197" s="37"/>
      <c r="C197" s="38"/>
      <c r="D197" s="37"/>
      <c r="E197" s="37"/>
      <c r="F197" s="37"/>
      <c r="G197" s="39"/>
      <c r="H197" s="38"/>
      <c r="I197" s="37"/>
      <c r="J197" s="37"/>
      <c r="K197" s="37"/>
    </row>
    <row r="198" customFormat="false" ht="15" hidden="false" customHeight="false" outlineLevel="0" collapsed="false">
      <c r="A198" s="34"/>
      <c r="B198" s="34"/>
      <c r="C198" s="35"/>
      <c r="D198" s="34"/>
      <c r="E198" s="34"/>
      <c r="F198" s="34"/>
      <c r="G198" s="36"/>
      <c r="H198" s="35"/>
      <c r="I198" s="34"/>
      <c r="J198" s="34"/>
      <c r="K198" s="34"/>
    </row>
    <row r="199" customFormat="false" ht="15" hidden="false" customHeight="false" outlineLevel="0" collapsed="false">
      <c r="A199" s="37"/>
      <c r="B199" s="37"/>
      <c r="C199" s="38"/>
      <c r="D199" s="37"/>
      <c r="E199" s="37"/>
      <c r="F199" s="37"/>
      <c r="G199" s="39"/>
      <c r="H199" s="38"/>
      <c r="I199" s="37"/>
      <c r="J199" s="37"/>
      <c r="K199" s="37"/>
    </row>
    <row r="200" customFormat="false" ht="15" hidden="false" customHeight="false" outlineLevel="0" collapsed="false">
      <c r="A200" s="34"/>
      <c r="B200" s="34"/>
      <c r="C200" s="35"/>
      <c r="D200" s="34"/>
      <c r="E200" s="34"/>
      <c r="F200" s="34"/>
      <c r="G200" s="36"/>
      <c r="H200" s="35"/>
      <c r="I200" s="34"/>
      <c r="J200" s="34"/>
      <c r="K200" s="34"/>
    </row>
    <row r="201" customFormat="false" ht="15" hidden="false" customHeight="false" outlineLevel="0" collapsed="false">
      <c r="A201" s="37"/>
      <c r="B201" s="37"/>
      <c r="C201" s="38"/>
      <c r="D201" s="37"/>
      <c r="E201" s="37"/>
      <c r="F201" s="37"/>
      <c r="G201" s="39"/>
      <c r="H201" s="38"/>
      <c r="I201" s="37"/>
      <c r="J201" s="37"/>
      <c r="K201" s="37"/>
    </row>
    <row r="202" customFormat="false" ht="15" hidden="false" customHeight="false" outlineLevel="0" collapsed="false">
      <c r="A202" s="34"/>
      <c r="B202" s="34"/>
      <c r="C202" s="35"/>
      <c r="D202" s="34"/>
      <c r="E202" s="34"/>
      <c r="F202" s="34"/>
      <c r="G202" s="36"/>
      <c r="H202" s="35"/>
      <c r="I202" s="34"/>
      <c r="J202" s="34"/>
      <c r="K202" s="34"/>
    </row>
    <row r="203" customFormat="false" ht="15" hidden="false" customHeight="false" outlineLevel="0" collapsed="false">
      <c r="A203" s="37"/>
      <c r="B203" s="37"/>
      <c r="C203" s="38"/>
      <c r="D203" s="37"/>
      <c r="E203" s="37"/>
      <c r="F203" s="37"/>
      <c r="G203" s="39"/>
      <c r="H203" s="38"/>
      <c r="I203" s="37"/>
      <c r="J203" s="37"/>
      <c r="K203" s="37"/>
    </row>
    <row r="204" customFormat="false" ht="15" hidden="false" customHeight="false" outlineLevel="0" collapsed="false">
      <c r="A204" s="34"/>
      <c r="B204" s="34"/>
      <c r="C204" s="35"/>
      <c r="D204" s="34"/>
      <c r="E204" s="34"/>
      <c r="F204" s="34"/>
      <c r="G204" s="36"/>
      <c r="H204" s="35"/>
      <c r="I204" s="34"/>
      <c r="J204" s="34"/>
      <c r="K204" s="34"/>
    </row>
    <row r="205" customFormat="false" ht="15" hidden="false" customHeight="false" outlineLevel="0" collapsed="false">
      <c r="A205" s="37"/>
      <c r="B205" s="37"/>
      <c r="C205" s="38"/>
      <c r="D205" s="37"/>
      <c r="E205" s="37"/>
      <c r="F205" s="37"/>
      <c r="G205" s="39"/>
      <c r="H205" s="38"/>
      <c r="I205" s="37"/>
      <c r="J205" s="37"/>
      <c r="K205" s="37"/>
    </row>
    <row r="207" customFormat="false" ht="24" hidden="false" customHeight="true" outlineLevel="0" collapsed="false">
      <c r="A207" s="40" t="s">
        <v>23</v>
      </c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 customFormat="false" ht="15" hidden="false" customHeight="false" outlineLevel="0" collapsed="false">
      <c r="A208" s="16" t="s">
        <v>24</v>
      </c>
      <c r="B208" s="16"/>
      <c r="C208" s="16"/>
      <c r="D208" s="16"/>
      <c r="E208" s="16"/>
      <c r="F208" s="16"/>
      <c r="G208" s="41" t="n">
        <f aca="false">COUNTA(A6:A205)</f>
        <v>0</v>
      </c>
      <c r="H208" s="41"/>
      <c r="I208" s="41"/>
      <c r="J208" s="41"/>
      <c r="K208" s="41"/>
    </row>
    <row r="209" customFormat="false" ht="15" hidden="false" customHeight="false" outlineLevel="0" collapsed="false">
      <c r="A209" s="16" t="s">
        <v>25</v>
      </c>
      <c r="B209" s="16"/>
      <c r="C209" s="16"/>
      <c r="D209" s="16"/>
      <c r="E209" s="16"/>
      <c r="F209" s="16"/>
      <c r="G209" s="41" t="n">
        <f aca="false">SUMIF(G6:G205,"&gt;0",G6:G205)</f>
        <v>0</v>
      </c>
      <c r="H209" s="41"/>
      <c r="I209" s="41"/>
      <c r="J209" s="41"/>
      <c r="K209" s="41"/>
    </row>
    <row r="210" customFormat="false" ht="15" hidden="false" customHeight="false" outlineLevel="0" collapsed="false">
      <c r="A210" s="16" t="s">
        <v>26</v>
      </c>
      <c r="B210" s="16"/>
      <c r="C210" s="16"/>
      <c r="D210" s="16"/>
      <c r="E210" s="16"/>
      <c r="F210" s="16"/>
      <c r="G210" s="42" t="n">
        <f aca="false">IFERROR(AVERAGEIF(G6:G205,"&gt;0",G6:G205),0)</f>
        <v>0</v>
      </c>
      <c r="H210" s="42"/>
      <c r="I210" s="42"/>
      <c r="J210" s="42"/>
      <c r="K210" s="42"/>
    </row>
    <row r="211" customFormat="false" ht="15" hidden="false" customHeight="false" outlineLevel="0" collapsed="false">
      <c r="A211" s="16" t="s">
        <v>27</v>
      </c>
      <c r="B211" s="16"/>
      <c r="C211" s="16"/>
      <c r="D211" s="16"/>
      <c r="E211" s="16"/>
      <c r="F211" s="16"/>
      <c r="G211" s="41" t="n">
        <f aca="false">IFERROR(minifs(G6:G205,G6:G205,"&gt;0"),0)</f>
        <v>0</v>
      </c>
      <c r="H211" s="41"/>
      <c r="I211" s="41"/>
      <c r="J211" s="41"/>
      <c r="K211" s="41"/>
    </row>
    <row r="212" customFormat="false" ht="15" hidden="false" customHeight="false" outlineLevel="0" collapsed="false">
      <c r="A212" s="16" t="s">
        <v>28</v>
      </c>
      <c r="B212" s="16"/>
      <c r="C212" s="16"/>
      <c r="D212" s="16"/>
      <c r="E212" s="16"/>
      <c r="F212" s="16"/>
      <c r="G212" s="41" t="n">
        <f aca="false">IFERROR(maxifs(G6:G205,G6:G205,"&gt;0"),0)</f>
        <v>0</v>
      </c>
      <c r="H212" s="41"/>
      <c r="I212" s="41"/>
      <c r="J212" s="41"/>
      <c r="K212" s="41"/>
    </row>
    <row r="213" customFormat="false" ht="15" hidden="false" customHeight="false" outlineLevel="0" collapsed="false">
      <c r="A213" s="16" t="s">
        <v>29</v>
      </c>
      <c r="B213" s="16"/>
      <c r="C213" s="16"/>
      <c r="D213" s="16"/>
      <c r="E213" s="16"/>
      <c r="F213" s="16"/>
      <c r="G213" s="41" t="n">
        <f aca="false">COUNTIF(J6:J205,"Pending Shipment")</f>
        <v>0</v>
      </c>
      <c r="H213" s="41"/>
      <c r="I213" s="41"/>
      <c r="J213" s="41"/>
      <c r="K213" s="41"/>
    </row>
    <row r="214" customFormat="false" ht="15" hidden="false" customHeight="false" outlineLevel="0" collapsed="false">
      <c r="A214" s="16" t="s">
        <v>30</v>
      </c>
      <c r="B214" s="16"/>
      <c r="C214" s="16"/>
      <c r="D214" s="16"/>
      <c r="E214" s="16"/>
      <c r="F214" s="16"/>
      <c r="G214" s="41" t="n">
        <f aca="false">COUNTIF(J6:J205,"Shipped")</f>
        <v>0</v>
      </c>
      <c r="H214" s="41"/>
      <c r="I214" s="41"/>
      <c r="J214" s="41"/>
      <c r="K214" s="41"/>
    </row>
    <row r="215" customFormat="false" ht="15" hidden="false" customHeight="false" outlineLevel="0" collapsed="false">
      <c r="A215" s="16" t="s">
        <v>31</v>
      </c>
      <c r="B215" s="16"/>
      <c r="C215" s="16"/>
      <c r="D215" s="16"/>
      <c r="E215" s="16"/>
      <c r="F215" s="16"/>
      <c r="G215" s="43" t="n">
        <f aca="false">IFERROR(MAX(C6:C205),"N/A")</f>
        <v>0</v>
      </c>
      <c r="H215" s="43"/>
      <c r="I215" s="43"/>
      <c r="J215" s="43"/>
      <c r="K215" s="43"/>
    </row>
  </sheetData>
  <mergeCells count="20">
    <mergeCell ref="A1:K1"/>
    <mergeCell ref="A2:D2"/>
    <mergeCell ref="E2:H2"/>
    <mergeCell ref="A207:K207"/>
    <mergeCell ref="A208:F208"/>
    <mergeCell ref="G208:K208"/>
    <mergeCell ref="A209:F209"/>
    <mergeCell ref="G209:K209"/>
    <mergeCell ref="A210:F210"/>
    <mergeCell ref="G210:K210"/>
    <mergeCell ref="A211:F211"/>
    <mergeCell ref="G211:K211"/>
    <mergeCell ref="A212:F212"/>
    <mergeCell ref="G212:K212"/>
    <mergeCell ref="A213:F213"/>
    <mergeCell ref="G213:K213"/>
    <mergeCell ref="A214:F214"/>
    <mergeCell ref="G214:K214"/>
    <mergeCell ref="A215:F215"/>
    <mergeCell ref="G215:K215"/>
  </mergeCells>
  <dataValidations count="2">
    <dataValidation allowBlank="true" errorStyle="stop" operator="between" showDropDown="false" showErrorMessage="false" showInputMessage="false" sqref="J6:J205" type="list">
      <formula1>"Pending Shipment,Shipped,Recycled,Under Review"</formula1>
      <formula2>0</formula2>
    </dataValidation>
    <dataValidation allowBlank="true" errorStyle="stop" operator="between" showDropDown="false" showErrorMessage="false" showInputMessage="false" sqref="E6:E205" type="list">
      <formula1>"Brass,Aluminum,Steel,Nickel-Plated Brass,Polymer,Mixed"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A825"/>
    <pageSetUpPr fitToPage="false"/>
  </sheetPr>
  <dimension ref="A1:K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5" activeCellId="0" sqref="E5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24"/>
    <col collapsed="false" customWidth="true" hidden="false" outlineLevel="0" max="8" min="8" style="1" width="28"/>
    <col collapsed="false" customWidth="true" hidden="false" outlineLevel="0" max="10" min="9" style="1" width="14"/>
    <col collapsed="false" customWidth="true" hidden="false" outlineLevel="0" max="11" min="11" style="1" width="34"/>
  </cols>
  <sheetData>
    <row r="1" customFormat="false" ht="43.5" hidden="false" customHeight="true" outlineLevel="0" collapsed="false">
      <c r="A1" s="44" t="s">
        <v>40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customFormat="false" ht="19.5" hidden="false" customHeight="true" outlineLevel="0" collapsed="false">
      <c r="A2" s="45" t="s">
        <v>41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customFormat="false" ht="36" hidden="false" customHeight="true" outlineLevel="0" collapsed="false">
      <c r="A3" s="46" t="s">
        <v>42</v>
      </c>
      <c r="B3" s="46" t="s">
        <v>43</v>
      </c>
      <c r="C3" s="46" t="s">
        <v>44</v>
      </c>
      <c r="D3" s="46" t="s">
        <v>45</v>
      </c>
      <c r="E3" s="46" t="s">
        <v>46</v>
      </c>
      <c r="F3" s="46" t="s">
        <v>47</v>
      </c>
      <c r="G3" s="46" t="s">
        <v>48</v>
      </c>
      <c r="H3" s="46" t="s">
        <v>49</v>
      </c>
      <c r="I3" s="46" t="s">
        <v>50</v>
      </c>
      <c r="J3" s="46" t="s">
        <v>51</v>
      </c>
      <c r="K3" s="46" t="s">
        <v>52</v>
      </c>
    </row>
    <row r="4" customFormat="false" ht="19.5" hidden="false" customHeight="true" outlineLevel="0" collapsed="false">
      <c r="A4" s="8" t="s">
        <v>53</v>
      </c>
      <c r="B4" s="8" t="s">
        <v>54</v>
      </c>
      <c r="C4" s="8" t="s">
        <v>55</v>
      </c>
      <c r="D4" s="8" t="n">
        <v>1500</v>
      </c>
      <c r="E4" s="8" t="s">
        <v>56</v>
      </c>
      <c r="F4" s="8" t="s">
        <v>57</v>
      </c>
      <c r="G4" s="8" t="s">
        <v>58</v>
      </c>
      <c r="H4" s="8" t="s">
        <v>59</v>
      </c>
      <c r="I4" s="8" t="s">
        <v>16</v>
      </c>
      <c r="J4" s="8" t="s">
        <v>16</v>
      </c>
      <c r="K4" s="8" t="s">
        <v>60</v>
      </c>
    </row>
    <row r="5" customFormat="false" ht="15" hidden="false" customHeight="false" outlineLevel="0" collapsed="false">
      <c r="A5" s="12"/>
      <c r="B5" s="12"/>
      <c r="C5" s="12"/>
      <c r="D5" s="14"/>
      <c r="E5" s="12"/>
      <c r="F5" s="12"/>
      <c r="G5" s="12"/>
      <c r="H5" s="12"/>
      <c r="I5" s="13"/>
      <c r="J5" s="13"/>
      <c r="K5" s="12"/>
    </row>
    <row r="6" customFormat="false" ht="15" hidden="false" customHeight="false" outlineLevel="0" collapsed="false">
      <c r="A6" s="47"/>
      <c r="B6" s="47"/>
      <c r="C6" s="47"/>
      <c r="D6" s="48"/>
      <c r="E6" s="47"/>
      <c r="F6" s="47"/>
      <c r="G6" s="47"/>
      <c r="H6" s="47"/>
      <c r="I6" s="49"/>
      <c r="J6" s="49"/>
      <c r="K6" s="47"/>
    </row>
    <row r="7" customFormat="false" ht="15" hidden="false" customHeight="false" outlineLevel="0" collapsed="false">
      <c r="A7" s="12"/>
      <c r="B7" s="12"/>
      <c r="C7" s="12"/>
      <c r="D7" s="14"/>
      <c r="E7" s="12"/>
      <c r="F7" s="12"/>
      <c r="G7" s="12"/>
      <c r="H7" s="12"/>
      <c r="I7" s="13"/>
      <c r="J7" s="13"/>
      <c r="K7" s="12"/>
    </row>
    <row r="8" customFormat="false" ht="15" hidden="false" customHeight="false" outlineLevel="0" collapsed="false">
      <c r="A8" s="47"/>
      <c r="B8" s="47"/>
      <c r="C8" s="47"/>
      <c r="D8" s="48"/>
      <c r="E8" s="47"/>
      <c r="F8" s="47"/>
      <c r="G8" s="47"/>
      <c r="H8" s="47"/>
      <c r="I8" s="49"/>
      <c r="J8" s="49"/>
      <c r="K8" s="47"/>
    </row>
    <row r="9" customFormat="false" ht="15" hidden="false" customHeight="false" outlineLevel="0" collapsed="false">
      <c r="A9" s="12"/>
      <c r="B9" s="12"/>
      <c r="C9" s="12"/>
      <c r="D9" s="14"/>
      <c r="E9" s="12"/>
      <c r="F9" s="12"/>
      <c r="G9" s="12"/>
      <c r="H9" s="12"/>
      <c r="I9" s="13"/>
      <c r="J9" s="13"/>
      <c r="K9" s="12"/>
    </row>
    <row r="10" customFormat="false" ht="15" hidden="false" customHeight="false" outlineLevel="0" collapsed="false">
      <c r="A10" s="47"/>
      <c r="B10" s="47"/>
      <c r="C10" s="47"/>
      <c r="D10" s="48"/>
      <c r="E10" s="47"/>
      <c r="F10" s="47"/>
      <c r="G10" s="47"/>
      <c r="H10" s="47"/>
      <c r="I10" s="49"/>
      <c r="J10" s="49"/>
      <c r="K10" s="47"/>
    </row>
    <row r="11" customFormat="false" ht="15" hidden="false" customHeight="false" outlineLevel="0" collapsed="false">
      <c r="A11" s="12"/>
      <c r="B11" s="12"/>
      <c r="C11" s="12"/>
      <c r="D11" s="14"/>
      <c r="E11" s="12"/>
      <c r="F11" s="12"/>
      <c r="G11" s="12"/>
      <c r="H11" s="12"/>
      <c r="I11" s="13"/>
      <c r="J11" s="13"/>
      <c r="K11" s="12"/>
    </row>
    <row r="12" customFormat="false" ht="15" hidden="false" customHeight="false" outlineLevel="0" collapsed="false">
      <c r="A12" s="47"/>
      <c r="B12" s="47"/>
      <c r="C12" s="47"/>
      <c r="D12" s="48"/>
      <c r="E12" s="47"/>
      <c r="F12" s="47"/>
      <c r="G12" s="47"/>
      <c r="H12" s="47"/>
      <c r="I12" s="49"/>
      <c r="J12" s="49"/>
      <c r="K12" s="47"/>
    </row>
    <row r="13" customFormat="false" ht="15" hidden="false" customHeight="false" outlineLevel="0" collapsed="false">
      <c r="A13" s="12"/>
      <c r="B13" s="12"/>
      <c r="C13" s="12"/>
      <c r="D13" s="14"/>
      <c r="E13" s="12"/>
      <c r="F13" s="12"/>
      <c r="G13" s="12"/>
      <c r="H13" s="12"/>
      <c r="I13" s="13"/>
      <c r="J13" s="13"/>
      <c r="K13" s="12"/>
    </row>
    <row r="14" customFormat="false" ht="15" hidden="false" customHeight="false" outlineLevel="0" collapsed="false">
      <c r="A14" s="47"/>
      <c r="B14" s="47"/>
      <c r="C14" s="47"/>
      <c r="D14" s="48"/>
      <c r="E14" s="47"/>
      <c r="F14" s="47"/>
      <c r="G14" s="47"/>
      <c r="H14" s="47"/>
      <c r="I14" s="49"/>
      <c r="J14" s="49"/>
      <c r="K14" s="47"/>
    </row>
    <row r="15" customFormat="false" ht="15" hidden="false" customHeight="false" outlineLevel="0" collapsed="false">
      <c r="A15" s="12"/>
      <c r="B15" s="12"/>
      <c r="C15" s="12"/>
      <c r="D15" s="14"/>
      <c r="E15" s="12"/>
      <c r="F15" s="12"/>
      <c r="G15" s="12"/>
      <c r="H15" s="12"/>
      <c r="I15" s="13"/>
      <c r="J15" s="13"/>
      <c r="K15" s="12"/>
    </row>
    <row r="16" customFormat="false" ht="15" hidden="false" customHeight="false" outlineLevel="0" collapsed="false">
      <c r="A16" s="47"/>
      <c r="B16" s="47"/>
      <c r="C16" s="47"/>
      <c r="D16" s="48"/>
      <c r="E16" s="47"/>
      <c r="F16" s="47"/>
      <c r="G16" s="47"/>
      <c r="H16" s="47"/>
      <c r="I16" s="49"/>
      <c r="J16" s="49"/>
      <c r="K16" s="47"/>
    </row>
    <row r="17" customFormat="false" ht="15" hidden="false" customHeight="false" outlineLevel="0" collapsed="false">
      <c r="A17" s="12"/>
      <c r="B17" s="12"/>
      <c r="C17" s="12"/>
      <c r="D17" s="14"/>
      <c r="E17" s="12"/>
      <c r="F17" s="12"/>
      <c r="G17" s="12"/>
      <c r="H17" s="12"/>
      <c r="I17" s="13"/>
      <c r="J17" s="13"/>
      <c r="K17" s="12"/>
    </row>
    <row r="18" customFormat="false" ht="15" hidden="false" customHeight="false" outlineLevel="0" collapsed="false">
      <c r="A18" s="47"/>
      <c r="B18" s="47"/>
      <c r="C18" s="47"/>
      <c r="D18" s="48"/>
      <c r="E18" s="47"/>
      <c r="F18" s="47"/>
      <c r="G18" s="47"/>
      <c r="H18" s="47"/>
      <c r="I18" s="49"/>
      <c r="J18" s="49"/>
      <c r="K18" s="47"/>
    </row>
    <row r="19" customFormat="false" ht="15" hidden="false" customHeight="false" outlineLevel="0" collapsed="false">
      <c r="A19" s="12"/>
      <c r="B19" s="12"/>
      <c r="C19" s="12"/>
      <c r="D19" s="14"/>
      <c r="E19" s="12"/>
      <c r="F19" s="12"/>
      <c r="G19" s="12"/>
      <c r="H19" s="12"/>
      <c r="I19" s="13"/>
      <c r="J19" s="13"/>
      <c r="K19" s="12"/>
    </row>
    <row r="20" customFormat="false" ht="15" hidden="false" customHeight="false" outlineLevel="0" collapsed="false">
      <c r="A20" s="47"/>
      <c r="B20" s="47"/>
      <c r="C20" s="47"/>
      <c r="D20" s="48"/>
      <c r="E20" s="47"/>
      <c r="F20" s="47"/>
      <c r="G20" s="47"/>
      <c r="H20" s="47"/>
      <c r="I20" s="49"/>
      <c r="J20" s="49"/>
      <c r="K20" s="47"/>
    </row>
    <row r="21" customFormat="false" ht="15" hidden="false" customHeight="false" outlineLevel="0" collapsed="false">
      <c r="A21" s="12"/>
      <c r="B21" s="12"/>
      <c r="C21" s="12"/>
      <c r="D21" s="14"/>
      <c r="E21" s="12"/>
      <c r="F21" s="12"/>
      <c r="G21" s="12"/>
      <c r="H21" s="12"/>
      <c r="I21" s="13"/>
      <c r="J21" s="13"/>
      <c r="K21" s="12"/>
    </row>
    <row r="22" customFormat="false" ht="15" hidden="false" customHeight="false" outlineLevel="0" collapsed="false">
      <c r="A22" s="47"/>
      <c r="B22" s="47"/>
      <c r="C22" s="47"/>
      <c r="D22" s="48"/>
      <c r="E22" s="47"/>
      <c r="F22" s="47"/>
      <c r="G22" s="47"/>
      <c r="H22" s="47"/>
      <c r="I22" s="49"/>
      <c r="J22" s="49"/>
      <c r="K22" s="47"/>
    </row>
    <row r="23" customFormat="false" ht="15" hidden="false" customHeight="false" outlineLevel="0" collapsed="false">
      <c r="A23" s="12"/>
      <c r="B23" s="12"/>
      <c r="C23" s="12"/>
      <c r="D23" s="14"/>
      <c r="E23" s="12"/>
      <c r="F23" s="12"/>
      <c r="G23" s="12"/>
      <c r="H23" s="12"/>
      <c r="I23" s="13"/>
      <c r="J23" s="13"/>
      <c r="K23" s="12"/>
    </row>
    <row r="24" customFormat="false" ht="15" hidden="false" customHeight="false" outlineLevel="0" collapsed="false">
      <c r="A24" s="47"/>
      <c r="B24" s="47"/>
      <c r="C24" s="47"/>
      <c r="D24" s="48"/>
      <c r="E24" s="47"/>
      <c r="F24" s="47"/>
      <c r="G24" s="47"/>
      <c r="H24" s="47"/>
      <c r="I24" s="49"/>
      <c r="J24" s="49"/>
      <c r="K24" s="47"/>
    </row>
    <row r="25" customFormat="false" ht="15" hidden="false" customHeight="false" outlineLevel="0" collapsed="false">
      <c r="A25" s="12"/>
      <c r="B25" s="12"/>
      <c r="C25" s="12"/>
      <c r="D25" s="14"/>
      <c r="E25" s="12"/>
      <c r="F25" s="12"/>
      <c r="G25" s="12"/>
      <c r="H25" s="12"/>
      <c r="I25" s="13"/>
      <c r="J25" s="13"/>
      <c r="K25" s="12"/>
    </row>
    <row r="26" customFormat="false" ht="15" hidden="false" customHeight="false" outlineLevel="0" collapsed="false">
      <c r="A26" s="47"/>
      <c r="B26" s="47"/>
      <c r="C26" s="47"/>
      <c r="D26" s="48"/>
      <c r="E26" s="47"/>
      <c r="F26" s="47"/>
      <c r="G26" s="47"/>
      <c r="H26" s="47"/>
      <c r="I26" s="49"/>
      <c r="J26" s="49"/>
      <c r="K26" s="47"/>
    </row>
    <row r="27" customFormat="false" ht="15" hidden="false" customHeight="false" outlineLevel="0" collapsed="false">
      <c r="A27" s="12"/>
      <c r="B27" s="12"/>
      <c r="C27" s="12"/>
      <c r="D27" s="14"/>
      <c r="E27" s="12"/>
      <c r="F27" s="12"/>
      <c r="G27" s="12"/>
      <c r="H27" s="12"/>
      <c r="I27" s="13"/>
      <c r="J27" s="13"/>
      <c r="K27" s="12"/>
    </row>
    <row r="28" customFormat="false" ht="15" hidden="false" customHeight="false" outlineLevel="0" collapsed="false">
      <c r="A28" s="47"/>
      <c r="B28" s="47"/>
      <c r="C28" s="47"/>
      <c r="D28" s="48"/>
      <c r="E28" s="47"/>
      <c r="F28" s="47"/>
      <c r="G28" s="47"/>
      <c r="H28" s="47"/>
      <c r="I28" s="49"/>
      <c r="J28" s="49"/>
      <c r="K28" s="47"/>
    </row>
    <row r="29" customFormat="false" ht="15" hidden="false" customHeight="false" outlineLevel="0" collapsed="false">
      <c r="A29" s="12"/>
      <c r="B29" s="12"/>
      <c r="C29" s="12"/>
      <c r="D29" s="14"/>
      <c r="E29" s="12"/>
      <c r="F29" s="12"/>
      <c r="G29" s="12"/>
      <c r="H29" s="12"/>
      <c r="I29" s="13"/>
      <c r="J29" s="13"/>
      <c r="K29" s="12"/>
    </row>
    <row r="30" customFormat="false" ht="15" hidden="false" customHeight="false" outlineLevel="0" collapsed="false">
      <c r="A30" s="47"/>
      <c r="B30" s="47"/>
      <c r="C30" s="47"/>
      <c r="D30" s="48"/>
      <c r="E30" s="47"/>
      <c r="F30" s="47"/>
      <c r="G30" s="47"/>
      <c r="H30" s="47"/>
      <c r="I30" s="49"/>
      <c r="J30" s="49"/>
      <c r="K30" s="47"/>
    </row>
    <row r="31" customFormat="false" ht="15" hidden="false" customHeight="false" outlineLevel="0" collapsed="false">
      <c r="A31" s="12"/>
      <c r="B31" s="12"/>
      <c r="C31" s="12"/>
      <c r="D31" s="14"/>
      <c r="E31" s="12"/>
      <c r="F31" s="12"/>
      <c r="G31" s="12"/>
      <c r="H31" s="12"/>
      <c r="I31" s="13"/>
      <c r="J31" s="13"/>
      <c r="K31" s="12"/>
    </row>
    <row r="32" customFormat="false" ht="15" hidden="false" customHeight="false" outlineLevel="0" collapsed="false">
      <c r="A32" s="47"/>
      <c r="B32" s="47"/>
      <c r="C32" s="47"/>
      <c r="D32" s="48"/>
      <c r="E32" s="47"/>
      <c r="F32" s="47"/>
      <c r="G32" s="47"/>
      <c r="H32" s="47"/>
      <c r="I32" s="49"/>
      <c r="J32" s="49"/>
      <c r="K32" s="47"/>
    </row>
    <row r="33" customFormat="false" ht="15" hidden="false" customHeight="false" outlineLevel="0" collapsed="false">
      <c r="A33" s="12"/>
      <c r="B33" s="12"/>
      <c r="C33" s="12"/>
      <c r="D33" s="14"/>
      <c r="E33" s="12"/>
      <c r="F33" s="12"/>
      <c r="G33" s="12"/>
      <c r="H33" s="12"/>
      <c r="I33" s="13"/>
      <c r="J33" s="13"/>
      <c r="K33" s="12"/>
    </row>
    <row r="34" customFormat="false" ht="15" hidden="false" customHeight="false" outlineLevel="0" collapsed="false">
      <c r="A34" s="47"/>
      <c r="B34" s="47"/>
      <c r="C34" s="47"/>
      <c r="D34" s="48"/>
      <c r="E34" s="47"/>
      <c r="F34" s="47"/>
      <c r="G34" s="47"/>
      <c r="H34" s="47"/>
      <c r="I34" s="49"/>
      <c r="J34" s="49"/>
      <c r="K34" s="47"/>
    </row>
    <row r="35" customFormat="false" ht="15" hidden="false" customHeight="false" outlineLevel="0" collapsed="false">
      <c r="A35" s="12"/>
      <c r="B35" s="12"/>
      <c r="C35" s="12"/>
      <c r="D35" s="14"/>
      <c r="E35" s="12"/>
      <c r="F35" s="12"/>
      <c r="G35" s="12"/>
      <c r="H35" s="12"/>
      <c r="I35" s="13"/>
      <c r="J35" s="13"/>
      <c r="K35" s="12"/>
    </row>
    <row r="36" customFormat="false" ht="15" hidden="false" customHeight="false" outlineLevel="0" collapsed="false">
      <c r="A36" s="47"/>
      <c r="B36" s="47"/>
      <c r="C36" s="47"/>
      <c r="D36" s="48"/>
      <c r="E36" s="47"/>
      <c r="F36" s="47"/>
      <c r="G36" s="47"/>
      <c r="H36" s="47"/>
      <c r="I36" s="49"/>
      <c r="J36" s="49"/>
      <c r="K36" s="47"/>
    </row>
    <row r="37" customFormat="false" ht="15" hidden="false" customHeight="false" outlineLevel="0" collapsed="false">
      <c r="A37" s="12"/>
      <c r="B37" s="12"/>
      <c r="C37" s="12"/>
      <c r="D37" s="14"/>
      <c r="E37" s="12"/>
      <c r="F37" s="12"/>
      <c r="G37" s="12"/>
      <c r="H37" s="12"/>
      <c r="I37" s="13"/>
      <c r="J37" s="13"/>
      <c r="K37" s="12"/>
    </row>
    <row r="38" customFormat="false" ht="15" hidden="false" customHeight="false" outlineLevel="0" collapsed="false">
      <c r="A38" s="47"/>
      <c r="B38" s="47"/>
      <c r="C38" s="47"/>
      <c r="D38" s="48"/>
      <c r="E38" s="47"/>
      <c r="F38" s="47"/>
      <c r="G38" s="47"/>
      <c r="H38" s="47"/>
      <c r="I38" s="49"/>
      <c r="J38" s="49"/>
      <c r="K38" s="47"/>
    </row>
    <row r="39" customFormat="false" ht="15" hidden="false" customHeight="false" outlineLevel="0" collapsed="false">
      <c r="A39" s="12"/>
      <c r="B39" s="12"/>
      <c r="C39" s="12"/>
      <c r="D39" s="14"/>
      <c r="E39" s="12"/>
      <c r="F39" s="12"/>
      <c r="G39" s="12"/>
      <c r="H39" s="12"/>
      <c r="I39" s="13"/>
      <c r="J39" s="13"/>
      <c r="K39" s="12"/>
    </row>
    <row r="40" customFormat="false" ht="15" hidden="false" customHeight="false" outlineLevel="0" collapsed="false">
      <c r="A40" s="47"/>
      <c r="B40" s="47"/>
      <c r="C40" s="47"/>
      <c r="D40" s="48"/>
      <c r="E40" s="47"/>
      <c r="F40" s="47"/>
      <c r="G40" s="47"/>
      <c r="H40" s="47"/>
      <c r="I40" s="49"/>
      <c r="J40" s="49"/>
      <c r="K40" s="47"/>
    </row>
    <row r="41" customFormat="false" ht="15" hidden="false" customHeight="false" outlineLevel="0" collapsed="false">
      <c r="A41" s="12"/>
      <c r="B41" s="12"/>
      <c r="C41" s="12"/>
      <c r="D41" s="14"/>
      <c r="E41" s="12"/>
      <c r="F41" s="12"/>
      <c r="G41" s="12"/>
      <c r="H41" s="12"/>
      <c r="I41" s="13"/>
      <c r="J41" s="13"/>
      <c r="K41" s="12"/>
    </row>
    <row r="42" customFormat="false" ht="15" hidden="false" customHeight="false" outlineLevel="0" collapsed="false">
      <c r="A42" s="47"/>
      <c r="B42" s="47"/>
      <c r="C42" s="47"/>
      <c r="D42" s="48"/>
      <c r="E42" s="47"/>
      <c r="F42" s="47"/>
      <c r="G42" s="47"/>
      <c r="H42" s="47"/>
      <c r="I42" s="49"/>
      <c r="J42" s="49"/>
      <c r="K42" s="47"/>
    </row>
    <row r="43" customFormat="false" ht="15" hidden="false" customHeight="false" outlineLevel="0" collapsed="false">
      <c r="A43" s="12"/>
      <c r="B43" s="12"/>
      <c r="C43" s="12"/>
      <c r="D43" s="14"/>
      <c r="E43" s="12"/>
      <c r="F43" s="12"/>
      <c r="G43" s="12"/>
      <c r="H43" s="12"/>
      <c r="I43" s="13"/>
      <c r="J43" s="13"/>
      <c r="K43" s="12"/>
    </row>
    <row r="44" customFormat="false" ht="15" hidden="false" customHeight="false" outlineLevel="0" collapsed="false">
      <c r="A44" s="47"/>
      <c r="B44" s="47"/>
      <c r="C44" s="47"/>
      <c r="D44" s="48"/>
      <c r="E44" s="47"/>
      <c r="F44" s="47"/>
      <c r="G44" s="47"/>
      <c r="H44" s="47"/>
      <c r="I44" s="49"/>
      <c r="J44" s="49"/>
      <c r="K44" s="47"/>
    </row>
    <row r="45" customFormat="false" ht="15" hidden="false" customHeight="false" outlineLevel="0" collapsed="false">
      <c r="A45" s="12"/>
      <c r="B45" s="12"/>
      <c r="C45" s="12"/>
      <c r="D45" s="14"/>
      <c r="E45" s="12"/>
      <c r="F45" s="12"/>
      <c r="G45" s="12"/>
      <c r="H45" s="12"/>
      <c r="I45" s="13"/>
      <c r="J45" s="13"/>
      <c r="K45" s="12"/>
    </row>
    <row r="46" customFormat="false" ht="15" hidden="false" customHeight="false" outlineLevel="0" collapsed="false">
      <c r="A46" s="47"/>
      <c r="B46" s="47"/>
      <c r="C46" s="47"/>
      <c r="D46" s="48"/>
      <c r="E46" s="47"/>
      <c r="F46" s="47"/>
      <c r="G46" s="47"/>
      <c r="H46" s="47"/>
      <c r="I46" s="49"/>
      <c r="J46" s="49"/>
      <c r="K46" s="47"/>
    </row>
    <row r="47" customFormat="false" ht="15" hidden="false" customHeight="false" outlineLevel="0" collapsed="false">
      <c r="A47" s="12"/>
      <c r="B47" s="12"/>
      <c r="C47" s="12"/>
      <c r="D47" s="14"/>
      <c r="E47" s="12"/>
      <c r="F47" s="12"/>
      <c r="G47" s="12"/>
      <c r="H47" s="12"/>
      <c r="I47" s="13"/>
      <c r="J47" s="13"/>
      <c r="K47" s="12"/>
    </row>
    <row r="48" customFormat="false" ht="15" hidden="false" customHeight="false" outlineLevel="0" collapsed="false">
      <c r="A48" s="47"/>
      <c r="B48" s="47"/>
      <c r="C48" s="47"/>
      <c r="D48" s="48"/>
      <c r="E48" s="47"/>
      <c r="F48" s="47"/>
      <c r="G48" s="47"/>
      <c r="H48" s="47"/>
      <c r="I48" s="49"/>
      <c r="J48" s="49"/>
      <c r="K48" s="47"/>
    </row>
    <row r="49" customFormat="false" ht="15" hidden="false" customHeight="false" outlineLevel="0" collapsed="false">
      <c r="A49" s="12"/>
      <c r="B49" s="12"/>
      <c r="C49" s="12"/>
      <c r="D49" s="14"/>
      <c r="E49" s="12"/>
      <c r="F49" s="12"/>
      <c r="G49" s="12"/>
      <c r="H49" s="12"/>
      <c r="I49" s="13"/>
      <c r="J49" s="13"/>
      <c r="K49" s="12"/>
    </row>
    <row r="50" customFormat="false" ht="15" hidden="false" customHeight="false" outlineLevel="0" collapsed="false">
      <c r="A50" s="47"/>
      <c r="B50" s="47"/>
      <c r="C50" s="47"/>
      <c r="D50" s="48"/>
      <c r="E50" s="47"/>
      <c r="F50" s="47"/>
      <c r="G50" s="47"/>
      <c r="H50" s="47"/>
      <c r="I50" s="49"/>
      <c r="J50" s="49"/>
      <c r="K50" s="47"/>
    </row>
    <row r="51" customFormat="false" ht="15" hidden="false" customHeight="false" outlineLevel="0" collapsed="false">
      <c r="A51" s="12"/>
      <c r="B51" s="12"/>
      <c r="C51" s="12"/>
      <c r="D51" s="14"/>
      <c r="E51" s="12"/>
      <c r="F51" s="12"/>
      <c r="G51" s="12"/>
      <c r="H51" s="12"/>
      <c r="I51" s="13"/>
      <c r="J51" s="13"/>
      <c r="K51" s="12"/>
    </row>
    <row r="52" customFormat="false" ht="15" hidden="false" customHeight="false" outlineLevel="0" collapsed="false">
      <c r="A52" s="47"/>
      <c r="B52" s="47"/>
      <c r="C52" s="47"/>
      <c r="D52" s="48"/>
      <c r="E52" s="47"/>
      <c r="F52" s="47"/>
      <c r="G52" s="47"/>
      <c r="H52" s="47"/>
      <c r="I52" s="49"/>
      <c r="J52" s="49"/>
      <c r="K52" s="47"/>
    </row>
    <row r="53" customFormat="false" ht="15" hidden="false" customHeight="false" outlineLevel="0" collapsed="false">
      <c r="A53" s="12"/>
      <c r="B53" s="12"/>
      <c r="C53" s="12"/>
      <c r="D53" s="14"/>
      <c r="E53" s="12"/>
      <c r="F53" s="12"/>
      <c r="G53" s="12"/>
      <c r="H53" s="12"/>
      <c r="I53" s="13"/>
      <c r="J53" s="13"/>
      <c r="K53" s="12"/>
    </row>
    <row r="54" customFormat="false" ht="15" hidden="false" customHeight="false" outlineLevel="0" collapsed="false">
      <c r="A54" s="47"/>
      <c r="B54" s="47"/>
      <c r="C54" s="47"/>
      <c r="D54" s="48"/>
      <c r="E54" s="47"/>
      <c r="F54" s="47"/>
      <c r="G54" s="47"/>
      <c r="H54" s="47"/>
      <c r="I54" s="49"/>
      <c r="J54" s="49"/>
      <c r="K54" s="47"/>
    </row>
    <row r="55" customFormat="false" ht="15" hidden="false" customHeight="false" outlineLevel="0" collapsed="false">
      <c r="A55" s="12"/>
      <c r="B55" s="12"/>
      <c r="C55" s="12"/>
      <c r="D55" s="14"/>
      <c r="E55" s="12"/>
      <c r="F55" s="12"/>
      <c r="G55" s="12"/>
      <c r="H55" s="12"/>
      <c r="I55" s="13"/>
      <c r="J55" s="13"/>
      <c r="K55" s="12"/>
    </row>
    <row r="56" customFormat="false" ht="15" hidden="false" customHeight="false" outlineLevel="0" collapsed="false">
      <c r="A56" s="47"/>
      <c r="B56" s="47"/>
      <c r="C56" s="47"/>
      <c r="D56" s="48"/>
      <c r="E56" s="47"/>
      <c r="F56" s="47"/>
      <c r="G56" s="47"/>
      <c r="H56" s="47"/>
      <c r="I56" s="49"/>
      <c r="J56" s="49"/>
      <c r="K56" s="47"/>
    </row>
    <row r="57" customFormat="false" ht="15" hidden="false" customHeight="false" outlineLevel="0" collapsed="false">
      <c r="A57" s="12"/>
      <c r="B57" s="12"/>
      <c r="C57" s="12"/>
      <c r="D57" s="14"/>
      <c r="E57" s="12"/>
      <c r="F57" s="12"/>
      <c r="G57" s="12"/>
      <c r="H57" s="12"/>
      <c r="I57" s="13"/>
      <c r="J57" s="13"/>
      <c r="K57" s="12"/>
    </row>
    <row r="58" customFormat="false" ht="15" hidden="false" customHeight="false" outlineLevel="0" collapsed="false">
      <c r="A58" s="47"/>
      <c r="B58" s="47"/>
      <c r="C58" s="47"/>
      <c r="D58" s="48"/>
      <c r="E58" s="47"/>
      <c r="F58" s="47"/>
      <c r="G58" s="47"/>
      <c r="H58" s="47"/>
      <c r="I58" s="49"/>
      <c r="J58" s="49"/>
      <c r="K58" s="47"/>
    </row>
    <row r="59" customFormat="false" ht="15" hidden="false" customHeight="false" outlineLevel="0" collapsed="false">
      <c r="A59" s="12"/>
      <c r="B59" s="12"/>
      <c r="C59" s="12"/>
      <c r="D59" s="14"/>
      <c r="E59" s="12"/>
      <c r="F59" s="12"/>
      <c r="G59" s="12"/>
      <c r="H59" s="12"/>
      <c r="I59" s="13"/>
      <c r="J59" s="13"/>
      <c r="K59" s="12"/>
    </row>
    <row r="60" customFormat="false" ht="15" hidden="false" customHeight="false" outlineLevel="0" collapsed="false">
      <c r="A60" s="47"/>
      <c r="B60" s="47"/>
      <c r="C60" s="47"/>
      <c r="D60" s="48"/>
      <c r="E60" s="47"/>
      <c r="F60" s="47"/>
      <c r="G60" s="47"/>
      <c r="H60" s="47"/>
      <c r="I60" s="49"/>
      <c r="J60" s="49"/>
      <c r="K60" s="47"/>
    </row>
    <row r="61" customFormat="false" ht="15" hidden="false" customHeight="false" outlineLevel="0" collapsed="false">
      <c r="A61" s="12"/>
      <c r="B61" s="12"/>
      <c r="C61" s="12"/>
      <c r="D61" s="14"/>
      <c r="E61" s="12"/>
      <c r="F61" s="12"/>
      <c r="G61" s="12"/>
      <c r="H61" s="12"/>
      <c r="I61" s="13"/>
      <c r="J61" s="13"/>
      <c r="K61" s="12"/>
    </row>
    <row r="62" customFormat="false" ht="15" hidden="false" customHeight="false" outlineLevel="0" collapsed="false">
      <c r="A62" s="47"/>
      <c r="B62" s="47"/>
      <c r="C62" s="47"/>
      <c r="D62" s="48"/>
      <c r="E62" s="47"/>
      <c r="F62" s="47"/>
      <c r="G62" s="47"/>
      <c r="H62" s="47"/>
      <c r="I62" s="49"/>
      <c r="J62" s="49"/>
      <c r="K62" s="47"/>
    </row>
    <row r="63" customFormat="false" ht="15" hidden="false" customHeight="false" outlineLevel="0" collapsed="false">
      <c r="A63" s="12"/>
      <c r="B63" s="12"/>
      <c r="C63" s="12"/>
      <c r="D63" s="14"/>
      <c r="E63" s="12"/>
      <c r="F63" s="12"/>
      <c r="G63" s="12"/>
      <c r="H63" s="12"/>
      <c r="I63" s="13"/>
      <c r="J63" s="13"/>
      <c r="K63" s="12"/>
    </row>
    <row r="64" customFormat="false" ht="15" hidden="false" customHeight="false" outlineLevel="0" collapsed="false">
      <c r="A64" s="47"/>
      <c r="B64" s="47"/>
      <c r="C64" s="47"/>
      <c r="D64" s="48"/>
      <c r="E64" s="47"/>
      <c r="F64" s="47"/>
      <c r="G64" s="47"/>
      <c r="H64" s="47"/>
      <c r="I64" s="49"/>
      <c r="J64" s="49"/>
      <c r="K64" s="47"/>
    </row>
    <row r="65" customFormat="false" ht="15" hidden="false" customHeight="false" outlineLevel="0" collapsed="false">
      <c r="A65" s="12"/>
      <c r="B65" s="12"/>
      <c r="C65" s="12"/>
      <c r="D65" s="14"/>
      <c r="E65" s="12"/>
      <c r="F65" s="12"/>
      <c r="G65" s="12"/>
      <c r="H65" s="12"/>
      <c r="I65" s="13"/>
      <c r="J65" s="13"/>
      <c r="K65" s="12"/>
    </row>
    <row r="66" customFormat="false" ht="15" hidden="false" customHeight="false" outlineLevel="0" collapsed="false">
      <c r="A66" s="47"/>
      <c r="B66" s="47"/>
      <c r="C66" s="47"/>
      <c r="D66" s="48"/>
      <c r="E66" s="47"/>
      <c r="F66" s="47"/>
      <c r="G66" s="47"/>
      <c r="H66" s="47"/>
      <c r="I66" s="49"/>
      <c r="J66" s="49"/>
      <c r="K66" s="47"/>
    </row>
    <row r="67" customFormat="false" ht="15" hidden="false" customHeight="false" outlineLevel="0" collapsed="false">
      <c r="A67" s="12"/>
      <c r="B67" s="12"/>
      <c r="C67" s="12"/>
      <c r="D67" s="14"/>
      <c r="E67" s="12"/>
      <c r="F67" s="12"/>
      <c r="G67" s="12"/>
      <c r="H67" s="12"/>
      <c r="I67" s="13"/>
      <c r="J67" s="13"/>
      <c r="K67" s="12"/>
    </row>
    <row r="68" customFormat="false" ht="15" hidden="false" customHeight="false" outlineLevel="0" collapsed="false">
      <c r="A68" s="47"/>
      <c r="B68" s="47"/>
      <c r="C68" s="47"/>
      <c r="D68" s="48"/>
      <c r="E68" s="47"/>
      <c r="F68" s="47"/>
      <c r="G68" s="47"/>
      <c r="H68" s="47"/>
      <c r="I68" s="49"/>
      <c r="J68" s="49"/>
      <c r="K68" s="47"/>
    </row>
    <row r="69" customFormat="false" ht="15" hidden="false" customHeight="false" outlineLevel="0" collapsed="false">
      <c r="A69" s="12"/>
      <c r="B69" s="12"/>
      <c r="C69" s="12"/>
      <c r="D69" s="14"/>
      <c r="E69" s="12"/>
      <c r="F69" s="12"/>
      <c r="G69" s="12"/>
      <c r="H69" s="12"/>
      <c r="I69" s="13"/>
      <c r="J69" s="13"/>
      <c r="K69" s="12"/>
    </row>
    <row r="70" customFormat="false" ht="15" hidden="false" customHeight="false" outlineLevel="0" collapsed="false">
      <c r="A70" s="47"/>
      <c r="B70" s="47"/>
      <c r="C70" s="47"/>
      <c r="D70" s="48"/>
      <c r="E70" s="47"/>
      <c r="F70" s="47"/>
      <c r="G70" s="47"/>
      <c r="H70" s="47"/>
      <c r="I70" s="49"/>
      <c r="J70" s="49"/>
      <c r="K70" s="47"/>
    </row>
    <row r="71" customFormat="false" ht="15" hidden="false" customHeight="false" outlineLevel="0" collapsed="false">
      <c r="A71" s="12"/>
      <c r="B71" s="12"/>
      <c r="C71" s="12"/>
      <c r="D71" s="14"/>
      <c r="E71" s="12"/>
      <c r="F71" s="12"/>
      <c r="G71" s="12"/>
      <c r="H71" s="12"/>
      <c r="I71" s="13"/>
      <c r="J71" s="13"/>
      <c r="K71" s="12"/>
    </row>
    <row r="72" customFormat="false" ht="15" hidden="false" customHeight="false" outlineLevel="0" collapsed="false">
      <c r="A72" s="47"/>
      <c r="B72" s="47"/>
      <c r="C72" s="47"/>
      <c r="D72" s="48"/>
      <c r="E72" s="47"/>
      <c r="F72" s="47"/>
      <c r="G72" s="47"/>
      <c r="H72" s="47"/>
      <c r="I72" s="49"/>
      <c r="J72" s="49"/>
      <c r="K72" s="47"/>
    </row>
    <row r="73" customFormat="false" ht="15" hidden="false" customHeight="false" outlineLevel="0" collapsed="false">
      <c r="A73" s="12"/>
      <c r="B73" s="12"/>
      <c r="C73" s="12"/>
      <c r="D73" s="14"/>
      <c r="E73" s="12"/>
      <c r="F73" s="12"/>
      <c r="G73" s="12"/>
      <c r="H73" s="12"/>
      <c r="I73" s="13"/>
      <c r="J73" s="13"/>
      <c r="K73" s="12"/>
    </row>
    <row r="74" customFormat="false" ht="15" hidden="false" customHeight="false" outlineLevel="0" collapsed="false">
      <c r="A74" s="47"/>
      <c r="B74" s="47"/>
      <c r="C74" s="47"/>
      <c r="D74" s="48"/>
      <c r="E74" s="47"/>
      <c r="F74" s="47"/>
      <c r="G74" s="47"/>
      <c r="H74" s="47"/>
      <c r="I74" s="49"/>
      <c r="J74" s="49"/>
      <c r="K74" s="47"/>
    </row>
    <row r="75" customFormat="false" ht="15" hidden="false" customHeight="false" outlineLevel="0" collapsed="false">
      <c r="A75" s="12"/>
      <c r="B75" s="12"/>
      <c r="C75" s="12"/>
      <c r="D75" s="14"/>
      <c r="E75" s="12"/>
      <c r="F75" s="12"/>
      <c r="G75" s="12"/>
      <c r="H75" s="12"/>
      <c r="I75" s="13"/>
      <c r="J75" s="13"/>
      <c r="K75" s="12"/>
    </row>
    <row r="76" customFormat="false" ht="15" hidden="false" customHeight="false" outlineLevel="0" collapsed="false">
      <c r="A76" s="47"/>
      <c r="B76" s="47"/>
      <c r="C76" s="47"/>
      <c r="D76" s="48"/>
      <c r="E76" s="47"/>
      <c r="F76" s="47"/>
      <c r="G76" s="47"/>
      <c r="H76" s="47"/>
      <c r="I76" s="49"/>
      <c r="J76" s="49"/>
      <c r="K76" s="47"/>
    </row>
    <row r="77" customFormat="false" ht="15" hidden="false" customHeight="false" outlineLevel="0" collapsed="false">
      <c r="A77" s="12"/>
      <c r="B77" s="12"/>
      <c r="C77" s="12"/>
      <c r="D77" s="14"/>
      <c r="E77" s="12"/>
      <c r="F77" s="12"/>
      <c r="G77" s="12"/>
      <c r="H77" s="12"/>
      <c r="I77" s="13"/>
      <c r="J77" s="13"/>
      <c r="K77" s="12"/>
    </row>
    <row r="78" customFormat="false" ht="15" hidden="false" customHeight="false" outlineLevel="0" collapsed="false">
      <c r="A78" s="47"/>
      <c r="B78" s="47"/>
      <c r="C78" s="47"/>
      <c r="D78" s="48"/>
      <c r="E78" s="47"/>
      <c r="F78" s="47"/>
      <c r="G78" s="47"/>
      <c r="H78" s="47"/>
      <c r="I78" s="49"/>
      <c r="J78" s="49"/>
      <c r="K78" s="47"/>
    </row>
    <row r="79" customFormat="false" ht="15" hidden="false" customHeight="false" outlineLevel="0" collapsed="false">
      <c r="A79" s="12"/>
      <c r="B79" s="12"/>
      <c r="C79" s="12"/>
      <c r="D79" s="14"/>
      <c r="E79" s="12"/>
      <c r="F79" s="12"/>
      <c r="G79" s="12"/>
      <c r="H79" s="12"/>
      <c r="I79" s="13"/>
      <c r="J79" s="13"/>
      <c r="K79" s="12"/>
    </row>
    <row r="80" customFormat="false" ht="15" hidden="false" customHeight="false" outlineLevel="0" collapsed="false">
      <c r="A80" s="47"/>
      <c r="B80" s="47"/>
      <c r="C80" s="47"/>
      <c r="D80" s="48"/>
      <c r="E80" s="47"/>
      <c r="F80" s="47"/>
      <c r="G80" s="47"/>
      <c r="H80" s="47"/>
      <c r="I80" s="49"/>
      <c r="J80" s="49"/>
      <c r="K80" s="47"/>
    </row>
    <row r="81" customFormat="false" ht="15" hidden="false" customHeight="false" outlineLevel="0" collapsed="false">
      <c r="A81" s="12"/>
      <c r="B81" s="12"/>
      <c r="C81" s="12"/>
      <c r="D81" s="14"/>
      <c r="E81" s="12"/>
      <c r="F81" s="12"/>
      <c r="G81" s="12"/>
      <c r="H81" s="12"/>
      <c r="I81" s="13"/>
      <c r="J81" s="13"/>
      <c r="K81" s="12"/>
    </row>
    <row r="82" customFormat="false" ht="15" hidden="false" customHeight="false" outlineLevel="0" collapsed="false">
      <c r="A82" s="47"/>
      <c r="B82" s="47"/>
      <c r="C82" s="47"/>
      <c r="D82" s="48"/>
      <c r="E82" s="47"/>
      <c r="F82" s="47"/>
      <c r="G82" s="47"/>
      <c r="H82" s="47"/>
      <c r="I82" s="49"/>
      <c r="J82" s="49"/>
      <c r="K82" s="47"/>
    </row>
    <row r="83" customFormat="false" ht="15" hidden="false" customHeight="false" outlineLevel="0" collapsed="false">
      <c r="A83" s="12"/>
      <c r="B83" s="12"/>
      <c r="C83" s="12"/>
      <c r="D83" s="14"/>
      <c r="E83" s="12"/>
      <c r="F83" s="12"/>
      <c r="G83" s="12"/>
      <c r="H83" s="12"/>
      <c r="I83" s="13"/>
      <c r="J83" s="13"/>
      <c r="K83" s="12"/>
    </row>
    <row r="84" customFormat="false" ht="15" hidden="false" customHeight="false" outlineLevel="0" collapsed="false">
      <c r="A84" s="47"/>
      <c r="B84" s="47"/>
      <c r="C84" s="47"/>
      <c r="D84" s="48"/>
      <c r="E84" s="47"/>
      <c r="F84" s="47"/>
      <c r="G84" s="47"/>
      <c r="H84" s="47"/>
      <c r="I84" s="49"/>
      <c r="J84" s="49"/>
      <c r="K84" s="47"/>
    </row>
    <row r="85" customFormat="false" ht="15" hidden="false" customHeight="false" outlineLevel="0" collapsed="false">
      <c r="A85" s="12"/>
      <c r="B85" s="12"/>
      <c r="C85" s="12"/>
      <c r="D85" s="14"/>
      <c r="E85" s="12"/>
      <c r="F85" s="12"/>
      <c r="G85" s="12"/>
      <c r="H85" s="12"/>
      <c r="I85" s="13"/>
      <c r="J85" s="13"/>
      <c r="K85" s="12"/>
    </row>
    <row r="86" customFormat="false" ht="15" hidden="false" customHeight="false" outlineLevel="0" collapsed="false">
      <c r="A86" s="47"/>
      <c r="B86" s="47"/>
      <c r="C86" s="47"/>
      <c r="D86" s="48"/>
      <c r="E86" s="47"/>
      <c r="F86" s="47"/>
      <c r="G86" s="47"/>
      <c r="H86" s="47"/>
      <c r="I86" s="49"/>
      <c r="J86" s="49"/>
      <c r="K86" s="47"/>
    </row>
    <row r="87" customFormat="false" ht="15" hidden="false" customHeight="false" outlineLevel="0" collapsed="false">
      <c r="A87" s="12"/>
      <c r="B87" s="12"/>
      <c r="C87" s="12"/>
      <c r="D87" s="14"/>
      <c r="E87" s="12"/>
      <c r="F87" s="12"/>
      <c r="G87" s="12"/>
      <c r="H87" s="12"/>
      <c r="I87" s="13"/>
      <c r="J87" s="13"/>
      <c r="K87" s="12"/>
    </row>
    <row r="88" customFormat="false" ht="15" hidden="false" customHeight="false" outlineLevel="0" collapsed="false">
      <c r="A88" s="47"/>
      <c r="B88" s="47"/>
      <c r="C88" s="47"/>
      <c r="D88" s="48"/>
      <c r="E88" s="47"/>
      <c r="F88" s="47"/>
      <c r="G88" s="47"/>
      <c r="H88" s="47"/>
      <c r="I88" s="49"/>
      <c r="J88" s="49"/>
      <c r="K88" s="47"/>
    </row>
    <row r="89" customFormat="false" ht="15" hidden="false" customHeight="false" outlineLevel="0" collapsed="false">
      <c r="A89" s="12"/>
      <c r="B89" s="12"/>
      <c r="C89" s="12"/>
      <c r="D89" s="14"/>
      <c r="E89" s="12"/>
      <c r="F89" s="12"/>
      <c r="G89" s="12"/>
      <c r="H89" s="12"/>
      <c r="I89" s="13"/>
      <c r="J89" s="13"/>
      <c r="K89" s="12"/>
    </row>
    <row r="90" customFormat="false" ht="15" hidden="false" customHeight="false" outlineLevel="0" collapsed="false">
      <c r="A90" s="47"/>
      <c r="B90" s="47"/>
      <c r="C90" s="47"/>
      <c r="D90" s="48"/>
      <c r="E90" s="47"/>
      <c r="F90" s="47"/>
      <c r="G90" s="47"/>
      <c r="H90" s="47"/>
      <c r="I90" s="49"/>
      <c r="J90" s="49"/>
      <c r="K90" s="47"/>
    </row>
    <row r="91" customFormat="false" ht="15" hidden="false" customHeight="false" outlineLevel="0" collapsed="false">
      <c r="A91" s="12"/>
      <c r="B91" s="12"/>
      <c r="C91" s="12"/>
      <c r="D91" s="14"/>
      <c r="E91" s="12"/>
      <c r="F91" s="12"/>
      <c r="G91" s="12"/>
      <c r="H91" s="12"/>
      <c r="I91" s="13"/>
      <c r="J91" s="13"/>
      <c r="K91" s="12"/>
    </row>
    <row r="92" customFormat="false" ht="15" hidden="false" customHeight="false" outlineLevel="0" collapsed="false">
      <c r="A92" s="47"/>
      <c r="B92" s="47"/>
      <c r="C92" s="47"/>
      <c r="D92" s="48"/>
      <c r="E92" s="47"/>
      <c r="F92" s="47"/>
      <c r="G92" s="47"/>
      <c r="H92" s="47"/>
      <c r="I92" s="49"/>
      <c r="J92" s="49"/>
      <c r="K92" s="47"/>
    </row>
    <row r="93" customFormat="false" ht="15" hidden="false" customHeight="false" outlineLevel="0" collapsed="false">
      <c r="A93" s="12"/>
      <c r="B93" s="12"/>
      <c r="C93" s="12"/>
      <c r="D93" s="14"/>
      <c r="E93" s="12"/>
      <c r="F93" s="12"/>
      <c r="G93" s="12"/>
      <c r="H93" s="12"/>
      <c r="I93" s="13"/>
      <c r="J93" s="13"/>
      <c r="K93" s="12"/>
    </row>
    <row r="94" customFormat="false" ht="15" hidden="false" customHeight="false" outlineLevel="0" collapsed="false">
      <c r="A94" s="47"/>
      <c r="B94" s="47"/>
      <c r="C94" s="47"/>
      <c r="D94" s="48"/>
      <c r="E94" s="47"/>
      <c r="F94" s="47"/>
      <c r="G94" s="47"/>
      <c r="H94" s="47"/>
      <c r="I94" s="49"/>
      <c r="J94" s="49"/>
      <c r="K94" s="47"/>
    </row>
    <row r="95" customFormat="false" ht="15" hidden="false" customHeight="false" outlineLevel="0" collapsed="false">
      <c r="A95" s="12"/>
      <c r="B95" s="12"/>
      <c r="C95" s="12"/>
      <c r="D95" s="14"/>
      <c r="E95" s="12"/>
      <c r="F95" s="12"/>
      <c r="G95" s="12"/>
      <c r="H95" s="12"/>
      <c r="I95" s="13"/>
      <c r="J95" s="13"/>
      <c r="K95" s="12"/>
    </row>
    <row r="96" customFormat="false" ht="15" hidden="false" customHeight="false" outlineLevel="0" collapsed="false">
      <c r="A96" s="47"/>
      <c r="B96" s="47"/>
      <c r="C96" s="47"/>
      <c r="D96" s="48"/>
      <c r="E96" s="47"/>
      <c r="F96" s="47"/>
      <c r="G96" s="47"/>
      <c r="H96" s="47"/>
      <c r="I96" s="49"/>
      <c r="J96" s="49"/>
      <c r="K96" s="47"/>
    </row>
    <row r="97" customFormat="false" ht="15" hidden="false" customHeight="false" outlineLevel="0" collapsed="false">
      <c r="A97" s="12"/>
      <c r="B97" s="12"/>
      <c r="C97" s="12"/>
      <c r="D97" s="14"/>
      <c r="E97" s="12"/>
      <c r="F97" s="12"/>
      <c r="G97" s="12"/>
      <c r="H97" s="12"/>
      <c r="I97" s="13"/>
      <c r="J97" s="13"/>
      <c r="K97" s="12"/>
    </row>
    <row r="98" customFormat="false" ht="15" hidden="false" customHeight="false" outlineLevel="0" collapsed="false">
      <c r="A98" s="47"/>
      <c r="B98" s="47"/>
      <c r="C98" s="47"/>
      <c r="D98" s="48"/>
      <c r="E98" s="47"/>
      <c r="F98" s="47"/>
      <c r="G98" s="47"/>
      <c r="H98" s="47"/>
      <c r="I98" s="49"/>
      <c r="J98" s="49"/>
      <c r="K98" s="47"/>
    </row>
    <row r="99" customFormat="false" ht="15" hidden="false" customHeight="false" outlineLevel="0" collapsed="false">
      <c r="A99" s="12"/>
      <c r="B99" s="12"/>
      <c r="C99" s="12"/>
      <c r="D99" s="14"/>
      <c r="E99" s="12"/>
      <c r="F99" s="12"/>
      <c r="G99" s="12"/>
      <c r="H99" s="12"/>
      <c r="I99" s="13"/>
      <c r="J99" s="13"/>
      <c r="K99" s="12"/>
    </row>
    <row r="100" customFormat="false" ht="15" hidden="false" customHeight="false" outlineLevel="0" collapsed="false">
      <c r="A100" s="47"/>
      <c r="B100" s="47"/>
      <c r="C100" s="47"/>
      <c r="D100" s="48"/>
      <c r="E100" s="47"/>
      <c r="F100" s="47"/>
      <c r="G100" s="47"/>
      <c r="H100" s="47"/>
      <c r="I100" s="49"/>
      <c r="J100" s="49"/>
      <c r="K100" s="47"/>
    </row>
    <row r="101" customFormat="false" ht="15" hidden="false" customHeight="false" outlineLevel="0" collapsed="false">
      <c r="A101" s="12"/>
      <c r="B101" s="12"/>
      <c r="C101" s="12"/>
      <c r="D101" s="14"/>
      <c r="E101" s="12"/>
      <c r="F101" s="12"/>
      <c r="G101" s="12"/>
      <c r="H101" s="12"/>
      <c r="I101" s="13"/>
      <c r="J101" s="13"/>
      <c r="K101" s="12"/>
    </row>
    <row r="102" customFormat="false" ht="15" hidden="false" customHeight="false" outlineLevel="0" collapsed="false">
      <c r="A102" s="47"/>
      <c r="B102" s="47"/>
      <c r="C102" s="47"/>
      <c r="D102" s="48"/>
      <c r="E102" s="47"/>
      <c r="F102" s="47"/>
      <c r="G102" s="47"/>
      <c r="H102" s="47"/>
      <c r="I102" s="49"/>
      <c r="J102" s="49"/>
      <c r="K102" s="47"/>
    </row>
    <row r="103" customFormat="false" ht="15" hidden="false" customHeight="false" outlineLevel="0" collapsed="false">
      <c r="A103" s="12"/>
      <c r="B103" s="12"/>
      <c r="C103" s="12"/>
      <c r="D103" s="14"/>
      <c r="E103" s="12"/>
      <c r="F103" s="12"/>
      <c r="G103" s="12"/>
      <c r="H103" s="12"/>
      <c r="I103" s="13"/>
      <c r="J103" s="13"/>
      <c r="K103" s="12"/>
    </row>
    <row r="104" customFormat="false" ht="15" hidden="false" customHeight="false" outlineLevel="0" collapsed="false">
      <c r="A104" s="47"/>
      <c r="B104" s="47"/>
      <c r="C104" s="47"/>
      <c r="D104" s="48"/>
      <c r="E104" s="47"/>
      <c r="F104" s="47"/>
      <c r="G104" s="47"/>
      <c r="H104" s="47"/>
      <c r="I104" s="49"/>
      <c r="J104" s="49"/>
      <c r="K104" s="47"/>
    </row>
    <row r="105" customFormat="false" ht="15" hidden="false" customHeight="false" outlineLevel="0" collapsed="false">
      <c r="A105" s="12"/>
      <c r="B105" s="12"/>
      <c r="C105" s="12"/>
      <c r="D105" s="14"/>
      <c r="E105" s="12"/>
      <c r="F105" s="12"/>
      <c r="G105" s="12"/>
      <c r="H105" s="12"/>
      <c r="I105" s="13"/>
      <c r="J105" s="13"/>
      <c r="K105" s="12"/>
    </row>
    <row r="106" customFormat="false" ht="15" hidden="false" customHeight="false" outlineLevel="0" collapsed="false">
      <c r="A106" s="47"/>
      <c r="B106" s="47"/>
      <c r="C106" s="47"/>
      <c r="D106" s="48"/>
      <c r="E106" s="47"/>
      <c r="F106" s="47"/>
      <c r="G106" s="47"/>
      <c r="H106" s="47"/>
      <c r="I106" s="49"/>
      <c r="J106" s="49"/>
      <c r="K106" s="47"/>
    </row>
    <row r="107" customFormat="false" ht="15" hidden="false" customHeight="false" outlineLevel="0" collapsed="false">
      <c r="A107" s="12"/>
      <c r="B107" s="12"/>
      <c r="C107" s="12"/>
      <c r="D107" s="14"/>
      <c r="E107" s="12"/>
      <c r="F107" s="12"/>
      <c r="G107" s="12"/>
      <c r="H107" s="12"/>
      <c r="I107" s="13"/>
      <c r="J107" s="13"/>
      <c r="K107" s="12"/>
    </row>
    <row r="108" customFormat="false" ht="15" hidden="false" customHeight="false" outlineLevel="0" collapsed="false">
      <c r="A108" s="47"/>
      <c r="B108" s="47"/>
      <c r="C108" s="47"/>
      <c r="D108" s="48"/>
      <c r="E108" s="47"/>
      <c r="F108" s="47"/>
      <c r="G108" s="47"/>
      <c r="H108" s="47"/>
      <c r="I108" s="49"/>
      <c r="J108" s="49"/>
      <c r="K108" s="47"/>
    </row>
    <row r="109" customFormat="false" ht="15" hidden="false" customHeight="false" outlineLevel="0" collapsed="false">
      <c r="A109" s="12"/>
      <c r="B109" s="12"/>
      <c r="C109" s="12"/>
      <c r="D109" s="14"/>
      <c r="E109" s="12"/>
      <c r="F109" s="12"/>
      <c r="G109" s="12"/>
      <c r="H109" s="12"/>
      <c r="I109" s="13"/>
      <c r="J109" s="13"/>
      <c r="K109" s="12"/>
    </row>
    <row r="110" customFormat="false" ht="15" hidden="false" customHeight="false" outlineLevel="0" collapsed="false">
      <c r="A110" s="47"/>
      <c r="B110" s="47"/>
      <c r="C110" s="47"/>
      <c r="D110" s="48"/>
      <c r="E110" s="47"/>
      <c r="F110" s="47"/>
      <c r="G110" s="47"/>
      <c r="H110" s="47"/>
      <c r="I110" s="49"/>
      <c r="J110" s="49"/>
      <c r="K110" s="47"/>
    </row>
    <row r="111" customFormat="false" ht="15" hidden="false" customHeight="false" outlineLevel="0" collapsed="false">
      <c r="A111" s="12"/>
      <c r="B111" s="12"/>
      <c r="C111" s="12"/>
      <c r="D111" s="14"/>
      <c r="E111" s="12"/>
      <c r="F111" s="12"/>
      <c r="G111" s="12"/>
      <c r="H111" s="12"/>
      <c r="I111" s="13"/>
      <c r="J111" s="13"/>
      <c r="K111" s="12"/>
    </row>
    <row r="112" customFormat="false" ht="15" hidden="false" customHeight="false" outlineLevel="0" collapsed="false">
      <c r="A112" s="47"/>
      <c r="B112" s="47"/>
      <c r="C112" s="47"/>
      <c r="D112" s="48"/>
      <c r="E112" s="47"/>
      <c r="F112" s="47"/>
      <c r="G112" s="47"/>
      <c r="H112" s="47"/>
      <c r="I112" s="49"/>
      <c r="J112" s="49"/>
      <c r="K112" s="47"/>
    </row>
    <row r="113" customFormat="false" ht="15" hidden="false" customHeight="false" outlineLevel="0" collapsed="false">
      <c r="A113" s="12"/>
      <c r="B113" s="12"/>
      <c r="C113" s="12"/>
      <c r="D113" s="14"/>
      <c r="E113" s="12"/>
      <c r="F113" s="12"/>
      <c r="G113" s="12"/>
      <c r="H113" s="12"/>
      <c r="I113" s="13"/>
      <c r="J113" s="13"/>
      <c r="K113" s="12"/>
    </row>
    <row r="114" customFormat="false" ht="15" hidden="false" customHeight="false" outlineLevel="0" collapsed="false">
      <c r="A114" s="47"/>
      <c r="B114" s="47"/>
      <c r="C114" s="47"/>
      <c r="D114" s="48"/>
      <c r="E114" s="47"/>
      <c r="F114" s="47"/>
      <c r="G114" s="47"/>
      <c r="H114" s="47"/>
      <c r="I114" s="49"/>
      <c r="J114" s="49"/>
      <c r="K114" s="47"/>
    </row>
    <row r="115" customFormat="false" ht="15" hidden="false" customHeight="false" outlineLevel="0" collapsed="false">
      <c r="A115" s="12"/>
      <c r="B115" s="12"/>
      <c r="C115" s="12"/>
      <c r="D115" s="14"/>
      <c r="E115" s="12"/>
      <c r="F115" s="12"/>
      <c r="G115" s="12"/>
      <c r="H115" s="12"/>
      <c r="I115" s="13"/>
      <c r="J115" s="13"/>
      <c r="K115" s="12"/>
    </row>
    <row r="116" customFormat="false" ht="15" hidden="false" customHeight="false" outlineLevel="0" collapsed="false">
      <c r="A116" s="47"/>
      <c r="B116" s="47"/>
      <c r="C116" s="47"/>
      <c r="D116" s="48"/>
      <c r="E116" s="47"/>
      <c r="F116" s="47"/>
      <c r="G116" s="47"/>
      <c r="H116" s="47"/>
      <c r="I116" s="49"/>
      <c r="J116" s="49"/>
      <c r="K116" s="47"/>
    </row>
    <row r="117" customFormat="false" ht="15" hidden="false" customHeight="false" outlineLevel="0" collapsed="false">
      <c r="A117" s="12"/>
      <c r="B117" s="12"/>
      <c r="C117" s="12"/>
      <c r="D117" s="14"/>
      <c r="E117" s="12"/>
      <c r="F117" s="12"/>
      <c r="G117" s="12"/>
      <c r="H117" s="12"/>
      <c r="I117" s="13"/>
      <c r="J117" s="13"/>
      <c r="K117" s="12"/>
    </row>
    <row r="118" customFormat="false" ht="15" hidden="false" customHeight="false" outlineLevel="0" collapsed="false">
      <c r="A118" s="47"/>
      <c r="B118" s="47"/>
      <c r="C118" s="47"/>
      <c r="D118" s="48"/>
      <c r="E118" s="47"/>
      <c r="F118" s="47"/>
      <c r="G118" s="47"/>
      <c r="H118" s="47"/>
      <c r="I118" s="49"/>
      <c r="J118" s="49"/>
      <c r="K118" s="47"/>
    </row>
    <row r="119" customFormat="false" ht="15" hidden="false" customHeight="false" outlineLevel="0" collapsed="false">
      <c r="A119" s="12"/>
      <c r="B119" s="12"/>
      <c r="C119" s="12"/>
      <c r="D119" s="14"/>
      <c r="E119" s="12"/>
      <c r="F119" s="12"/>
      <c r="G119" s="12"/>
      <c r="H119" s="12"/>
      <c r="I119" s="13"/>
      <c r="J119" s="13"/>
      <c r="K119" s="12"/>
    </row>
    <row r="120" customFormat="false" ht="15" hidden="false" customHeight="false" outlineLevel="0" collapsed="false">
      <c r="A120" s="47"/>
      <c r="B120" s="47"/>
      <c r="C120" s="47"/>
      <c r="D120" s="48"/>
      <c r="E120" s="47"/>
      <c r="F120" s="47"/>
      <c r="G120" s="47"/>
      <c r="H120" s="47"/>
      <c r="I120" s="49"/>
      <c r="J120" s="49"/>
      <c r="K120" s="47"/>
    </row>
    <row r="121" customFormat="false" ht="15" hidden="false" customHeight="false" outlineLevel="0" collapsed="false">
      <c r="A121" s="12"/>
      <c r="B121" s="12"/>
      <c r="C121" s="12"/>
      <c r="D121" s="14"/>
      <c r="E121" s="12"/>
      <c r="F121" s="12"/>
      <c r="G121" s="12"/>
      <c r="H121" s="12"/>
      <c r="I121" s="13"/>
      <c r="J121" s="13"/>
      <c r="K121" s="12"/>
    </row>
    <row r="122" customFormat="false" ht="15" hidden="false" customHeight="false" outlineLevel="0" collapsed="false">
      <c r="A122" s="47"/>
      <c r="B122" s="47"/>
      <c r="C122" s="47"/>
      <c r="D122" s="48"/>
      <c r="E122" s="47"/>
      <c r="F122" s="47"/>
      <c r="G122" s="47"/>
      <c r="H122" s="47"/>
      <c r="I122" s="49"/>
      <c r="J122" s="49"/>
      <c r="K122" s="47"/>
    </row>
    <row r="123" customFormat="false" ht="15" hidden="false" customHeight="false" outlineLevel="0" collapsed="false">
      <c r="A123" s="12"/>
      <c r="B123" s="12"/>
      <c r="C123" s="12"/>
      <c r="D123" s="14"/>
      <c r="E123" s="12"/>
      <c r="F123" s="12"/>
      <c r="G123" s="12"/>
      <c r="H123" s="12"/>
      <c r="I123" s="13"/>
      <c r="J123" s="13"/>
      <c r="K123" s="12"/>
    </row>
    <row r="124" customFormat="false" ht="15" hidden="false" customHeight="false" outlineLevel="0" collapsed="false">
      <c r="A124" s="47"/>
      <c r="B124" s="47"/>
      <c r="C124" s="47"/>
      <c r="D124" s="48"/>
      <c r="E124" s="47"/>
      <c r="F124" s="47"/>
      <c r="G124" s="47"/>
      <c r="H124" s="47"/>
      <c r="I124" s="49"/>
      <c r="J124" s="49"/>
      <c r="K124" s="47"/>
    </row>
    <row r="125" customFormat="false" ht="15" hidden="false" customHeight="false" outlineLevel="0" collapsed="false">
      <c r="A125" s="12"/>
      <c r="B125" s="12"/>
      <c r="C125" s="12"/>
      <c r="D125" s="14"/>
      <c r="E125" s="12"/>
      <c r="F125" s="12"/>
      <c r="G125" s="12"/>
      <c r="H125" s="12"/>
      <c r="I125" s="13"/>
      <c r="J125" s="13"/>
      <c r="K125" s="12"/>
    </row>
    <row r="126" customFormat="false" ht="15" hidden="false" customHeight="false" outlineLevel="0" collapsed="false">
      <c r="A126" s="47"/>
      <c r="B126" s="47"/>
      <c r="C126" s="47"/>
      <c r="D126" s="48"/>
      <c r="E126" s="47"/>
      <c r="F126" s="47"/>
      <c r="G126" s="47"/>
      <c r="H126" s="47"/>
      <c r="I126" s="49"/>
      <c r="J126" s="49"/>
      <c r="K126" s="47"/>
    </row>
    <row r="127" customFormat="false" ht="15" hidden="false" customHeight="false" outlineLevel="0" collapsed="false">
      <c r="A127" s="12"/>
      <c r="B127" s="12"/>
      <c r="C127" s="12"/>
      <c r="D127" s="14"/>
      <c r="E127" s="12"/>
      <c r="F127" s="12"/>
      <c r="G127" s="12"/>
      <c r="H127" s="12"/>
      <c r="I127" s="13"/>
      <c r="J127" s="13"/>
      <c r="K127" s="12"/>
    </row>
    <row r="128" customFormat="false" ht="15" hidden="false" customHeight="false" outlineLevel="0" collapsed="false">
      <c r="A128" s="47"/>
      <c r="B128" s="47"/>
      <c r="C128" s="47"/>
      <c r="D128" s="48"/>
      <c r="E128" s="47"/>
      <c r="F128" s="47"/>
      <c r="G128" s="47"/>
      <c r="H128" s="47"/>
      <c r="I128" s="49"/>
      <c r="J128" s="49"/>
      <c r="K128" s="47"/>
    </row>
    <row r="129" customFormat="false" ht="15" hidden="false" customHeight="false" outlineLevel="0" collapsed="false">
      <c r="A129" s="12"/>
      <c r="B129" s="12"/>
      <c r="C129" s="12"/>
      <c r="D129" s="14"/>
      <c r="E129" s="12"/>
      <c r="F129" s="12"/>
      <c r="G129" s="12"/>
      <c r="H129" s="12"/>
      <c r="I129" s="13"/>
      <c r="J129" s="13"/>
      <c r="K129" s="12"/>
    </row>
    <row r="130" customFormat="false" ht="15" hidden="false" customHeight="false" outlineLevel="0" collapsed="false">
      <c r="A130" s="47"/>
      <c r="B130" s="47"/>
      <c r="C130" s="47"/>
      <c r="D130" s="48"/>
      <c r="E130" s="47"/>
      <c r="F130" s="47"/>
      <c r="G130" s="47"/>
      <c r="H130" s="47"/>
      <c r="I130" s="49"/>
      <c r="J130" s="49"/>
      <c r="K130" s="47"/>
    </row>
    <row r="131" customFormat="false" ht="15" hidden="false" customHeight="false" outlineLevel="0" collapsed="false">
      <c r="A131" s="12"/>
      <c r="B131" s="12"/>
      <c r="C131" s="12"/>
      <c r="D131" s="14"/>
      <c r="E131" s="12"/>
      <c r="F131" s="12"/>
      <c r="G131" s="12"/>
      <c r="H131" s="12"/>
      <c r="I131" s="13"/>
      <c r="J131" s="13"/>
      <c r="K131" s="12"/>
    </row>
    <row r="132" customFormat="false" ht="15" hidden="false" customHeight="false" outlineLevel="0" collapsed="false">
      <c r="A132" s="47"/>
      <c r="B132" s="47"/>
      <c r="C132" s="47"/>
      <c r="D132" s="48"/>
      <c r="E132" s="47"/>
      <c r="F132" s="47"/>
      <c r="G132" s="47"/>
      <c r="H132" s="47"/>
      <c r="I132" s="49"/>
      <c r="J132" s="49"/>
      <c r="K132" s="47"/>
    </row>
    <row r="133" customFormat="false" ht="15" hidden="false" customHeight="false" outlineLevel="0" collapsed="false">
      <c r="A133" s="12"/>
      <c r="B133" s="12"/>
      <c r="C133" s="12"/>
      <c r="D133" s="14"/>
      <c r="E133" s="12"/>
      <c r="F133" s="12"/>
      <c r="G133" s="12"/>
      <c r="H133" s="12"/>
      <c r="I133" s="13"/>
      <c r="J133" s="13"/>
      <c r="K133" s="12"/>
    </row>
    <row r="134" customFormat="false" ht="15" hidden="false" customHeight="false" outlineLevel="0" collapsed="false">
      <c r="A134" s="47"/>
      <c r="B134" s="47"/>
      <c r="C134" s="47"/>
      <c r="D134" s="48"/>
      <c r="E134" s="47"/>
      <c r="F134" s="47"/>
      <c r="G134" s="47"/>
      <c r="H134" s="47"/>
      <c r="I134" s="49"/>
      <c r="J134" s="49"/>
      <c r="K134" s="47"/>
    </row>
    <row r="135" customFormat="false" ht="15" hidden="false" customHeight="false" outlineLevel="0" collapsed="false">
      <c r="A135" s="12"/>
      <c r="B135" s="12"/>
      <c r="C135" s="12"/>
      <c r="D135" s="14"/>
      <c r="E135" s="12"/>
      <c r="F135" s="12"/>
      <c r="G135" s="12"/>
      <c r="H135" s="12"/>
      <c r="I135" s="13"/>
      <c r="J135" s="13"/>
      <c r="K135" s="12"/>
    </row>
    <row r="136" customFormat="false" ht="15" hidden="false" customHeight="false" outlineLevel="0" collapsed="false">
      <c r="A136" s="47"/>
      <c r="B136" s="47"/>
      <c r="C136" s="47"/>
      <c r="D136" s="48"/>
      <c r="E136" s="47"/>
      <c r="F136" s="47"/>
      <c r="G136" s="47"/>
      <c r="H136" s="47"/>
      <c r="I136" s="49"/>
      <c r="J136" s="49"/>
      <c r="K136" s="47"/>
    </row>
    <row r="137" customFormat="false" ht="15" hidden="false" customHeight="false" outlineLevel="0" collapsed="false">
      <c r="A137" s="12"/>
      <c r="B137" s="12"/>
      <c r="C137" s="12"/>
      <c r="D137" s="14"/>
      <c r="E137" s="12"/>
      <c r="F137" s="12"/>
      <c r="G137" s="12"/>
      <c r="H137" s="12"/>
      <c r="I137" s="13"/>
      <c r="J137" s="13"/>
      <c r="K137" s="12"/>
    </row>
    <row r="138" customFormat="false" ht="15" hidden="false" customHeight="false" outlineLevel="0" collapsed="false">
      <c r="A138" s="47"/>
      <c r="B138" s="47"/>
      <c r="C138" s="47"/>
      <c r="D138" s="48"/>
      <c r="E138" s="47"/>
      <c r="F138" s="47"/>
      <c r="G138" s="47"/>
      <c r="H138" s="47"/>
      <c r="I138" s="49"/>
      <c r="J138" s="49"/>
      <c r="K138" s="47"/>
    </row>
    <row r="139" customFormat="false" ht="15" hidden="false" customHeight="false" outlineLevel="0" collapsed="false">
      <c r="A139" s="12"/>
      <c r="B139" s="12"/>
      <c r="C139" s="12"/>
      <c r="D139" s="14"/>
      <c r="E139" s="12"/>
      <c r="F139" s="12"/>
      <c r="G139" s="12"/>
      <c r="H139" s="12"/>
      <c r="I139" s="13"/>
      <c r="J139" s="13"/>
      <c r="K139" s="12"/>
    </row>
    <row r="140" customFormat="false" ht="15" hidden="false" customHeight="false" outlineLevel="0" collapsed="false">
      <c r="A140" s="47"/>
      <c r="B140" s="47"/>
      <c r="C140" s="47"/>
      <c r="D140" s="48"/>
      <c r="E140" s="47"/>
      <c r="F140" s="47"/>
      <c r="G140" s="47"/>
      <c r="H140" s="47"/>
      <c r="I140" s="49"/>
      <c r="J140" s="49"/>
      <c r="K140" s="47"/>
    </row>
    <row r="141" customFormat="false" ht="15" hidden="false" customHeight="false" outlineLevel="0" collapsed="false">
      <c r="A141" s="12"/>
      <c r="B141" s="12"/>
      <c r="C141" s="12"/>
      <c r="D141" s="14"/>
      <c r="E141" s="12"/>
      <c r="F141" s="12"/>
      <c r="G141" s="12"/>
      <c r="H141" s="12"/>
      <c r="I141" s="13"/>
      <c r="J141" s="13"/>
      <c r="K141" s="12"/>
    </row>
    <row r="142" customFormat="false" ht="15" hidden="false" customHeight="false" outlineLevel="0" collapsed="false">
      <c r="A142" s="47"/>
      <c r="B142" s="47"/>
      <c r="C142" s="47"/>
      <c r="D142" s="48"/>
      <c r="E142" s="47"/>
      <c r="F142" s="47"/>
      <c r="G142" s="47"/>
      <c r="H142" s="47"/>
      <c r="I142" s="49"/>
      <c r="J142" s="49"/>
      <c r="K142" s="47"/>
    </row>
    <row r="143" customFormat="false" ht="15" hidden="false" customHeight="false" outlineLevel="0" collapsed="false">
      <c r="A143" s="12"/>
      <c r="B143" s="12"/>
      <c r="C143" s="12"/>
      <c r="D143" s="14"/>
      <c r="E143" s="12"/>
      <c r="F143" s="12"/>
      <c r="G143" s="12"/>
      <c r="H143" s="12"/>
      <c r="I143" s="13"/>
      <c r="J143" s="13"/>
      <c r="K143" s="12"/>
    </row>
    <row r="144" customFormat="false" ht="15" hidden="false" customHeight="false" outlineLevel="0" collapsed="false">
      <c r="A144" s="47"/>
      <c r="B144" s="47"/>
      <c r="C144" s="47"/>
      <c r="D144" s="48"/>
      <c r="E144" s="47"/>
      <c r="F144" s="47"/>
      <c r="G144" s="47"/>
      <c r="H144" s="47"/>
      <c r="I144" s="49"/>
      <c r="J144" s="49"/>
      <c r="K144" s="47"/>
    </row>
    <row r="145" customFormat="false" ht="15" hidden="false" customHeight="false" outlineLevel="0" collapsed="false">
      <c r="A145" s="12"/>
      <c r="B145" s="12"/>
      <c r="C145" s="12"/>
      <c r="D145" s="14"/>
      <c r="E145" s="12"/>
      <c r="F145" s="12"/>
      <c r="G145" s="12"/>
      <c r="H145" s="12"/>
      <c r="I145" s="13"/>
      <c r="J145" s="13"/>
      <c r="K145" s="12"/>
    </row>
    <row r="146" customFormat="false" ht="15" hidden="false" customHeight="false" outlineLevel="0" collapsed="false">
      <c r="A146" s="47"/>
      <c r="B146" s="47"/>
      <c r="C146" s="47"/>
      <c r="D146" s="48"/>
      <c r="E146" s="47"/>
      <c r="F146" s="47"/>
      <c r="G146" s="47"/>
      <c r="H146" s="47"/>
      <c r="I146" s="49"/>
      <c r="J146" s="49"/>
      <c r="K146" s="47"/>
    </row>
    <row r="147" customFormat="false" ht="15" hidden="false" customHeight="false" outlineLevel="0" collapsed="false">
      <c r="A147" s="12"/>
      <c r="B147" s="12"/>
      <c r="C147" s="12"/>
      <c r="D147" s="14"/>
      <c r="E147" s="12"/>
      <c r="F147" s="12"/>
      <c r="G147" s="12"/>
      <c r="H147" s="12"/>
      <c r="I147" s="13"/>
      <c r="J147" s="13"/>
      <c r="K147" s="12"/>
    </row>
    <row r="148" customFormat="false" ht="15" hidden="false" customHeight="false" outlineLevel="0" collapsed="false">
      <c r="A148" s="47"/>
      <c r="B148" s="47"/>
      <c r="C148" s="47"/>
      <c r="D148" s="48"/>
      <c r="E148" s="47"/>
      <c r="F148" s="47"/>
      <c r="G148" s="47"/>
      <c r="H148" s="47"/>
      <c r="I148" s="49"/>
      <c r="J148" s="49"/>
      <c r="K148" s="47"/>
    </row>
    <row r="149" customFormat="false" ht="15" hidden="false" customHeight="false" outlineLevel="0" collapsed="false">
      <c r="A149" s="12"/>
      <c r="B149" s="12"/>
      <c r="C149" s="12"/>
      <c r="D149" s="14"/>
      <c r="E149" s="12"/>
      <c r="F149" s="12"/>
      <c r="G149" s="12"/>
      <c r="H149" s="12"/>
      <c r="I149" s="13"/>
      <c r="J149" s="13"/>
      <c r="K149" s="12"/>
    </row>
    <row r="150" customFormat="false" ht="15" hidden="false" customHeight="false" outlineLevel="0" collapsed="false">
      <c r="A150" s="47"/>
      <c r="B150" s="47"/>
      <c r="C150" s="47"/>
      <c r="D150" s="48"/>
      <c r="E150" s="47"/>
      <c r="F150" s="47"/>
      <c r="G150" s="47"/>
      <c r="H150" s="47"/>
      <c r="I150" s="49"/>
      <c r="J150" s="49"/>
      <c r="K150" s="47"/>
    </row>
    <row r="151" customFormat="false" ht="15" hidden="false" customHeight="false" outlineLevel="0" collapsed="false">
      <c r="A151" s="12"/>
      <c r="B151" s="12"/>
      <c r="C151" s="12"/>
      <c r="D151" s="14"/>
      <c r="E151" s="12"/>
      <c r="F151" s="12"/>
      <c r="G151" s="12"/>
      <c r="H151" s="12"/>
      <c r="I151" s="13"/>
      <c r="J151" s="13"/>
      <c r="K151" s="12"/>
    </row>
    <row r="152" customFormat="false" ht="15" hidden="false" customHeight="false" outlineLevel="0" collapsed="false">
      <c r="A152" s="47"/>
      <c r="B152" s="47"/>
      <c r="C152" s="47"/>
      <c r="D152" s="48"/>
      <c r="E152" s="47"/>
      <c r="F152" s="47"/>
      <c r="G152" s="47"/>
      <c r="H152" s="47"/>
      <c r="I152" s="49"/>
      <c r="J152" s="49"/>
      <c r="K152" s="47"/>
    </row>
    <row r="153" customFormat="false" ht="15" hidden="false" customHeight="false" outlineLevel="0" collapsed="false">
      <c r="A153" s="12"/>
      <c r="B153" s="12"/>
      <c r="C153" s="12"/>
      <c r="D153" s="14"/>
      <c r="E153" s="12"/>
      <c r="F153" s="12"/>
      <c r="G153" s="12"/>
      <c r="H153" s="12"/>
      <c r="I153" s="13"/>
      <c r="J153" s="13"/>
      <c r="K153" s="12"/>
    </row>
    <row r="154" customFormat="false" ht="15" hidden="false" customHeight="false" outlineLevel="0" collapsed="false">
      <c r="A154" s="47"/>
      <c r="B154" s="47"/>
      <c r="C154" s="47"/>
      <c r="D154" s="48"/>
      <c r="E154" s="47"/>
      <c r="F154" s="47"/>
      <c r="G154" s="47"/>
      <c r="H154" s="47"/>
      <c r="I154" s="49"/>
      <c r="J154" s="49"/>
      <c r="K154" s="47"/>
    </row>
    <row r="155" customFormat="false" ht="15" hidden="false" customHeight="false" outlineLevel="0" collapsed="false">
      <c r="A155" s="12"/>
      <c r="B155" s="12"/>
      <c r="C155" s="12"/>
      <c r="D155" s="14"/>
      <c r="E155" s="12"/>
      <c r="F155" s="12"/>
      <c r="G155" s="12"/>
      <c r="H155" s="12"/>
      <c r="I155" s="13"/>
      <c r="J155" s="13"/>
      <c r="K155" s="12"/>
    </row>
    <row r="156" customFormat="false" ht="15" hidden="false" customHeight="false" outlineLevel="0" collapsed="false">
      <c r="A156" s="47"/>
      <c r="B156" s="47"/>
      <c r="C156" s="47"/>
      <c r="D156" s="48"/>
      <c r="E156" s="47"/>
      <c r="F156" s="47"/>
      <c r="G156" s="47"/>
      <c r="H156" s="47"/>
      <c r="I156" s="49"/>
      <c r="J156" s="49"/>
      <c r="K156" s="47"/>
    </row>
    <row r="157" customFormat="false" ht="15" hidden="false" customHeight="false" outlineLevel="0" collapsed="false">
      <c r="A157" s="12"/>
      <c r="B157" s="12"/>
      <c r="C157" s="12"/>
      <c r="D157" s="14"/>
      <c r="E157" s="12"/>
      <c r="F157" s="12"/>
      <c r="G157" s="12"/>
      <c r="H157" s="12"/>
      <c r="I157" s="13"/>
      <c r="J157" s="13"/>
      <c r="K157" s="12"/>
    </row>
    <row r="158" customFormat="false" ht="15" hidden="false" customHeight="false" outlineLevel="0" collapsed="false">
      <c r="A158" s="47"/>
      <c r="B158" s="47"/>
      <c r="C158" s="47"/>
      <c r="D158" s="48"/>
      <c r="E158" s="47"/>
      <c r="F158" s="47"/>
      <c r="G158" s="47"/>
      <c r="H158" s="47"/>
      <c r="I158" s="49"/>
      <c r="J158" s="49"/>
      <c r="K158" s="47"/>
    </row>
    <row r="159" customFormat="false" ht="15" hidden="false" customHeight="false" outlineLevel="0" collapsed="false">
      <c r="A159" s="12"/>
      <c r="B159" s="12"/>
      <c r="C159" s="12"/>
      <c r="D159" s="14"/>
      <c r="E159" s="12"/>
      <c r="F159" s="12"/>
      <c r="G159" s="12"/>
      <c r="H159" s="12"/>
      <c r="I159" s="13"/>
      <c r="J159" s="13"/>
      <c r="K159" s="12"/>
    </row>
    <row r="160" customFormat="false" ht="15" hidden="false" customHeight="false" outlineLevel="0" collapsed="false">
      <c r="A160" s="47"/>
      <c r="B160" s="47"/>
      <c r="C160" s="47"/>
      <c r="D160" s="48"/>
      <c r="E160" s="47"/>
      <c r="F160" s="47"/>
      <c r="G160" s="47"/>
      <c r="H160" s="47"/>
      <c r="I160" s="49"/>
      <c r="J160" s="49"/>
      <c r="K160" s="47"/>
    </row>
    <row r="161" customFormat="false" ht="15" hidden="false" customHeight="false" outlineLevel="0" collapsed="false">
      <c r="A161" s="12"/>
      <c r="B161" s="12"/>
      <c r="C161" s="12"/>
      <c r="D161" s="14"/>
      <c r="E161" s="12"/>
      <c r="F161" s="12"/>
      <c r="G161" s="12"/>
      <c r="H161" s="12"/>
      <c r="I161" s="13"/>
      <c r="J161" s="13"/>
      <c r="K161" s="12"/>
    </row>
    <row r="162" customFormat="false" ht="15" hidden="false" customHeight="false" outlineLevel="0" collapsed="false">
      <c r="A162" s="47"/>
      <c r="B162" s="47"/>
      <c r="C162" s="47"/>
      <c r="D162" s="48"/>
      <c r="E162" s="47"/>
      <c r="F162" s="47"/>
      <c r="G162" s="47"/>
      <c r="H162" s="47"/>
      <c r="I162" s="49"/>
      <c r="J162" s="49"/>
      <c r="K162" s="47"/>
    </row>
    <row r="163" customFormat="false" ht="15" hidden="false" customHeight="false" outlineLevel="0" collapsed="false">
      <c r="A163" s="12"/>
      <c r="B163" s="12"/>
      <c r="C163" s="12"/>
      <c r="D163" s="14"/>
      <c r="E163" s="12"/>
      <c r="F163" s="12"/>
      <c r="G163" s="12"/>
      <c r="H163" s="12"/>
      <c r="I163" s="13"/>
      <c r="J163" s="13"/>
      <c r="K163" s="12"/>
    </row>
    <row r="164" customFormat="false" ht="15" hidden="false" customHeight="false" outlineLevel="0" collapsed="false">
      <c r="A164" s="47"/>
      <c r="B164" s="47"/>
      <c r="C164" s="47"/>
      <c r="D164" s="48"/>
      <c r="E164" s="47"/>
      <c r="F164" s="47"/>
      <c r="G164" s="47"/>
      <c r="H164" s="47"/>
      <c r="I164" s="49"/>
      <c r="J164" s="49"/>
      <c r="K164" s="47"/>
    </row>
    <row r="165" customFormat="false" ht="15" hidden="false" customHeight="false" outlineLevel="0" collapsed="false">
      <c r="A165" s="12"/>
      <c r="B165" s="12"/>
      <c r="C165" s="12"/>
      <c r="D165" s="14"/>
      <c r="E165" s="12"/>
      <c r="F165" s="12"/>
      <c r="G165" s="12"/>
      <c r="H165" s="12"/>
      <c r="I165" s="13"/>
      <c r="J165" s="13"/>
      <c r="K165" s="12"/>
    </row>
    <row r="166" customFormat="false" ht="15" hidden="false" customHeight="false" outlineLevel="0" collapsed="false">
      <c r="A166" s="47"/>
      <c r="B166" s="47"/>
      <c r="C166" s="47"/>
      <c r="D166" s="48"/>
      <c r="E166" s="47"/>
      <c r="F166" s="47"/>
      <c r="G166" s="47"/>
      <c r="H166" s="47"/>
      <c r="I166" s="49"/>
      <c r="J166" s="49"/>
      <c r="K166" s="47"/>
    </row>
    <row r="167" customFormat="false" ht="15" hidden="false" customHeight="false" outlineLevel="0" collapsed="false">
      <c r="A167" s="12"/>
      <c r="B167" s="12"/>
      <c r="C167" s="12"/>
      <c r="D167" s="14"/>
      <c r="E167" s="12"/>
      <c r="F167" s="12"/>
      <c r="G167" s="12"/>
      <c r="H167" s="12"/>
      <c r="I167" s="13"/>
      <c r="J167" s="13"/>
      <c r="K167" s="12"/>
    </row>
    <row r="168" customFormat="false" ht="15" hidden="false" customHeight="false" outlineLevel="0" collapsed="false">
      <c r="A168" s="47"/>
      <c r="B168" s="47"/>
      <c r="C168" s="47"/>
      <c r="D168" s="48"/>
      <c r="E168" s="47"/>
      <c r="F168" s="47"/>
      <c r="G168" s="47"/>
      <c r="H168" s="47"/>
      <c r="I168" s="49"/>
      <c r="J168" s="49"/>
      <c r="K168" s="47"/>
    </row>
    <row r="169" customFormat="false" ht="15" hidden="false" customHeight="false" outlineLevel="0" collapsed="false">
      <c r="A169" s="12"/>
      <c r="B169" s="12"/>
      <c r="C169" s="12"/>
      <c r="D169" s="14"/>
      <c r="E169" s="12"/>
      <c r="F169" s="12"/>
      <c r="G169" s="12"/>
      <c r="H169" s="12"/>
      <c r="I169" s="13"/>
      <c r="J169" s="13"/>
      <c r="K169" s="12"/>
    </row>
    <row r="170" customFormat="false" ht="15" hidden="false" customHeight="false" outlineLevel="0" collapsed="false">
      <c r="A170" s="47"/>
      <c r="B170" s="47"/>
      <c r="C170" s="47"/>
      <c r="D170" s="48"/>
      <c r="E170" s="47"/>
      <c r="F170" s="47"/>
      <c r="G170" s="47"/>
      <c r="H170" s="47"/>
      <c r="I170" s="49"/>
      <c r="J170" s="49"/>
      <c r="K170" s="47"/>
    </row>
    <row r="171" customFormat="false" ht="15" hidden="false" customHeight="false" outlineLevel="0" collapsed="false">
      <c r="A171" s="12"/>
      <c r="B171" s="12"/>
      <c r="C171" s="12"/>
      <c r="D171" s="14"/>
      <c r="E171" s="12"/>
      <c r="F171" s="12"/>
      <c r="G171" s="12"/>
      <c r="H171" s="12"/>
      <c r="I171" s="13"/>
      <c r="J171" s="13"/>
      <c r="K171" s="12"/>
    </row>
    <row r="172" customFormat="false" ht="15" hidden="false" customHeight="false" outlineLevel="0" collapsed="false">
      <c r="A172" s="47"/>
      <c r="B172" s="47"/>
      <c r="C172" s="47"/>
      <c r="D172" s="48"/>
      <c r="E172" s="47"/>
      <c r="F172" s="47"/>
      <c r="G172" s="47"/>
      <c r="H172" s="47"/>
      <c r="I172" s="49"/>
      <c r="J172" s="49"/>
      <c r="K172" s="47"/>
    </row>
    <row r="173" customFormat="false" ht="15" hidden="false" customHeight="false" outlineLevel="0" collapsed="false">
      <c r="A173" s="12"/>
      <c r="B173" s="12"/>
      <c r="C173" s="12"/>
      <c r="D173" s="14"/>
      <c r="E173" s="12"/>
      <c r="F173" s="12"/>
      <c r="G173" s="12"/>
      <c r="H173" s="12"/>
      <c r="I173" s="13"/>
      <c r="J173" s="13"/>
      <c r="K173" s="12"/>
    </row>
    <row r="174" customFormat="false" ht="15" hidden="false" customHeight="false" outlineLevel="0" collapsed="false">
      <c r="A174" s="47"/>
      <c r="B174" s="47"/>
      <c r="C174" s="47"/>
      <c r="D174" s="48"/>
      <c r="E174" s="47"/>
      <c r="F174" s="47"/>
      <c r="G174" s="47"/>
      <c r="H174" s="47"/>
      <c r="I174" s="49"/>
      <c r="J174" s="49"/>
      <c r="K174" s="47"/>
    </row>
    <row r="175" customFormat="false" ht="15" hidden="false" customHeight="false" outlineLevel="0" collapsed="false">
      <c r="A175" s="12"/>
      <c r="B175" s="12"/>
      <c r="C175" s="12"/>
      <c r="D175" s="14"/>
      <c r="E175" s="12"/>
      <c r="F175" s="12"/>
      <c r="G175" s="12"/>
      <c r="H175" s="12"/>
      <c r="I175" s="13"/>
      <c r="J175" s="13"/>
      <c r="K175" s="12"/>
    </row>
    <row r="176" customFormat="false" ht="15" hidden="false" customHeight="false" outlineLevel="0" collapsed="false">
      <c r="A176" s="47"/>
      <c r="B176" s="47"/>
      <c r="C176" s="47"/>
      <c r="D176" s="48"/>
      <c r="E176" s="47"/>
      <c r="F176" s="47"/>
      <c r="G176" s="47"/>
      <c r="H176" s="47"/>
      <c r="I176" s="49"/>
      <c r="J176" s="49"/>
      <c r="K176" s="47"/>
    </row>
    <row r="177" customFormat="false" ht="15" hidden="false" customHeight="false" outlineLevel="0" collapsed="false">
      <c r="A177" s="12"/>
      <c r="B177" s="12"/>
      <c r="C177" s="12"/>
      <c r="D177" s="14"/>
      <c r="E177" s="12"/>
      <c r="F177" s="12"/>
      <c r="G177" s="12"/>
      <c r="H177" s="12"/>
      <c r="I177" s="13"/>
      <c r="J177" s="13"/>
      <c r="K177" s="12"/>
    </row>
    <row r="178" customFormat="false" ht="15" hidden="false" customHeight="false" outlineLevel="0" collapsed="false">
      <c r="A178" s="47"/>
      <c r="B178" s="47"/>
      <c r="C178" s="47"/>
      <c r="D178" s="48"/>
      <c r="E178" s="47"/>
      <c r="F178" s="47"/>
      <c r="G178" s="47"/>
      <c r="H178" s="47"/>
      <c r="I178" s="49"/>
      <c r="J178" s="49"/>
      <c r="K178" s="47"/>
    </row>
    <row r="179" customFormat="false" ht="15" hidden="false" customHeight="false" outlineLevel="0" collapsed="false">
      <c r="A179" s="12"/>
      <c r="B179" s="12"/>
      <c r="C179" s="12"/>
      <c r="D179" s="14"/>
      <c r="E179" s="12"/>
      <c r="F179" s="12"/>
      <c r="G179" s="12"/>
      <c r="H179" s="12"/>
      <c r="I179" s="13"/>
      <c r="J179" s="13"/>
      <c r="K179" s="12"/>
    </row>
    <row r="180" customFormat="false" ht="15" hidden="false" customHeight="false" outlineLevel="0" collapsed="false">
      <c r="A180" s="47"/>
      <c r="B180" s="47"/>
      <c r="C180" s="47"/>
      <c r="D180" s="48"/>
      <c r="E180" s="47"/>
      <c r="F180" s="47"/>
      <c r="G180" s="47"/>
      <c r="H180" s="47"/>
      <c r="I180" s="49"/>
      <c r="J180" s="49"/>
      <c r="K180" s="47"/>
    </row>
    <row r="181" customFormat="false" ht="15" hidden="false" customHeight="false" outlineLevel="0" collapsed="false">
      <c r="A181" s="12"/>
      <c r="B181" s="12"/>
      <c r="C181" s="12"/>
      <c r="D181" s="14"/>
      <c r="E181" s="12"/>
      <c r="F181" s="12"/>
      <c r="G181" s="12"/>
      <c r="H181" s="12"/>
      <c r="I181" s="13"/>
      <c r="J181" s="13"/>
      <c r="K181" s="12"/>
    </row>
    <row r="182" customFormat="false" ht="15" hidden="false" customHeight="false" outlineLevel="0" collapsed="false">
      <c r="A182" s="47"/>
      <c r="B182" s="47"/>
      <c r="C182" s="47"/>
      <c r="D182" s="48"/>
      <c r="E182" s="47"/>
      <c r="F182" s="47"/>
      <c r="G182" s="47"/>
      <c r="H182" s="47"/>
      <c r="I182" s="49"/>
      <c r="J182" s="49"/>
      <c r="K182" s="47"/>
    </row>
    <row r="183" customFormat="false" ht="15" hidden="false" customHeight="false" outlineLevel="0" collapsed="false">
      <c r="A183" s="12"/>
      <c r="B183" s="12"/>
      <c r="C183" s="12"/>
      <c r="D183" s="14"/>
      <c r="E183" s="12"/>
      <c r="F183" s="12"/>
      <c r="G183" s="12"/>
      <c r="H183" s="12"/>
      <c r="I183" s="13"/>
      <c r="J183" s="13"/>
      <c r="K183" s="12"/>
    </row>
    <row r="184" customFormat="false" ht="15" hidden="false" customHeight="false" outlineLevel="0" collapsed="false">
      <c r="A184" s="47"/>
      <c r="B184" s="47"/>
      <c r="C184" s="47"/>
      <c r="D184" s="48"/>
      <c r="E184" s="47"/>
      <c r="F184" s="47"/>
      <c r="G184" s="47"/>
      <c r="H184" s="47"/>
      <c r="I184" s="49"/>
      <c r="J184" s="49"/>
      <c r="K184" s="47"/>
    </row>
    <row r="185" customFormat="false" ht="15" hidden="false" customHeight="false" outlineLevel="0" collapsed="false">
      <c r="A185" s="12"/>
      <c r="B185" s="12"/>
      <c r="C185" s="12"/>
      <c r="D185" s="14"/>
      <c r="E185" s="12"/>
      <c r="F185" s="12"/>
      <c r="G185" s="12"/>
      <c r="H185" s="12"/>
      <c r="I185" s="13"/>
      <c r="J185" s="13"/>
      <c r="K185" s="12"/>
    </row>
    <row r="186" customFormat="false" ht="15" hidden="false" customHeight="false" outlineLevel="0" collapsed="false">
      <c r="A186" s="47"/>
      <c r="B186" s="47"/>
      <c r="C186" s="47"/>
      <c r="D186" s="48"/>
      <c r="E186" s="47"/>
      <c r="F186" s="47"/>
      <c r="G186" s="47"/>
      <c r="H186" s="47"/>
      <c r="I186" s="49"/>
      <c r="J186" s="49"/>
      <c r="K186" s="47"/>
    </row>
    <row r="187" customFormat="false" ht="15" hidden="false" customHeight="false" outlineLevel="0" collapsed="false">
      <c r="A187" s="12"/>
      <c r="B187" s="12"/>
      <c r="C187" s="12"/>
      <c r="D187" s="14"/>
      <c r="E187" s="12"/>
      <c r="F187" s="12"/>
      <c r="G187" s="12"/>
      <c r="H187" s="12"/>
      <c r="I187" s="13"/>
      <c r="J187" s="13"/>
      <c r="K187" s="12"/>
    </row>
    <row r="188" customFormat="false" ht="15" hidden="false" customHeight="false" outlineLevel="0" collapsed="false">
      <c r="A188" s="47"/>
      <c r="B188" s="47"/>
      <c r="C188" s="47"/>
      <c r="D188" s="48"/>
      <c r="E188" s="47"/>
      <c r="F188" s="47"/>
      <c r="G188" s="47"/>
      <c r="H188" s="47"/>
      <c r="I188" s="49"/>
      <c r="J188" s="49"/>
      <c r="K188" s="47"/>
    </row>
    <row r="189" customFormat="false" ht="15" hidden="false" customHeight="false" outlineLevel="0" collapsed="false">
      <c r="A189" s="12"/>
      <c r="B189" s="12"/>
      <c r="C189" s="12"/>
      <c r="D189" s="14"/>
      <c r="E189" s="12"/>
      <c r="F189" s="12"/>
      <c r="G189" s="12"/>
      <c r="H189" s="12"/>
      <c r="I189" s="13"/>
      <c r="J189" s="13"/>
      <c r="K189" s="12"/>
    </row>
    <row r="190" customFormat="false" ht="15" hidden="false" customHeight="false" outlineLevel="0" collapsed="false">
      <c r="A190" s="47"/>
      <c r="B190" s="47"/>
      <c r="C190" s="47"/>
      <c r="D190" s="48"/>
      <c r="E190" s="47"/>
      <c r="F190" s="47"/>
      <c r="G190" s="47"/>
      <c r="H190" s="47"/>
      <c r="I190" s="49"/>
      <c r="J190" s="49"/>
      <c r="K190" s="47"/>
    </row>
    <row r="191" customFormat="false" ht="15" hidden="false" customHeight="false" outlineLevel="0" collapsed="false">
      <c r="A191" s="12"/>
      <c r="B191" s="12"/>
      <c r="C191" s="12"/>
      <c r="D191" s="14"/>
      <c r="E191" s="12"/>
      <c r="F191" s="12"/>
      <c r="G191" s="12"/>
      <c r="H191" s="12"/>
      <c r="I191" s="13"/>
      <c r="J191" s="13"/>
      <c r="K191" s="12"/>
    </row>
    <row r="192" customFormat="false" ht="15" hidden="false" customHeight="false" outlineLevel="0" collapsed="false">
      <c r="A192" s="47"/>
      <c r="B192" s="47"/>
      <c r="C192" s="47"/>
      <c r="D192" s="48"/>
      <c r="E192" s="47"/>
      <c r="F192" s="47"/>
      <c r="G192" s="47"/>
      <c r="H192" s="47"/>
      <c r="I192" s="49"/>
      <c r="J192" s="49"/>
      <c r="K192" s="47"/>
    </row>
    <row r="193" customFormat="false" ht="15" hidden="false" customHeight="false" outlineLevel="0" collapsed="false">
      <c r="A193" s="12"/>
      <c r="B193" s="12"/>
      <c r="C193" s="12"/>
      <c r="D193" s="14"/>
      <c r="E193" s="12"/>
      <c r="F193" s="12"/>
      <c r="G193" s="12"/>
      <c r="H193" s="12"/>
      <c r="I193" s="13"/>
      <c r="J193" s="13"/>
      <c r="K193" s="12"/>
    </row>
    <row r="194" customFormat="false" ht="15" hidden="false" customHeight="false" outlineLevel="0" collapsed="false">
      <c r="A194" s="47"/>
      <c r="B194" s="47"/>
      <c r="C194" s="47"/>
      <c r="D194" s="48"/>
      <c r="E194" s="47"/>
      <c r="F194" s="47"/>
      <c r="G194" s="47"/>
      <c r="H194" s="47"/>
      <c r="I194" s="49"/>
      <c r="J194" s="49"/>
      <c r="K194" s="47"/>
    </row>
    <row r="195" customFormat="false" ht="15" hidden="false" customHeight="false" outlineLevel="0" collapsed="false">
      <c r="A195" s="12"/>
      <c r="B195" s="12"/>
      <c r="C195" s="12"/>
      <c r="D195" s="14"/>
      <c r="E195" s="12"/>
      <c r="F195" s="12"/>
      <c r="G195" s="12"/>
      <c r="H195" s="12"/>
      <c r="I195" s="13"/>
      <c r="J195" s="13"/>
      <c r="K195" s="12"/>
    </row>
    <row r="196" customFormat="false" ht="15" hidden="false" customHeight="false" outlineLevel="0" collapsed="false">
      <c r="A196" s="47"/>
      <c r="B196" s="47"/>
      <c r="C196" s="47"/>
      <c r="D196" s="48"/>
      <c r="E196" s="47"/>
      <c r="F196" s="47"/>
      <c r="G196" s="47"/>
      <c r="H196" s="47"/>
      <c r="I196" s="49"/>
      <c r="J196" s="49"/>
      <c r="K196" s="47"/>
    </row>
    <row r="197" customFormat="false" ht="15" hidden="false" customHeight="false" outlineLevel="0" collapsed="false">
      <c r="A197" s="12"/>
      <c r="B197" s="12"/>
      <c r="C197" s="12"/>
      <c r="D197" s="14"/>
      <c r="E197" s="12"/>
      <c r="F197" s="12"/>
      <c r="G197" s="12"/>
      <c r="H197" s="12"/>
      <c r="I197" s="13"/>
      <c r="J197" s="13"/>
      <c r="K197" s="12"/>
    </row>
    <row r="198" customFormat="false" ht="15" hidden="false" customHeight="false" outlineLevel="0" collapsed="false">
      <c r="A198" s="47"/>
      <c r="B198" s="47"/>
      <c r="C198" s="47"/>
      <c r="D198" s="48"/>
      <c r="E198" s="47"/>
      <c r="F198" s="47"/>
      <c r="G198" s="47"/>
      <c r="H198" s="47"/>
      <c r="I198" s="49"/>
      <c r="J198" s="49"/>
      <c r="K198" s="47"/>
    </row>
    <row r="199" customFormat="false" ht="15" hidden="false" customHeight="false" outlineLevel="0" collapsed="false">
      <c r="A199" s="12"/>
      <c r="B199" s="12"/>
      <c r="C199" s="12"/>
      <c r="D199" s="14"/>
      <c r="E199" s="12"/>
      <c r="F199" s="12"/>
      <c r="G199" s="12"/>
      <c r="H199" s="12"/>
      <c r="I199" s="13"/>
      <c r="J199" s="13"/>
      <c r="K199" s="12"/>
    </row>
    <row r="200" customFormat="false" ht="15" hidden="false" customHeight="false" outlineLevel="0" collapsed="false">
      <c r="A200" s="47"/>
      <c r="B200" s="47"/>
      <c r="C200" s="47"/>
      <c r="D200" s="48"/>
      <c r="E200" s="47"/>
      <c r="F200" s="47"/>
      <c r="G200" s="47"/>
      <c r="H200" s="47"/>
      <c r="I200" s="49"/>
      <c r="J200" s="49"/>
      <c r="K200" s="47"/>
    </row>
    <row r="201" customFormat="false" ht="15" hidden="false" customHeight="false" outlineLevel="0" collapsed="false">
      <c r="A201" s="12"/>
      <c r="B201" s="12"/>
      <c r="C201" s="12"/>
      <c r="D201" s="14"/>
      <c r="E201" s="12"/>
      <c r="F201" s="12"/>
      <c r="G201" s="12"/>
      <c r="H201" s="12"/>
      <c r="I201" s="13"/>
      <c r="J201" s="13"/>
      <c r="K201" s="12"/>
    </row>
    <row r="202" customFormat="false" ht="15" hidden="false" customHeight="false" outlineLevel="0" collapsed="false">
      <c r="A202" s="47"/>
      <c r="B202" s="47"/>
      <c r="C202" s="47"/>
      <c r="D202" s="48"/>
      <c r="E202" s="47"/>
      <c r="F202" s="47"/>
      <c r="G202" s="47"/>
      <c r="H202" s="47"/>
      <c r="I202" s="49"/>
      <c r="J202" s="49"/>
      <c r="K202" s="47"/>
    </row>
    <row r="203" customFormat="false" ht="15" hidden="false" customHeight="false" outlineLevel="0" collapsed="false">
      <c r="A203" s="12"/>
      <c r="B203" s="12"/>
      <c r="C203" s="12"/>
      <c r="D203" s="14"/>
      <c r="E203" s="12"/>
      <c r="F203" s="12"/>
      <c r="G203" s="12"/>
      <c r="H203" s="12"/>
      <c r="I203" s="13"/>
      <c r="J203" s="13"/>
      <c r="K203" s="12"/>
    </row>
    <row r="204" customFormat="false" ht="15" hidden="false" customHeight="false" outlineLevel="0" collapsed="false">
      <c r="A204" s="47"/>
      <c r="B204" s="47"/>
      <c r="C204" s="47"/>
      <c r="D204" s="48"/>
      <c r="E204" s="47"/>
      <c r="F204" s="47"/>
      <c r="G204" s="47"/>
      <c r="H204" s="47"/>
      <c r="I204" s="49"/>
      <c r="J204" s="49"/>
      <c r="K204" s="47"/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B5:B204" type="list">
      <formula1>"Lead Bullet Waste,Copper Dust / Jacket Waste,Brass Shell Casings,Aluminum Shell Casings,Steel Shell Casings,Mixed Shell Casings,Mixed Waste"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7F17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44"/>
    <col collapsed="false" customWidth="true" hidden="false" outlineLevel="0" max="4" min="4" style="1" width="22"/>
    <col collapsed="false" customWidth="true" hidden="false" outlineLevel="0" max="5" min="5" style="1" width="36"/>
    <col collapsed="false" customWidth="true" hidden="false" outlineLevel="0" max="6" min="6" style="1" width="52"/>
  </cols>
  <sheetData>
    <row r="1" customFormat="false" ht="45.75" hidden="false" customHeight="true" outlineLevel="0" collapsed="false">
      <c r="A1" s="44" t="s">
        <v>61</v>
      </c>
      <c r="B1" s="44"/>
      <c r="C1" s="44"/>
      <c r="D1" s="44"/>
      <c r="E1" s="44"/>
      <c r="F1" s="44"/>
    </row>
    <row r="2" customFormat="false" ht="21.75" hidden="false" customHeight="true" outlineLevel="0" collapsed="false">
      <c r="A2" s="50" t="s">
        <v>62</v>
      </c>
      <c r="B2" s="50"/>
      <c r="C2" s="50"/>
      <c r="D2" s="50"/>
      <c r="E2" s="50"/>
      <c r="F2" s="50"/>
    </row>
    <row r="3" customFormat="false" ht="31.5" hidden="false" customHeight="true" outlineLevel="0" collapsed="false">
      <c r="A3" s="51" t="s">
        <v>63</v>
      </c>
      <c r="B3" s="51" t="s">
        <v>64</v>
      </c>
      <c r="C3" s="51" t="s">
        <v>65</v>
      </c>
      <c r="D3" s="51" t="s">
        <v>66</v>
      </c>
      <c r="E3" s="51" t="s">
        <v>67</v>
      </c>
      <c r="F3" s="51" t="s">
        <v>68</v>
      </c>
    </row>
    <row r="4" customFormat="false" ht="51.75" hidden="false" customHeight="true" outlineLevel="0" collapsed="false">
      <c r="A4" s="52" t="s">
        <v>69</v>
      </c>
      <c r="B4" s="52" t="s">
        <v>70</v>
      </c>
      <c r="C4" s="52" t="s">
        <v>71</v>
      </c>
      <c r="D4" s="52" t="s">
        <v>72</v>
      </c>
      <c r="E4" s="52" t="s">
        <v>73</v>
      </c>
      <c r="F4" s="52" t="s">
        <v>74</v>
      </c>
    </row>
    <row r="5" customFormat="false" ht="51.75" hidden="false" customHeight="true" outlineLevel="0" collapsed="false">
      <c r="A5" s="53" t="s">
        <v>69</v>
      </c>
      <c r="B5" s="53" t="s">
        <v>75</v>
      </c>
      <c r="C5" s="53" t="s">
        <v>76</v>
      </c>
      <c r="D5" s="53" t="s">
        <v>77</v>
      </c>
      <c r="E5" s="53" t="s">
        <v>78</v>
      </c>
      <c r="F5" s="53" t="s">
        <v>79</v>
      </c>
    </row>
    <row r="6" customFormat="false" ht="51.75" hidden="false" customHeight="true" outlineLevel="0" collapsed="false">
      <c r="A6" s="52" t="s">
        <v>69</v>
      </c>
      <c r="B6" s="52" t="s">
        <v>80</v>
      </c>
      <c r="C6" s="52" t="s">
        <v>81</v>
      </c>
      <c r="D6" s="52" t="s">
        <v>82</v>
      </c>
      <c r="E6" s="52" t="s">
        <v>83</v>
      </c>
      <c r="F6" s="52" t="s">
        <v>84</v>
      </c>
    </row>
    <row r="7" customFormat="false" ht="51.75" hidden="false" customHeight="true" outlineLevel="0" collapsed="false">
      <c r="A7" s="53" t="s">
        <v>69</v>
      </c>
      <c r="B7" s="53" t="s">
        <v>85</v>
      </c>
      <c r="C7" s="53" t="s">
        <v>86</v>
      </c>
      <c r="D7" s="53" t="s">
        <v>87</v>
      </c>
      <c r="E7" s="53" t="s">
        <v>88</v>
      </c>
      <c r="F7" s="53" t="s">
        <v>89</v>
      </c>
    </row>
    <row r="8" customFormat="false" ht="51.75" hidden="false" customHeight="true" outlineLevel="0" collapsed="false">
      <c r="A8" s="52" t="s">
        <v>90</v>
      </c>
      <c r="B8" s="52" t="s">
        <v>91</v>
      </c>
      <c r="C8" s="52" t="s">
        <v>92</v>
      </c>
      <c r="D8" s="52" t="s">
        <v>93</v>
      </c>
      <c r="E8" s="52" t="s">
        <v>94</v>
      </c>
      <c r="F8" s="52" t="s">
        <v>95</v>
      </c>
    </row>
    <row r="9" customFormat="false" ht="51.75" hidden="false" customHeight="true" outlineLevel="0" collapsed="false">
      <c r="A9" s="53" t="s">
        <v>90</v>
      </c>
      <c r="B9" s="53" t="s">
        <v>96</v>
      </c>
      <c r="C9" s="53" t="s">
        <v>97</v>
      </c>
      <c r="D9" s="53" t="s">
        <v>98</v>
      </c>
      <c r="E9" s="53" t="s">
        <v>99</v>
      </c>
      <c r="F9" s="53" t="s">
        <v>100</v>
      </c>
    </row>
    <row r="10" customFormat="false" ht="51.75" hidden="false" customHeight="true" outlineLevel="0" collapsed="false">
      <c r="A10" s="52" t="s">
        <v>90</v>
      </c>
      <c r="B10" s="52" t="s">
        <v>101</v>
      </c>
      <c r="C10" s="52" t="s">
        <v>102</v>
      </c>
      <c r="D10" s="52" t="s">
        <v>103</v>
      </c>
      <c r="E10" s="52" t="s">
        <v>104</v>
      </c>
      <c r="F10" s="52" t="s">
        <v>105</v>
      </c>
    </row>
    <row r="11" customFormat="false" ht="51.75" hidden="false" customHeight="true" outlineLevel="0" collapsed="false">
      <c r="A11" s="53" t="s">
        <v>90</v>
      </c>
      <c r="B11" s="53" t="s">
        <v>106</v>
      </c>
      <c r="C11" s="53" t="s">
        <v>107</v>
      </c>
      <c r="D11" s="53" t="s">
        <v>108</v>
      </c>
      <c r="E11" s="53" t="s">
        <v>109</v>
      </c>
      <c r="F11" s="53" t="s">
        <v>110</v>
      </c>
    </row>
    <row r="12" customFormat="false" ht="51.75" hidden="false" customHeight="true" outlineLevel="0" collapsed="false">
      <c r="A12" s="52" t="s">
        <v>111</v>
      </c>
      <c r="B12" s="52" t="s">
        <v>112</v>
      </c>
      <c r="C12" s="52" t="s">
        <v>113</v>
      </c>
      <c r="D12" s="52" t="s">
        <v>114</v>
      </c>
      <c r="E12" s="52" t="s">
        <v>115</v>
      </c>
      <c r="F12" s="52" t="s">
        <v>116</v>
      </c>
    </row>
    <row r="13" customFormat="false" ht="51.75" hidden="false" customHeight="true" outlineLevel="0" collapsed="false">
      <c r="A13" s="53" t="s">
        <v>117</v>
      </c>
      <c r="B13" s="53" t="s">
        <v>118</v>
      </c>
      <c r="C13" s="53" t="s">
        <v>119</v>
      </c>
      <c r="D13" s="53" t="s">
        <v>120</v>
      </c>
      <c r="E13" s="53" t="s">
        <v>121</v>
      </c>
      <c r="F13" s="53" t="s">
        <v>122</v>
      </c>
    </row>
    <row r="14" customFormat="false" ht="51.75" hidden="false" customHeight="true" outlineLevel="0" collapsed="false">
      <c r="A14" s="52" t="s">
        <v>117</v>
      </c>
      <c r="B14" s="52" t="s">
        <v>123</v>
      </c>
      <c r="C14" s="52" t="s">
        <v>124</v>
      </c>
      <c r="D14" s="52" t="s">
        <v>125</v>
      </c>
      <c r="E14" s="52" t="s">
        <v>126</v>
      </c>
      <c r="F14" s="52" t="s">
        <v>127</v>
      </c>
    </row>
    <row r="15" customFormat="false" ht="51.75" hidden="false" customHeight="true" outlineLevel="0" collapsed="false">
      <c r="A15" s="53" t="s">
        <v>90</v>
      </c>
      <c r="B15" s="53" t="s">
        <v>128</v>
      </c>
      <c r="C15" s="53" t="s">
        <v>129</v>
      </c>
      <c r="D15" s="53" t="s">
        <v>130</v>
      </c>
      <c r="E15" s="53" t="s">
        <v>131</v>
      </c>
      <c r="F15" s="53" t="s">
        <v>132</v>
      </c>
    </row>
    <row r="16" customFormat="false" ht="51.75" hidden="false" customHeight="true" outlineLevel="0" collapsed="false">
      <c r="A16" s="52" t="s">
        <v>133</v>
      </c>
      <c r="B16" s="52" t="s">
        <v>134</v>
      </c>
      <c r="C16" s="52" t="s">
        <v>135</v>
      </c>
      <c r="D16" s="52" t="s">
        <v>136</v>
      </c>
      <c r="E16" s="52" t="s">
        <v>137</v>
      </c>
      <c r="F16" s="52" t="s">
        <v>138</v>
      </c>
    </row>
    <row r="17" customFormat="false" ht="51.75" hidden="false" customHeight="true" outlineLevel="0" collapsed="false">
      <c r="A17" s="54" t="s">
        <v>139</v>
      </c>
      <c r="B17" s="54" t="s">
        <v>140</v>
      </c>
      <c r="C17" s="54" t="s">
        <v>141</v>
      </c>
      <c r="D17" s="54" t="s">
        <v>142</v>
      </c>
      <c r="E17" s="54" t="s">
        <v>143</v>
      </c>
      <c r="F17" s="54" t="s">
        <v>144</v>
      </c>
    </row>
    <row r="18" customFormat="false" ht="51.75" hidden="false" customHeight="true" outlineLevel="0" collapsed="false">
      <c r="A18" s="54" t="s">
        <v>139</v>
      </c>
      <c r="B18" s="54" t="s">
        <v>140</v>
      </c>
      <c r="C18" s="54" t="s">
        <v>145</v>
      </c>
      <c r="D18" s="54" t="s">
        <v>146</v>
      </c>
      <c r="E18" s="54" t="s">
        <v>147</v>
      </c>
      <c r="F18" s="54" t="s">
        <v>148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27" activePane="bottomLeft" state="frozen"/>
      <selection pane="topLeft" activeCell="A1" activeCellId="0" sqref="A1"/>
      <selection pane="bottomLeft" activeCell="H3" activeCellId="0" sqref="H3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8"/>
    <col collapsed="false" customWidth="true" hidden="false" outlineLevel="0" max="8" min="3" style="1" width="2"/>
  </cols>
  <sheetData>
    <row r="1" customFormat="false" ht="49.5" hidden="false" customHeight="true" outlineLevel="0" collapsed="false">
      <c r="A1" s="55" t="s">
        <v>149</v>
      </c>
      <c r="B1" s="55"/>
      <c r="C1" s="55"/>
      <c r="D1" s="55"/>
      <c r="E1" s="55"/>
      <c r="F1" s="55"/>
      <c r="G1" s="55"/>
      <c r="H1" s="55"/>
    </row>
    <row r="2" customFormat="false" ht="19.5" hidden="false" customHeight="true" outlineLevel="0" collapsed="false">
      <c r="A2" s="56" t="s">
        <v>150</v>
      </c>
      <c r="B2" s="56"/>
      <c r="C2" s="56"/>
      <c r="D2" s="56"/>
      <c r="E2" s="56"/>
      <c r="F2" s="56"/>
      <c r="G2" s="56"/>
      <c r="H2" s="56"/>
    </row>
    <row r="4" customFormat="false" ht="21.75" hidden="false" customHeight="true" outlineLevel="0" collapsed="false">
      <c r="A4" s="57" t="s">
        <v>151</v>
      </c>
      <c r="B4" s="57"/>
      <c r="C4" s="57"/>
      <c r="D4" s="57"/>
      <c r="E4" s="57"/>
      <c r="F4" s="57"/>
      <c r="G4" s="57"/>
      <c r="H4" s="57"/>
    </row>
    <row r="5" customFormat="false" ht="64.9" hidden="false" customHeight="true" outlineLevel="0" collapsed="false">
      <c r="A5" s="58" t="s">
        <v>152</v>
      </c>
      <c r="B5" s="59" t="s">
        <v>153</v>
      </c>
      <c r="C5" s="59"/>
      <c r="D5" s="59"/>
      <c r="E5" s="59"/>
      <c r="F5" s="59"/>
      <c r="G5" s="59"/>
      <c r="H5" s="59"/>
    </row>
    <row r="6" customFormat="false" ht="78" hidden="false" customHeight="true" outlineLevel="0" collapsed="false">
      <c r="A6" s="58" t="s">
        <v>154</v>
      </c>
      <c r="B6" s="59" t="s">
        <v>155</v>
      </c>
      <c r="C6" s="59"/>
      <c r="D6" s="59"/>
      <c r="E6" s="59"/>
      <c r="F6" s="59"/>
      <c r="G6" s="59"/>
      <c r="H6" s="59"/>
    </row>
    <row r="7" customFormat="false" ht="27.75" hidden="false" customHeight="true" outlineLevel="0" collapsed="false">
      <c r="A7" s="58" t="s">
        <v>156</v>
      </c>
      <c r="B7" s="59" t="s">
        <v>157</v>
      </c>
      <c r="C7" s="59"/>
      <c r="D7" s="59"/>
      <c r="E7" s="59"/>
      <c r="F7" s="59"/>
      <c r="G7" s="59"/>
      <c r="H7" s="59"/>
    </row>
    <row r="8" customFormat="false" ht="27.75" hidden="false" customHeight="true" outlineLevel="0" collapsed="false">
      <c r="A8" s="58" t="s">
        <v>158</v>
      </c>
      <c r="B8" s="59" t="s">
        <v>159</v>
      </c>
      <c r="C8" s="59"/>
      <c r="D8" s="59"/>
      <c r="E8" s="59"/>
      <c r="F8" s="59"/>
      <c r="G8" s="59"/>
      <c r="H8" s="59"/>
    </row>
    <row r="10" customFormat="false" ht="21.75" hidden="false" customHeight="true" outlineLevel="0" collapsed="false">
      <c r="A10" s="57" t="s">
        <v>160</v>
      </c>
      <c r="B10" s="57"/>
      <c r="C10" s="57"/>
      <c r="D10" s="57"/>
      <c r="E10" s="57"/>
      <c r="F10" s="57"/>
      <c r="G10" s="57"/>
      <c r="H10" s="57"/>
    </row>
    <row r="11" customFormat="false" ht="27.75" hidden="false" customHeight="true" outlineLevel="0" collapsed="false">
      <c r="A11" s="58" t="s">
        <v>161</v>
      </c>
      <c r="B11" s="59" t="s">
        <v>162</v>
      </c>
      <c r="C11" s="59"/>
      <c r="D11" s="59"/>
      <c r="E11" s="59"/>
      <c r="F11" s="59"/>
      <c r="G11" s="59"/>
      <c r="H11" s="59"/>
    </row>
    <row r="12" customFormat="false" ht="27.75" hidden="false" customHeight="true" outlineLevel="0" collapsed="false">
      <c r="A12" s="58" t="s">
        <v>163</v>
      </c>
      <c r="B12" s="59" t="s">
        <v>164</v>
      </c>
      <c r="C12" s="59"/>
      <c r="D12" s="59"/>
      <c r="E12" s="59"/>
      <c r="F12" s="59"/>
      <c r="G12" s="59"/>
      <c r="H12" s="59"/>
    </row>
    <row r="13" customFormat="false" ht="27.75" hidden="false" customHeight="true" outlineLevel="0" collapsed="false">
      <c r="A13" s="58" t="s">
        <v>165</v>
      </c>
      <c r="B13" s="59" t="s">
        <v>166</v>
      </c>
      <c r="C13" s="59"/>
      <c r="D13" s="59"/>
      <c r="E13" s="59"/>
      <c r="F13" s="59"/>
      <c r="G13" s="59"/>
      <c r="H13" s="59"/>
    </row>
    <row r="14" customFormat="false" ht="27.75" hidden="false" customHeight="true" outlineLevel="0" collapsed="false">
      <c r="A14" s="58" t="s">
        <v>167</v>
      </c>
      <c r="B14" s="59" t="s">
        <v>168</v>
      </c>
      <c r="C14" s="59"/>
      <c r="D14" s="59"/>
      <c r="E14" s="59"/>
      <c r="F14" s="59"/>
      <c r="G14" s="59"/>
      <c r="H14" s="59"/>
    </row>
    <row r="15" customFormat="false" ht="27.75" hidden="false" customHeight="true" outlineLevel="0" collapsed="false">
      <c r="A15" s="58" t="s">
        <v>169</v>
      </c>
      <c r="B15" s="59" t="s">
        <v>170</v>
      </c>
      <c r="C15" s="59"/>
      <c r="D15" s="59"/>
      <c r="E15" s="59"/>
      <c r="F15" s="59"/>
      <c r="G15" s="59"/>
      <c r="H15" s="59"/>
    </row>
    <row r="16" customFormat="false" ht="27.75" hidden="false" customHeight="true" outlineLevel="0" collapsed="false">
      <c r="A16" s="58" t="s">
        <v>171</v>
      </c>
      <c r="B16" s="59" t="s">
        <v>172</v>
      </c>
      <c r="C16" s="59"/>
      <c r="D16" s="59"/>
      <c r="E16" s="59"/>
      <c r="F16" s="59"/>
      <c r="G16" s="59"/>
      <c r="H16" s="59"/>
    </row>
    <row r="17" customFormat="false" ht="27.75" hidden="false" customHeight="true" outlineLevel="0" collapsed="false">
      <c r="A17" s="58" t="s">
        <v>173</v>
      </c>
      <c r="B17" s="59" t="s">
        <v>174</v>
      </c>
      <c r="C17" s="59"/>
      <c r="D17" s="59"/>
      <c r="E17" s="59"/>
      <c r="F17" s="59"/>
      <c r="G17" s="59"/>
      <c r="H17" s="59"/>
    </row>
    <row r="19" customFormat="false" ht="21.75" hidden="false" customHeight="true" outlineLevel="0" collapsed="false">
      <c r="A19" s="57" t="s">
        <v>175</v>
      </c>
      <c r="B19" s="57"/>
      <c r="C19" s="57"/>
      <c r="D19" s="57"/>
      <c r="E19" s="57"/>
      <c r="F19" s="57"/>
      <c r="G19" s="57"/>
      <c r="H19" s="57"/>
    </row>
    <row r="20" customFormat="false" ht="27.75" hidden="false" customHeight="true" outlineLevel="0" collapsed="false">
      <c r="A20" s="58" t="s">
        <v>176</v>
      </c>
      <c r="B20" s="59" t="s">
        <v>177</v>
      </c>
      <c r="C20" s="59"/>
      <c r="D20" s="59"/>
      <c r="E20" s="59"/>
      <c r="F20" s="59"/>
      <c r="G20" s="59"/>
      <c r="H20" s="59"/>
    </row>
    <row r="21" customFormat="false" ht="27.75" hidden="false" customHeight="true" outlineLevel="0" collapsed="false">
      <c r="A21" s="58" t="s">
        <v>178</v>
      </c>
      <c r="B21" s="59" t="s">
        <v>179</v>
      </c>
      <c r="C21" s="59"/>
      <c r="D21" s="59"/>
      <c r="E21" s="59"/>
      <c r="F21" s="59"/>
      <c r="G21" s="59"/>
      <c r="H21" s="59"/>
    </row>
    <row r="22" customFormat="false" ht="27.75" hidden="false" customHeight="true" outlineLevel="0" collapsed="false">
      <c r="A22" s="58" t="s">
        <v>180</v>
      </c>
      <c r="B22" s="59" t="s">
        <v>181</v>
      </c>
      <c r="C22" s="59"/>
      <c r="D22" s="59"/>
      <c r="E22" s="59"/>
      <c r="F22" s="59"/>
      <c r="G22" s="59"/>
      <c r="H22" s="59"/>
    </row>
    <row r="23" customFormat="false" ht="27.75" hidden="false" customHeight="true" outlineLevel="0" collapsed="false">
      <c r="A23" s="58" t="s">
        <v>182</v>
      </c>
      <c r="B23" s="59" t="s">
        <v>183</v>
      </c>
      <c r="C23" s="59"/>
      <c r="D23" s="59"/>
      <c r="E23" s="59"/>
      <c r="F23" s="59"/>
      <c r="G23" s="59"/>
      <c r="H23" s="59"/>
    </row>
    <row r="24" customFormat="false" ht="27.75" hidden="false" customHeight="true" outlineLevel="0" collapsed="false">
      <c r="A24" s="58" t="s">
        <v>184</v>
      </c>
      <c r="B24" s="59" t="s">
        <v>185</v>
      </c>
      <c r="C24" s="59"/>
      <c r="D24" s="59"/>
      <c r="E24" s="59"/>
      <c r="F24" s="59"/>
      <c r="G24" s="59"/>
      <c r="H24" s="59"/>
    </row>
    <row r="26" customFormat="false" ht="21.75" hidden="false" customHeight="true" outlineLevel="0" collapsed="false">
      <c r="A26" s="57" t="s">
        <v>186</v>
      </c>
      <c r="B26" s="57"/>
      <c r="C26" s="57"/>
      <c r="D26" s="57"/>
      <c r="E26" s="57"/>
      <c r="F26" s="57"/>
      <c r="G26" s="57"/>
      <c r="H26" s="57"/>
    </row>
    <row r="27" customFormat="false" ht="27.75" hidden="false" customHeight="true" outlineLevel="0" collapsed="false">
      <c r="A27" s="58" t="s">
        <v>187</v>
      </c>
      <c r="B27" s="59" t="s">
        <v>188</v>
      </c>
      <c r="C27" s="59"/>
      <c r="D27" s="59"/>
      <c r="E27" s="59"/>
      <c r="F27" s="59"/>
      <c r="G27" s="59"/>
      <c r="H27" s="59"/>
    </row>
    <row r="28" customFormat="false" ht="27.75" hidden="false" customHeight="true" outlineLevel="0" collapsed="false">
      <c r="A28" s="58" t="s">
        <v>189</v>
      </c>
      <c r="B28" s="59" t="s">
        <v>190</v>
      </c>
      <c r="C28" s="59"/>
      <c r="D28" s="59"/>
      <c r="E28" s="59"/>
      <c r="F28" s="59"/>
      <c r="G28" s="59"/>
      <c r="H28" s="59"/>
    </row>
    <row r="29" customFormat="false" ht="27.75" hidden="false" customHeight="true" outlineLevel="0" collapsed="false">
      <c r="A29" s="58" t="s">
        <v>38</v>
      </c>
      <c r="B29" s="59" t="s">
        <v>191</v>
      </c>
      <c r="C29" s="59"/>
      <c r="D29" s="59"/>
      <c r="E29" s="59"/>
      <c r="F29" s="59"/>
      <c r="G29" s="59"/>
      <c r="H29" s="59"/>
    </row>
    <row r="30" customFormat="false" ht="27.75" hidden="false" customHeight="true" outlineLevel="0" collapsed="false">
      <c r="A30" s="58" t="s">
        <v>192</v>
      </c>
      <c r="B30" s="59" t="s">
        <v>193</v>
      </c>
      <c r="C30" s="59"/>
      <c r="D30" s="59"/>
      <c r="E30" s="59"/>
      <c r="F30" s="59"/>
      <c r="G30" s="59"/>
      <c r="H30" s="59"/>
    </row>
    <row r="32" customFormat="false" ht="21.75" hidden="false" customHeight="true" outlineLevel="0" collapsed="false">
      <c r="A32" s="57" t="s">
        <v>194</v>
      </c>
      <c r="B32" s="57"/>
      <c r="C32" s="57"/>
      <c r="D32" s="57"/>
      <c r="E32" s="57"/>
      <c r="F32" s="57"/>
      <c r="G32" s="57"/>
      <c r="H32" s="57"/>
    </row>
    <row r="33" customFormat="false" ht="27.75" hidden="false" customHeight="true" outlineLevel="0" collapsed="false">
      <c r="A33" s="58" t="s">
        <v>195</v>
      </c>
      <c r="B33" s="59" t="s">
        <v>196</v>
      </c>
      <c r="C33" s="59"/>
      <c r="D33" s="59"/>
      <c r="E33" s="59"/>
      <c r="F33" s="59"/>
      <c r="G33" s="59"/>
      <c r="H33" s="59"/>
    </row>
  </sheetData>
  <mergeCells count="28">
    <mergeCell ref="A1:H1"/>
    <mergeCell ref="A2:H2"/>
    <mergeCell ref="A4:H4"/>
    <mergeCell ref="B5:H5"/>
    <mergeCell ref="B6:H6"/>
    <mergeCell ref="B7:H7"/>
    <mergeCell ref="B8:H8"/>
    <mergeCell ref="A10:H10"/>
    <mergeCell ref="B11:H11"/>
    <mergeCell ref="B12:H12"/>
    <mergeCell ref="B13:H13"/>
    <mergeCell ref="B14:H14"/>
    <mergeCell ref="B15:H15"/>
    <mergeCell ref="B16:H16"/>
    <mergeCell ref="B17:H17"/>
    <mergeCell ref="A19:H19"/>
    <mergeCell ref="B20:H20"/>
    <mergeCell ref="B21:H21"/>
    <mergeCell ref="B22:H22"/>
    <mergeCell ref="B23:H23"/>
    <mergeCell ref="B24:H24"/>
    <mergeCell ref="A26:H26"/>
    <mergeCell ref="B27:H27"/>
    <mergeCell ref="B28:H28"/>
    <mergeCell ref="B29:H29"/>
    <mergeCell ref="B30:H30"/>
    <mergeCell ref="A32:H32"/>
    <mergeCell ref="B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B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9" min="3" style="1" width="18"/>
    <col collapsed="false" customWidth="true" hidden="false" outlineLevel="0" max="10" min="10" style="1" width="2"/>
  </cols>
  <sheetData>
    <row r="1" customFormat="false" ht="54" hidden="false" customHeight="true" outlineLevel="0" collapsed="false">
      <c r="B1" s="60" t="s">
        <v>197</v>
      </c>
      <c r="C1" s="60"/>
      <c r="D1" s="60"/>
      <c r="E1" s="60"/>
      <c r="F1" s="60"/>
      <c r="G1" s="60"/>
      <c r="H1" s="60"/>
      <c r="I1" s="60"/>
    </row>
    <row r="2" customFormat="false" ht="19.5" hidden="false" customHeight="true" outlineLevel="0" collapsed="false">
      <c r="B2" s="56" t="s">
        <v>198</v>
      </c>
      <c r="C2" s="56"/>
      <c r="D2" s="56"/>
      <c r="E2" s="56"/>
      <c r="F2" s="56"/>
      <c r="G2" s="56"/>
      <c r="H2" s="56"/>
      <c r="I2" s="56"/>
    </row>
    <row r="4" customFormat="false" ht="24" hidden="false" customHeight="true" outlineLevel="0" collapsed="false">
      <c r="B4" s="61" t="s">
        <v>199</v>
      </c>
      <c r="C4" s="61"/>
      <c r="D4" s="61"/>
      <c r="E4" s="61"/>
      <c r="F4" s="61"/>
      <c r="G4" s="61"/>
      <c r="H4" s="61"/>
      <c r="I4" s="61"/>
    </row>
    <row r="5" customFormat="false" ht="21.75" hidden="false" customHeight="true" outlineLevel="0" collapsed="false">
      <c r="B5" s="62" t="s">
        <v>200</v>
      </c>
      <c r="C5" s="62"/>
      <c r="D5" s="62"/>
      <c r="E5" s="63" t="s">
        <v>2</v>
      </c>
      <c r="F5" s="63"/>
      <c r="G5" s="63"/>
      <c r="H5" s="63"/>
    </row>
    <row r="6" customFormat="false" ht="21.75" hidden="false" customHeight="true" outlineLevel="0" collapsed="false">
      <c r="B6" s="62" t="s">
        <v>201</v>
      </c>
      <c r="C6" s="62"/>
      <c r="D6" s="62"/>
      <c r="E6" s="63" t="s">
        <v>202</v>
      </c>
      <c r="F6" s="63"/>
      <c r="G6" s="63"/>
      <c r="H6" s="63"/>
    </row>
    <row r="7" customFormat="false" ht="21.75" hidden="false" customHeight="true" outlineLevel="0" collapsed="false">
      <c r="B7" s="62" t="s">
        <v>203</v>
      </c>
      <c r="C7" s="62"/>
      <c r="D7" s="62"/>
      <c r="E7" s="63" t="s">
        <v>204</v>
      </c>
      <c r="F7" s="63"/>
      <c r="G7" s="63"/>
      <c r="H7" s="63"/>
    </row>
    <row r="8" customFormat="false" ht="21.75" hidden="false" customHeight="true" outlineLevel="0" collapsed="false">
      <c r="B8" s="62" t="s">
        <v>205</v>
      </c>
      <c r="C8" s="62"/>
      <c r="D8" s="62"/>
      <c r="E8" s="63" t="s">
        <v>206</v>
      </c>
      <c r="F8" s="63"/>
      <c r="G8" s="63"/>
      <c r="H8" s="63"/>
    </row>
    <row r="9" customFormat="false" ht="21.75" hidden="false" customHeight="true" outlineLevel="0" collapsed="false">
      <c r="B9" s="62" t="s">
        <v>207</v>
      </c>
      <c r="C9" s="62"/>
      <c r="D9" s="62"/>
      <c r="E9" s="63" t="s">
        <v>208</v>
      </c>
      <c r="F9" s="63"/>
      <c r="G9" s="63"/>
      <c r="H9" s="63"/>
    </row>
    <row r="10" customFormat="false" ht="21.75" hidden="false" customHeight="true" outlineLevel="0" collapsed="false">
      <c r="B10" s="62" t="s">
        <v>209</v>
      </c>
      <c r="C10" s="62"/>
      <c r="D10" s="62"/>
      <c r="E10" s="63" t="n">
        <v>2024</v>
      </c>
      <c r="F10" s="63"/>
      <c r="G10" s="63"/>
      <c r="H10" s="63"/>
    </row>
    <row r="11" customFormat="false" ht="21.75" hidden="false" customHeight="true" outlineLevel="0" collapsed="false">
      <c r="B11" s="62" t="s">
        <v>210</v>
      </c>
      <c r="C11" s="62"/>
      <c r="D11" s="62"/>
      <c r="E11" s="63" t="s">
        <v>211</v>
      </c>
      <c r="F11" s="63"/>
      <c r="G11" s="63"/>
      <c r="H11" s="63"/>
    </row>
    <row r="13" customFormat="false" ht="27.75" hidden="false" customHeight="true" outlineLevel="0" collapsed="false">
      <c r="B13" s="64" t="s">
        <v>212</v>
      </c>
      <c r="C13" s="64"/>
      <c r="D13" s="64"/>
      <c r="E13" s="64"/>
      <c r="F13" s="64"/>
      <c r="G13" s="64"/>
      <c r="H13" s="64"/>
      <c r="I13" s="64"/>
    </row>
    <row r="14" customFormat="false" ht="19.5" hidden="false" customHeight="true" outlineLevel="0" collapsed="false">
      <c r="B14" s="65" t="s">
        <v>24</v>
      </c>
      <c r="C14" s="65"/>
      <c r="D14" s="65"/>
      <c r="E14" s="65"/>
      <c r="F14" s="11" t="n">
        <f aca="false">'Lead Waste Log'!E207</f>
        <v>0</v>
      </c>
      <c r="G14" s="11"/>
      <c r="H14" s="11"/>
    </row>
    <row r="15" customFormat="false" ht="19.5" hidden="false" customHeight="true" outlineLevel="0" collapsed="false">
      <c r="B15" s="65" t="s">
        <v>25</v>
      </c>
      <c r="C15" s="65"/>
      <c r="D15" s="65"/>
      <c r="E15" s="65"/>
      <c r="F15" s="11" t="n">
        <f aca="false">'Lead Waste Log'!E208</f>
        <v>0</v>
      </c>
      <c r="G15" s="11"/>
      <c r="H15" s="11"/>
    </row>
    <row r="16" customFormat="false" ht="19.5" hidden="false" customHeight="true" outlineLevel="0" collapsed="false">
      <c r="B16" s="65" t="s">
        <v>26</v>
      </c>
      <c r="C16" s="65"/>
      <c r="D16" s="65"/>
      <c r="E16" s="65"/>
      <c r="F16" s="66" t="n">
        <f aca="false">'Lead Waste Log'!E209</f>
        <v>0</v>
      </c>
      <c r="G16" s="66"/>
      <c r="H16" s="66"/>
    </row>
    <row r="17" customFormat="false" ht="19.5" hidden="false" customHeight="true" outlineLevel="0" collapsed="false">
      <c r="B17" s="65" t="s">
        <v>27</v>
      </c>
      <c r="C17" s="65"/>
      <c r="D17" s="65"/>
      <c r="E17" s="65"/>
      <c r="F17" s="11" t="n">
        <f aca="false">'Lead Waste Log'!E210</f>
        <v>0</v>
      </c>
      <c r="G17" s="11"/>
      <c r="H17" s="11"/>
    </row>
    <row r="18" customFormat="false" ht="19.5" hidden="false" customHeight="true" outlineLevel="0" collapsed="false">
      <c r="B18" s="65" t="s">
        <v>28</v>
      </c>
      <c r="C18" s="65"/>
      <c r="D18" s="65"/>
      <c r="E18" s="65"/>
      <c r="F18" s="11" t="n">
        <f aca="false">'Lead Waste Log'!E211</f>
        <v>0</v>
      </c>
      <c r="G18" s="11"/>
      <c r="H18" s="11"/>
    </row>
    <row r="19" customFormat="false" ht="19.5" hidden="false" customHeight="true" outlineLevel="0" collapsed="false">
      <c r="B19" s="65" t="s">
        <v>29</v>
      </c>
      <c r="C19" s="65"/>
      <c r="D19" s="65"/>
      <c r="E19" s="65"/>
      <c r="F19" s="11" t="n">
        <f aca="false">'Lead Waste Log'!E212</f>
        <v>0</v>
      </c>
      <c r="G19" s="11"/>
      <c r="H19" s="11"/>
    </row>
    <row r="20" customFormat="false" ht="19.5" hidden="false" customHeight="true" outlineLevel="0" collapsed="false">
      <c r="B20" s="65" t="s">
        <v>30</v>
      </c>
      <c r="C20" s="65"/>
      <c r="D20" s="65"/>
      <c r="E20" s="65"/>
      <c r="F20" s="11" t="n">
        <f aca="false">'Lead Waste Log'!E213</f>
        <v>0</v>
      </c>
      <c r="G20" s="11"/>
      <c r="H20" s="11"/>
    </row>
    <row r="21" customFormat="false" ht="19.5" hidden="false" customHeight="true" outlineLevel="0" collapsed="false">
      <c r="B21" s="65" t="s">
        <v>31</v>
      </c>
      <c r="C21" s="65"/>
      <c r="D21" s="65"/>
      <c r="E21" s="65"/>
      <c r="F21" s="10" t="n">
        <f aca="false">'Lead Waste Log'!E214</f>
        <v>0</v>
      </c>
      <c r="G21" s="10"/>
      <c r="H21" s="10"/>
    </row>
    <row r="23" customFormat="false" ht="7.5" hidden="false" customHeight="true" outlineLevel="0" collapsed="false"/>
    <row r="24" customFormat="false" ht="27.75" hidden="false" customHeight="true" outlineLevel="0" collapsed="false">
      <c r="B24" s="67" t="s">
        <v>213</v>
      </c>
      <c r="C24" s="67"/>
      <c r="D24" s="67"/>
      <c r="E24" s="67"/>
      <c r="F24" s="67"/>
      <c r="G24" s="67"/>
      <c r="H24" s="67"/>
      <c r="I24" s="67"/>
    </row>
    <row r="25" customFormat="false" ht="19.5" hidden="false" customHeight="true" outlineLevel="0" collapsed="false">
      <c r="B25" s="68" t="s">
        <v>24</v>
      </c>
      <c r="C25" s="68"/>
      <c r="D25" s="68"/>
      <c r="E25" s="68"/>
      <c r="F25" s="24" t="n">
        <f aca="false">'Copper Waste Log'!E207</f>
        <v>0</v>
      </c>
      <c r="G25" s="24"/>
      <c r="H25" s="24"/>
    </row>
    <row r="26" customFormat="false" ht="19.5" hidden="false" customHeight="true" outlineLevel="0" collapsed="false">
      <c r="B26" s="68" t="s">
        <v>25</v>
      </c>
      <c r="C26" s="68"/>
      <c r="D26" s="68"/>
      <c r="E26" s="68"/>
      <c r="F26" s="24" t="n">
        <f aca="false">'Copper Waste Log'!E208</f>
        <v>0</v>
      </c>
      <c r="G26" s="24"/>
      <c r="H26" s="24"/>
    </row>
    <row r="27" customFormat="false" ht="19.5" hidden="false" customHeight="true" outlineLevel="0" collapsed="false">
      <c r="B27" s="68" t="s">
        <v>26</v>
      </c>
      <c r="C27" s="68"/>
      <c r="D27" s="68"/>
      <c r="E27" s="68"/>
      <c r="F27" s="69" t="n">
        <f aca="false">'Copper Waste Log'!E209</f>
        <v>0</v>
      </c>
      <c r="G27" s="69"/>
      <c r="H27" s="69"/>
    </row>
    <row r="28" customFormat="false" ht="19.5" hidden="false" customHeight="true" outlineLevel="0" collapsed="false">
      <c r="B28" s="68" t="s">
        <v>27</v>
      </c>
      <c r="C28" s="68"/>
      <c r="D28" s="68"/>
      <c r="E28" s="68"/>
      <c r="F28" s="24" t="n">
        <f aca="false">'Copper Waste Log'!E210</f>
        <v>0</v>
      </c>
      <c r="G28" s="24"/>
      <c r="H28" s="24"/>
    </row>
    <row r="29" customFormat="false" ht="19.5" hidden="false" customHeight="true" outlineLevel="0" collapsed="false">
      <c r="B29" s="68" t="s">
        <v>28</v>
      </c>
      <c r="C29" s="68"/>
      <c r="D29" s="68"/>
      <c r="E29" s="68"/>
      <c r="F29" s="24" t="n">
        <f aca="false">'Copper Waste Log'!E211</f>
        <v>0</v>
      </c>
      <c r="G29" s="24"/>
      <c r="H29" s="24"/>
    </row>
    <row r="30" customFormat="false" ht="19.5" hidden="false" customHeight="true" outlineLevel="0" collapsed="false">
      <c r="B30" s="68" t="s">
        <v>29</v>
      </c>
      <c r="C30" s="68"/>
      <c r="D30" s="68"/>
      <c r="E30" s="68"/>
      <c r="F30" s="24" t="n">
        <f aca="false">'Copper Waste Log'!E212</f>
        <v>0</v>
      </c>
      <c r="G30" s="24"/>
      <c r="H30" s="24"/>
    </row>
    <row r="31" customFormat="false" ht="19.5" hidden="false" customHeight="true" outlineLevel="0" collapsed="false">
      <c r="B31" s="68" t="s">
        <v>30</v>
      </c>
      <c r="C31" s="68"/>
      <c r="D31" s="68"/>
      <c r="E31" s="68"/>
      <c r="F31" s="24" t="n">
        <f aca="false">'Copper Waste Log'!E213</f>
        <v>0</v>
      </c>
      <c r="G31" s="24"/>
      <c r="H31" s="24"/>
    </row>
    <row r="32" customFormat="false" ht="19.5" hidden="false" customHeight="true" outlineLevel="0" collapsed="false">
      <c r="B32" s="68" t="s">
        <v>31</v>
      </c>
      <c r="C32" s="68"/>
      <c r="D32" s="68"/>
      <c r="E32" s="68"/>
      <c r="F32" s="23" t="n">
        <f aca="false">'Copper Waste Log'!E214</f>
        <v>0</v>
      </c>
      <c r="G32" s="23"/>
      <c r="H32" s="23"/>
    </row>
    <row r="34" customFormat="false" ht="7.5" hidden="false" customHeight="true" outlineLevel="0" collapsed="false"/>
    <row r="35" customFormat="false" ht="27.75" hidden="false" customHeight="true" outlineLevel="0" collapsed="false">
      <c r="B35" s="70" t="s">
        <v>214</v>
      </c>
      <c r="C35" s="70"/>
      <c r="D35" s="70"/>
      <c r="E35" s="70"/>
      <c r="F35" s="70"/>
      <c r="G35" s="70"/>
      <c r="H35" s="70"/>
      <c r="I35" s="70"/>
    </row>
    <row r="36" customFormat="false" ht="19.5" hidden="false" customHeight="true" outlineLevel="0" collapsed="false">
      <c r="B36" s="71" t="s">
        <v>24</v>
      </c>
      <c r="C36" s="71"/>
      <c r="D36" s="71"/>
      <c r="E36" s="71"/>
      <c r="F36" s="36" t="n">
        <f aca="false">'Shell Casings Log'!G207</f>
        <v>0</v>
      </c>
      <c r="G36" s="36"/>
      <c r="H36" s="36"/>
    </row>
    <row r="37" customFormat="false" ht="19.5" hidden="false" customHeight="true" outlineLevel="0" collapsed="false">
      <c r="B37" s="71" t="s">
        <v>25</v>
      </c>
      <c r="C37" s="71"/>
      <c r="D37" s="71"/>
      <c r="E37" s="71"/>
      <c r="F37" s="36" t="n">
        <f aca="false">'Shell Casings Log'!G208</f>
        <v>0</v>
      </c>
      <c r="G37" s="36"/>
      <c r="H37" s="36"/>
    </row>
    <row r="38" customFormat="false" ht="19.5" hidden="false" customHeight="true" outlineLevel="0" collapsed="false">
      <c r="B38" s="71" t="s">
        <v>26</v>
      </c>
      <c r="C38" s="71"/>
      <c r="D38" s="71"/>
      <c r="E38" s="71"/>
      <c r="F38" s="72" t="n">
        <f aca="false">'Shell Casings Log'!G209</f>
        <v>0</v>
      </c>
      <c r="G38" s="72"/>
      <c r="H38" s="72"/>
    </row>
    <row r="39" customFormat="false" ht="19.5" hidden="false" customHeight="true" outlineLevel="0" collapsed="false">
      <c r="B39" s="71" t="s">
        <v>27</v>
      </c>
      <c r="C39" s="71"/>
      <c r="D39" s="71"/>
      <c r="E39" s="71"/>
      <c r="F39" s="36" t="n">
        <f aca="false">'Shell Casings Log'!G210</f>
        <v>0</v>
      </c>
      <c r="G39" s="36"/>
      <c r="H39" s="36"/>
    </row>
    <row r="40" customFormat="false" ht="19.5" hidden="false" customHeight="true" outlineLevel="0" collapsed="false">
      <c r="B40" s="71" t="s">
        <v>28</v>
      </c>
      <c r="C40" s="71"/>
      <c r="D40" s="71"/>
      <c r="E40" s="71"/>
      <c r="F40" s="36" t="n">
        <f aca="false">'Shell Casings Log'!G211</f>
        <v>0</v>
      </c>
      <c r="G40" s="36"/>
      <c r="H40" s="36"/>
    </row>
    <row r="41" customFormat="false" ht="19.5" hidden="false" customHeight="true" outlineLevel="0" collapsed="false">
      <c r="B41" s="71" t="s">
        <v>29</v>
      </c>
      <c r="C41" s="71"/>
      <c r="D41" s="71"/>
      <c r="E41" s="71"/>
      <c r="F41" s="36" t="n">
        <f aca="false">'Shell Casings Log'!G212</f>
        <v>0</v>
      </c>
      <c r="G41" s="36"/>
      <c r="H41" s="36"/>
    </row>
    <row r="42" customFormat="false" ht="19.5" hidden="false" customHeight="true" outlineLevel="0" collapsed="false">
      <c r="B42" s="71" t="s">
        <v>30</v>
      </c>
      <c r="C42" s="71"/>
      <c r="D42" s="71"/>
      <c r="E42" s="71"/>
      <c r="F42" s="36" t="n">
        <f aca="false">'Shell Casings Log'!G213</f>
        <v>0</v>
      </c>
      <c r="G42" s="36"/>
      <c r="H42" s="36"/>
    </row>
    <row r="43" customFormat="false" ht="19.5" hidden="false" customHeight="true" outlineLevel="0" collapsed="false">
      <c r="B43" s="71" t="s">
        <v>31</v>
      </c>
      <c r="C43" s="71"/>
      <c r="D43" s="71"/>
      <c r="E43" s="71"/>
      <c r="F43" s="35" t="n">
        <f aca="false">'Shell Casings Log'!G214</f>
        <v>0</v>
      </c>
      <c r="G43" s="35"/>
      <c r="H43" s="35"/>
    </row>
    <row r="45" customFormat="false" ht="7.5" hidden="false" customHeight="true" outlineLevel="0" collapsed="false"/>
    <row r="46" customFormat="false" ht="27.75" hidden="false" customHeight="true" outlineLevel="0" collapsed="false">
      <c r="B46" s="73" t="s">
        <v>215</v>
      </c>
      <c r="C46" s="73"/>
      <c r="D46" s="73"/>
      <c r="E46" s="73"/>
      <c r="F46" s="73"/>
      <c r="G46" s="73"/>
      <c r="H46" s="73"/>
      <c r="I46" s="73"/>
    </row>
    <row r="47" customFormat="false" ht="21.75" hidden="false" customHeight="true" outlineLevel="0" collapsed="false">
      <c r="B47" s="74" t="s">
        <v>216</v>
      </c>
      <c r="C47" s="74"/>
      <c r="D47" s="74"/>
      <c r="E47" s="74"/>
      <c r="F47" s="48" t="n">
        <f aca="false">'Lead Waste Log'!E208+'Copper Waste Log'!E208+'Shell Casings Log'!G208</f>
        <v>0</v>
      </c>
      <c r="G47" s="48"/>
      <c r="H47" s="48"/>
    </row>
    <row r="48" customFormat="false" ht="21.75" hidden="false" customHeight="true" outlineLevel="0" collapsed="false">
      <c r="B48" s="74" t="s">
        <v>217</v>
      </c>
      <c r="C48" s="74"/>
      <c r="D48" s="74"/>
      <c r="E48" s="74"/>
      <c r="F48" s="48" t="n">
        <f aca="false">'Lead Waste Log'!E207+'Copper Waste Log'!E207+'Shell Casings Log'!G207</f>
        <v>0</v>
      </c>
      <c r="G48" s="48"/>
      <c r="H48" s="48"/>
    </row>
    <row r="49" customFormat="false" ht="21.75" hidden="false" customHeight="true" outlineLevel="0" collapsed="false">
      <c r="B49" s="74" t="s">
        <v>218</v>
      </c>
      <c r="C49" s="74"/>
      <c r="D49" s="74"/>
      <c r="E49" s="74"/>
      <c r="F49" s="48" t="n">
        <f aca="false">'Lead Waste Log'!E212+'Copper Waste Log'!E212+'Shell Casings Log'!G212</f>
        <v>0</v>
      </c>
      <c r="G49" s="48"/>
      <c r="H49" s="48"/>
    </row>
  </sheetData>
  <mergeCells count="75">
    <mergeCell ref="B1:I1"/>
    <mergeCell ref="B2:I2"/>
    <mergeCell ref="B4:I4"/>
    <mergeCell ref="B5:D5"/>
    <mergeCell ref="E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B11:D11"/>
    <mergeCell ref="E11:H11"/>
    <mergeCell ref="B13:I13"/>
    <mergeCell ref="B14:E14"/>
    <mergeCell ref="F14:H14"/>
    <mergeCell ref="B15:E15"/>
    <mergeCell ref="F15:H15"/>
    <mergeCell ref="B16:E16"/>
    <mergeCell ref="F16:H16"/>
    <mergeCell ref="B17:E17"/>
    <mergeCell ref="F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4:I24"/>
    <mergeCell ref="B25:E25"/>
    <mergeCell ref="F25:H25"/>
    <mergeCell ref="B26:E26"/>
    <mergeCell ref="F26:H26"/>
    <mergeCell ref="B27:E27"/>
    <mergeCell ref="F27:H27"/>
    <mergeCell ref="B28:E28"/>
    <mergeCell ref="F28:H28"/>
    <mergeCell ref="B29:E29"/>
    <mergeCell ref="F29:H29"/>
    <mergeCell ref="B30:E30"/>
    <mergeCell ref="F30:H30"/>
    <mergeCell ref="B31:E31"/>
    <mergeCell ref="F31:H31"/>
    <mergeCell ref="B32:E32"/>
    <mergeCell ref="F32:H32"/>
    <mergeCell ref="B35:I35"/>
    <mergeCell ref="B36:E36"/>
    <mergeCell ref="F36:H36"/>
    <mergeCell ref="B37:E37"/>
    <mergeCell ref="F37:H37"/>
    <mergeCell ref="B38:E38"/>
    <mergeCell ref="F38:H38"/>
    <mergeCell ref="B39:E39"/>
    <mergeCell ref="F39:H39"/>
    <mergeCell ref="B40:E40"/>
    <mergeCell ref="F40:H40"/>
    <mergeCell ref="B41:E41"/>
    <mergeCell ref="F41:H41"/>
    <mergeCell ref="B42:E42"/>
    <mergeCell ref="F42:H42"/>
    <mergeCell ref="B43:E43"/>
    <mergeCell ref="F43:H43"/>
    <mergeCell ref="B46:I46"/>
    <mergeCell ref="B47:E47"/>
    <mergeCell ref="F47:H47"/>
    <mergeCell ref="B48:E48"/>
    <mergeCell ref="F48:H48"/>
    <mergeCell ref="B49:E49"/>
    <mergeCell ref="F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2026-06-11T12:51:07Z</dcterms:created>
  <dc:creator>openpyxl</dc:creator>
  <dc:description/>
  <dc:language>en-US</dc:language>
  <cp:lastModifiedBy/>
  <dcterms:modified xsi:type="dcterms:W3CDTF">2026-06-11T09:11:00Z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