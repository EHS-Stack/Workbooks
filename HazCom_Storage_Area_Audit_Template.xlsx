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Audit Log" sheetId="1" state="visible" r:id="rId3"/>
    <sheet name="Summary Dashboard" sheetId="2" state="visible" r:id="rId4"/>
    <sheet name="Instructions &amp; Legend" sheetId="3" state="visible" r:id="rId5"/>
    <sheet name="Regulatory Reference Guide" sheetId="4" state="visible" r:id="rId6"/>
    <sheet name="Corrective Action Tracker"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<sst xmlns="http://schemas.openxmlformats.org/spreadsheetml/2006/main" count="241" uniqueCount="218">
  <si>
    <t xml:space="preserve">⚠  CHEMICAL STORAGE AREA — HAZCOM SIGNAGE AUDIT</t>
  </si>
  <si>
    <t xml:space="preserve">HAZCOM SIGNAGE RECOMMENDATIONS</t>
  </si>
  <si>
    <t xml:space="preserve">Environmental Health &amp; Safety — Storage Area Inspection Record  |  OSHA 29 CFR 1910.1200 / EPA EPCRA</t>
  </si>
  <si>
    <t xml:space="preserve">Facility / Site:</t>
  </si>
  <si>
    <t xml:space="preserve">Facility Name</t>
  </si>
  <si>
    <t xml:space="preserve">Audit Date:</t>
  </si>
  <si>
    <t xml:space="preserve">Department / Area:</t>
  </si>
  <si>
    <t xml:space="preserve">Department or Work Area</t>
  </si>
  <si>
    <t xml:space="preserve">Next Review Date:</t>
  </si>
  <si>
    <t xml:space="preserve">Auditor Name:</t>
  </si>
  <si>
    <t xml:space="preserve">Auditor Full Name</t>
  </si>
  <si>
    <t xml:space="preserve">Regulatory Reference:</t>
  </si>
  <si>
    <t xml:space="preserve">29 CFR 1910.1200 (OSHA HazCom)</t>
  </si>
  <si>
    <t xml:space="preserve">Audit #:</t>
  </si>
  <si>
    <t xml:space="preserve">e.g. AUD-2025-001</t>
  </si>
  <si>
    <t xml:space="preserve">Conditions / Notes:</t>
  </si>
  <si>
    <t xml:space="preserve">Item #</t>
  </si>
  <si>
    <t xml:space="preserve">Location /
Building</t>
  </si>
  <si>
    <t xml:space="preserve">Room / Area</t>
  </si>
  <si>
    <t xml:space="preserve">GPS /
Grid Ref</t>
  </si>
  <si>
    <t xml:space="preserve">Hazard
Category</t>
  </si>
  <si>
    <t xml:space="preserve">Chemical /
Substance</t>
  </si>
  <si>
    <t xml:space="preserve">Finding / Observation</t>
  </si>
  <si>
    <t xml:space="preserve">Severity</t>
  </si>
  <si>
    <t xml:space="preserve">Compliance
Status</t>
  </si>
  <si>
    <t xml:space="preserve">Regulation
Cited</t>
  </si>
  <si>
    <t xml:space="preserve">Root Cause</t>
  </si>
  <si>
    <t xml:space="preserve">Corrective Action
Required</t>
  </si>
  <si>
    <t xml:space="preserve">Responsible
Party</t>
  </si>
  <si>
    <t xml:space="preserve">Due Date</t>
  </si>
  <si>
    <t xml:space="preserve">Date
Closed</t>
  </si>
  <si>
    <t xml:space="preserve">Verified
By</t>
  </si>
  <si>
    <t xml:space="preserve">Photo
Ref #</t>
  </si>
  <si>
    <t xml:space="preserve">Notes /
Comments</t>
  </si>
  <si>
    <t xml:space="preserve">Signage
Required?</t>
  </si>
  <si>
    <t xml:space="preserve">Signage Description
(Type / Standard Required)</t>
  </si>
  <si>
    <t xml:space="preserve">Vendor / Purchase
Link (URL)</t>
  </si>
  <si>
    <t xml:space="preserve">Item / Part
Number</t>
  </si>
  <si>
    <t xml:space="preserve">AUDIT TOTALS  (auto-calculated)</t>
  </si>
  <si>
    <t xml:space="preserve">Critical</t>
  </si>
  <si>
    <t xml:space="preserve">High</t>
  </si>
  <si>
    <t xml:space="preserve">Medium</t>
  </si>
  <si>
    <t xml:space="preserve">Low</t>
  </si>
  <si>
    <t xml:space="preserve">Observation</t>
  </si>
  <si>
    <t xml:space="preserve">Non-Compliant</t>
  </si>
  <si>
    <t xml:space="preserve">Compliant</t>
  </si>
  <si>
    <t xml:space="preserve">Partial</t>
  </si>
  <si>
    <t xml:space="preserve">Pending Review</t>
  </si>
  <si>
    <t xml:space="preserve">N/A</t>
  </si>
  <si>
    <t xml:space="preserve">Total Items</t>
  </si>
  <si>
    <t xml:space="preserve">Sign Needed
(Yes)</t>
  </si>
  <si>
    <t xml:space="preserve">Sign Needed
(Partial)</t>
  </si>
  <si>
    <t xml:space="preserve">Needs
Purchase Link</t>
  </si>
  <si>
    <t xml:space="preserve">Has Part
Number</t>
  </si>
  <si>
    <t xml:space="preserve">COUNT →</t>
  </si>
  <si>
    <t xml:space="preserve">Auditor Signature:</t>
  </si>
  <si>
    <t xml:space="preserve">EHS Manager Review:</t>
  </si>
  <si>
    <t xml:space="preserve">HAZCOM AUDIT — SUMMARY DASHBOARD</t>
  </si>
  <si>
    <t xml:space="preserve">Auto-calculated from Audit Log tab — Do not manually edit this sheet</t>
  </si>
  <si>
    <t xml:space="preserve">Total Items Inspected</t>
  </si>
  <si>
    <t xml:space="preserve">Non-Compliant Findings</t>
  </si>
  <si>
    <t xml:space="preserve">Critical Severity</t>
  </si>
  <si>
    <t xml:space="preserve">Awaiting Corrective Action</t>
  </si>
  <si>
    <t xml:space="preserve">Compliant Locations</t>
  </si>
  <si>
    <t xml:space="preserve">FINDINGS BY SEVERITY</t>
  </si>
  <si>
    <t xml:space="preserve">COMPLIANCE STATUS BREAKDOWN</t>
  </si>
  <si>
    <t xml:space="preserve">Severity Level</t>
  </si>
  <si>
    <t xml:space="preserve">Count</t>
  </si>
  <si>
    <t xml:space="preserve">% of Total</t>
  </si>
  <si>
    <t xml:space="preserve">Threshold</t>
  </si>
  <si>
    <t xml:space="preserve">Action Timeframe</t>
  </si>
  <si>
    <t xml:space="preserve">Status</t>
  </si>
  <si>
    <t xml:space="preserve">Notes</t>
  </si>
  <si>
    <t xml:space="preserve">Imminent danger</t>
  </si>
  <si>
    <t xml:space="preserve">Immediate / same day</t>
  </si>
  <si>
    <t xml:space="preserve">Requires corrective action</t>
  </si>
  <si>
    <t xml:space="preserve">Significant violation</t>
  </si>
  <si>
    <t xml:space="preserve">24–72 hours</t>
  </si>
  <si>
    <t xml:space="preserve">No action needed</t>
  </si>
  <si>
    <t xml:space="preserve">Moderate non-compliance</t>
  </si>
  <si>
    <t xml:space="preserve">30 days</t>
  </si>
  <si>
    <t xml:space="preserve">Follow-up required</t>
  </si>
  <si>
    <t xml:space="preserve">Minor deficiency</t>
  </si>
  <si>
    <t xml:space="preserve">90 days</t>
  </si>
  <si>
    <t xml:space="preserve">Awaiting EHS determination</t>
  </si>
  <si>
    <t xml:space="preserve">Improvement opportunity</t>
  </si>
  <si>
    <t xml:space="preserve">Next audit cycle</t>
  </si>
  <si>
    <t xml:space="preserve">Not applicable to location</t>
  </si>
  <si>
    <t xml:space="preserve">EHS Manager / Officer Review:</t>
  </si>
  <si>
    <t xml:space="preserve">Date:</t>
  </si>
  <si>
    <t xml:space="preserve">INSTRUCTIONS &amp; LEGEND — HazCom Storage Area Signage Audit</t>
  </si>
  <si>
    <t xml:space="preserve">HOW TO USE THIS TEMPLATE</t>
  </si>
  <si>
    <t xml:space="preserve">1. Fill in the header fields on the 'Audit Log' tab: Facility, Department, Auditor Name, Audit #, and Date.</t>
  </si>
  <si>
    <t xml:space="preserve">2. Walk each chemical storage area. For each location, complete one row in the Audit Log.</t>
  </si>
  <si>
    <t xml:space="preserve">3. Use the dropdown menus in Hazard Category, Severity, Compliance Status, and Root Cause columns.</t>
  </si>
  <si>
    <t xml:space="preserve">4. Assign a Photo Reference number (e.g., P-01) in Column Q, then attach or link photos separately.</t>
  </si>
  <si>
    <t xml:space="preserve">5. The Summary Dashboard tab auto-calculates all totals — no manual entry is required there.</t>
  </si>
  <si>
    <t xml:space="preserve">6. Enter the Due Date and Responsible Party for each non-compliant or partial finding.</t>
  </si>
  <si>
    <t xml:space="preserve">7. When a finding is resolved, enter the Date Closed and Verified By to formally close the item.</t>
  </si>
  <si>
    <t xml:space="preserve">8. This template supports up to 50 inspection items. Add rows if your audit requires more.</t>
  </si>
  <si>
    <t xml:space="preserve">SEVERITY DEFINITIONS</t>
  </si>
  <si>
    <t xml:space="preserve">CRITICAL</t>
  </si>
  <si>
    <t xml:space="preserve">Imminent danger; regulatory violation requiring immediate corrective action. Potential for serious injury, fatality, or major regulatory citation. Stop work if warranted.</t>
  </si>
  <si>
    <t xml:space="preserve">HIGH</t>
  </si>
  <si>
    <t xml:space="preserve">Significant non-compliance. Likely OSHA or EPA citation if found during inspection. Corrective action required within 24–72 hours.</t>
  </si>
  <si>
    <t xml:space="preserve">MEDIUM</t>
  </si>
  <si>
    <t xml:space="preserve">Non-compliance with moderate risk. No immediate danger, but corrective action required within 30 days.</t>
  </si>
  <si>
    <t xml:space="preserve">LOW</t>
  </si>
  <si>
    <t xml:space="preserve">Minor deficiency or best-practice gap. Low risk. Corrective action within 90 days.</t>
  </si>
  <si>
    <t xml:space="preserve">OBSERVATION</t>
  </si>
  <si>
    <t xml:space="preserve">No immediate non-compliance identified; noted for continuous improvement or future monitoring.</t>
  </si>
  <si>
    <t xml:space="preserve">COMPLIANCE STATUS DEFINITIONS</t>
  </si>
  <si>
    <t xml:space="preserve">NON-COMPLIANT</t>
  </si>
  <si>
    <t xml:space="preserve">Location/item fails to meet 29 CFR 1910.1200 or applicable regulation. Corrective action required.</t>
  </si>
  <si>
    <t xml:space="preserve">COMPLIANT</t>
  </si>
  <si>
    <t xml:space="preserve">Location/item meets all applicable HazCom requirements. No further action needed.</t>
  </si>
  <si>
    <t xml:space="preserve">PARTIAL</t>
  </si>
  <si>
    <t xml:space="preserve">Some requirements are met; others are still outstanding. Document what is missing and set a due date.</t>
  </si>
  <si>
    <t xml:space="preserve">PENDING REVIEW</t>
  </si>
  <si>
    <t xml:space="preserve">Inspection data gathered; compliance determination is pending EHS or management review.</t>
  </si>
  <si>
    <t xml:space="preserve">This requirement does not apply to this location or item type.</t>
  </si>
  <si>
    <t xml:space="preserve">COMMON ROOT CAUSES (dropdown options)</t>
  </si>
  <si>
    <t xml:space="preserve">Missing signage</t>
  </si>
  <si>
    <t xml:space="preserve">No GHS label, SDS posting, or HazCom sign present where required by 1910.1200(f).</t>
  </si>
  <si>
    <t xml:space="preserve">Damaged / faded sign</t>
  </si>
  <si>
    <t xml:space="preserve">Label or sign present but illegible, torn, faded, or deteriorated to the point of being unreadable.</t>
  </si>
  <si>
    <t xml:space="preserve">Wrong sign posted</t>
  </si>
  <si>
    <t xml:space="preserve">Incorrect hazard information is displayed for the chemical(s) present in that location.</t>
  </si>
  <si>
    <t xml:space="preserve">Blocked / obscured</t>
  </si>
  <si>
    <t xml:space="preserve">Signage is physically present but not visible — obstructed by equipment, pallets, stored materials, etc.</t>
  </si>
  <si>
    <t xml:space="preserve">No SDS available</t>
  </si>
  <si>
    <t xml:space="preserve">Safety Data Sheet is not readily accessible to workers in the area during their shift (1910.1200(g)).</t>
  </si>
  <si>
    <t xml:space="preserve">Training gap</t>
  </si>
  <si>
    <t xml:space="preserve">Workers in the area have not been trained on HazCom requirements for chemicals present (1910.1200(h)).</t>
  </si>
  <si>
    <t xml:space="preserve">Improper storage</t>
  </si>
  <si>
    <t xml:space="preserve">Chemicals are stored in a manner inconsistent with their SDS or fire/safety code requirements.</t>
  </si>
  <si>
    <t xml:space="preserve">Other</t>
  </si>
  <si>
    <t xml:space="preserve">Root cause does not fit the above categories — document specifics in the Notes column.</t>
  </si>
  <si>
    <t xml:space="preserve">SIGNAGE COLUMNS — HOW TO USE</t>
  </si>
  <si>
    <t xml:space="preserve">Signage Required?
(Column S)</t>
  </si>
  <si>
    <t xml:space="preserve">Use the dropdown to flag whether signage action is needed at this location:
  • Yes — A sign is clearly missing, damaged, or incorrect and must be replaced or added.
  • Partial — Some signage is present but incomplete (e.g., GHS label present but no SDS posting).
  • No — Signage is adequate; no action needed.
  • Unknown — Requires further review before a determination can be made.</t>
  </si>
  <si>
    <t xml:space="preserve">Signage Description
(Column T)</t>
  </si>
  <si>
    <t xml:space="preserve">Describe the specific sign or label type that is needed. Be as precise as possible so a manager or purchasing contact can act without having to revisit the location. Examples:
  • GHS-compliant container label — Flammable Liquid, Category 2
  • 'Danger: Corrosive Materials' OSHA-format wall sign
  • SDS station placard and binder required
  • 'No Smoking / Open Flame' sign — 10" × 14" minimum</t>
  </si>
  <si>
    <t xml:space="preserve">Vendor / Purchase Link
(Column U)</t>
  </si>
  <si>
    <t xml:space="preserve">Paste the URL to the product page for the recommended sign or label. This column is intentionally left blank in the template — the auditor or manager fills it in based on their preferred supplier. Common sources include:
  • ComplianceSigns.com, MySafetySign.com, SafetySign.com
  • OSHA Safety Products (oshacademy.com)
  • Direct manufacturer sites (Brady, Accuform, NMC)
  • Internal procurement / approved vendor catalog</t>
  </si>
  <si>
    <t xml:space="preserve">Item / Part Number
(Column V)</t>
  </si>
  <si>
    <t xml:space="preserve">Enter the supplier's item number, SKU, or part number for the sign. This is especially useful when handing off to a manager or purchasing department so they can order the exact item without ambiguity. Leave blank if unknown — the purchase link in Column U is sufficient to get started.</t>
  </si>
  <si>
    <t xml:space="preserve">REGULATORY REFERENCE GUIDE — HazCom Storage Area Signage Audit</t>
  </si>
  <si>
    <t xml:space="preserve">Plain-language summaries to help auditors, supervisors, and employees understand the legal basis for HazCom requirements. Verify current regulations at osha.gov / epa.gov.</t>
  </si>
  <si>
    <t xml:space="preserve">Regulation / Citation</t>
  </si>
  <si>
    <t xml:space="preserve">Issuing Authority</t>
  </si>
  <si>
    <t xml:space="preserve">Applies To</t>
  </si>
  <si>
    <t xml:space="preserve">Plain-Language Summary</t>
  </si>
  <si>
    <t xml:space="preserve">Key HazCom Audit Requirements</t>
  </si>
  <si>
    <t xml:space="preserve">Consequence of Non-Compliance</t>
  </si>
  <si>
    <t xml:space="preserve">OSHA — HAZARD COMMUNICATION STANDARD</t>
  </si>
  <si>
    <t xml:space="preserve">29 CFR 1910.1200
(Full Standard)</t>
  </si>
  <si>
    <t xml:space="preserve">OSHA — U.S. Dept. of Labor</t>
  </si>
  <si>
    <t xml:space="preserve">All general industry employers where hazardous chemicals are present</t>
  </si>
  <si>
    <t xml:space="preserve">The master Hazard Communication Standard ('HazCom' or 'Right-to-Know'). Revised in 2012 to align with the UN Globally Harmonized System (GHS). Requires employers to classify chemical hazards, maintain a written HazCom program, keep a current chemical inventory, ensure all containers are labeled, provide SDS for every hazardous chemical, and train employees. This is the primary regulation audited against.</t>
  </si>
  <si>
    <t xml:space="preserve">• Written HazCom program on file
• Chemical inventory current
• All containers labeled per GHS
• SDS accessible to all employees
• Employees trained on hazards
• Multi-employer site coordination</t>
  </si>
  <si>
    <t xml:space="preserve">OSHA citations up to $16,131 per serious violation; up to $161,323 per willful/repeat violation (amounts adjusted annually for inflation).</t>
  </si>
  <si>
    <t xml:space="preserve">29 CFR 1910.1200(f)
Labels and Other Forms of Warning</t>
  </si>
  <si>
    <t xml:space="preserve">OSHA</t>
  </si>
  <si>
    <t xml:space="preserve">All employers using, storing, or producing hazardous chemicals</t>
  </si>
  <si>
    <t xml:space="preserve">Governs how every chemical container must be labeled. Every container — from a 55-gallon drum to a small squeeze bottle — must display: product identifier, signal word (DANGER or WARNING), GHS hazard pictograms, hazard statements, precautionary statements, and supplier contact information. Labels must be legible, in English, and permanently affixed. This is the core requirement inspected during a signage audit.</t>
  </si>
  <si>
    <t xml:space="preserve">• Product identifier on every container
• Signal word (DANGER or WARNING)
• GHS hazard pictograms
• Hazard &amp; precautionary statements
• Supplier name, address, phone
• Labels legible and not defaced</t>
  </si>
  <si>
    <t xml:space="preserve">Unlabeled or mislabeled containers are a direct OSHA citation. Workers may mishandle chemicals, leading to burns, fires, explosions, or toxic exposure.</t>
  </si>
  <si>
    <t xml:space="preserve">29 CFR 1910.1200(g)
Safety Data Sheets (SDS)</t>
  </si>
  <si>
    <t xml:space="preserve">Chemical manufacturers, importers, distributors, and employers</t>
  </si>
  <si>
    <t xml:space="preserve">Safety Data Sheets (SDS) — the 16-section GHS-format documents describing a chemical's properties, hazards, handling, emergency response, and disposal — must be obtained for every hazardous chemical and kept readily accessible to workers at all times during their shift. Electronic SDS systems are acceptable only if a reliable backup is available. Locked cabinets or systems with restricted access are not compliant.</t>
  </si>
  <si>
    <t xml:space="preserve">• SDS for EVERY hazardous chemical on site
• Standardized 16-section GHS format
• Readily accessible during every work shift
• Electronic access acceptable with backup
• SDS must be current — update when needed</t>
  </si>
  <si>
    <t xml:space="preserve">Missing SDS = direct OSHA violation. Workers and emergency responders cannot safely handle spills or exposures without SDS information.</t>
  </si>
  <si>
    <t xml:space="preserve">29 CFR 1910.1200(h)
Employee Information &amp; Training</t>
  </si>
  <si>
    <t xml:space="preserve">All employers with hazardous chemicals in the workplace</t>
  </si>
  <si>
    <t xml:space="preserve">Employees must be trained before working with or near hazardous chemicals and whenever a new chemical hazard is introduced. Training must cover: the HazCom standard itself, the location of the written program and SDS, how to read GHS labels and SDS, and the specific chemical hazards in their work area. Generic training alone is insufficient — training must address the chemicals employees actually encounter.</t>
  </si>
  <si>
    <t xml:space="preserve">• Training before first chemical exposure
• Refresher when new hazards introduced
• Must understand GHS label elements
• Must know how to find and read SDS
• Work area-specific chemical hazards
• Training records documented and retained</t>
  </si>
  <si>
    <t xml:space="preserve">Untrained employees are more likely to suffer exposures, fail to use PPE correctly, or respond improperly to spills. OSHA cites both training deficiencies and resulting exposures.</t>
  </si>
  <si>
    <t xml:space="preserve">EPA — EMERGENCY PLANNING AND COMMUNITY RIGHT-TO-KNOW (EPCRA / SARA TITLE III)</t>
  </si>
  <si>
    <t xml:space="preserve">40 CFR Part 311
EPA Worker Protection
(SARA Title III / EPCRA)</t>
  </si>
  <si>
    <t xml:space="preserve">EPA — U.S. Environmental Protection Agency</t>
  </si>
  <si>
    <t xml:space="preserve">Employers subject to OSHA standards; facilities storing hazardous chemicals above threshold quantities</t>
  </si>
  <si>
    <t xml:space="preserve">EPCRA requires facilities storing hazardous chemicals above threshold quantities to report to state and local emergency planners and fire departments. Connects directly to HazCom — chemicals identified during a signage audit may also trigger EPCRA Tier II reporting. 40 CFR Part 311 aligns OSHA's HazCom definitions with EPA's worker protection programs, creating a unified hazard definition across agencies.</t>
  </si>
  <si>
    <t xml:space="preserve">• Annual Tier I / Tier II chemical inventory reports (due March 1)
• Extremely Hazardous Substances (EHS) threshold planning quantities
• Emergency release notifications (Section 304)
• SDS submission to Local Emergency Planning Committees (LEPC)
• Facility emergency response plan coordination</t>
  </si>
  <si>
    <t xml:space="preserve">EPA civil penalties up to $57,317 per day for Tier II reporting failures. Failure to notify of releases can result in criminal charges and community right-to-know violations.</t>
  </si>
  <si>
    <t xml:space="preserve">40 CFR Part 355
Emergency Planning &amp;
Notification</t>
  </si>
  <si>
    <t xml:space="preserve">EPA</t>
  </si>
  <si>
    <t xml:space="preserve">Facilities with Extremely Hazardous Substances (EHS) above threshold planning quantities</t>
  </si>
  <si>
    <t xml:space="preserve">Requires facilities to notify their State Emergency Response Commission (SERC) and Local Emergency Planning Committee (LEPC) if they have Extremely Hazardous Substances on site above threshold planning quantities. Directly tied to chemical inventories identified in HazCom audits — if an EHS chemical is present at or above its TPQ, emergency planning notification is mandatory.</t>
  </si>
  <si>
    <t xml:space="preserve">• Notify SERC and LEPC of EHS presence above TPQ
• Designate a facility emergency response coordinator
• Participate in local emergency planning processes
• Provide chemical inventory information to LEPC on request</t>
  </si>
  <si>
    <t xml:space="preserve">Failure to notify SERC/LEPC can result in EPA enforcement, civil penalties, and exclusion from emergency response planning that could affect employee safety during incidents.</t>
  </si>
  <si>
    <t xml:space="preserve">DOT — HAZARDOUS MATERIALS TRANSPORTATION (context for chemical storage areas)</t>
  </si>
  <si>
    <t xml:space="preserve">49 CFR Parts 100–185
DOT Hazardous Materials Regulations (HMR)</t>
  </si>
  <si>
    <t xml:space="preserve">DOT / PHMSA</t>
  </si>
  <si>
    <t xml:space="preserve">Anyone who offers, transports, or ships hazardous materials in commerce</t>
  </si>
  <si>
    <t xml:space="preserve">When hazardous chemicals leave the facility, they fall under DOT's HMR. DOT requires its own labeling system (diamond-shaped hazmat labels, vehicle placards), proper shipping names, UN identification numbers, shipping papers, and certified packaging. A chemical correctly labeled per OSHA HazCom on the shelf still requires separate DOT labeling when packaged for transport. The two systems use different label formats but cover similar hazard categories.</t>
  </si>
  <si>
    <t xml:space="preserve">• Proper shipping name and UN number on shipping papers
• DOT hazmat labels on packages (different from GHS labels)
• Vehicle placards for bulk transport quantities
• Hazmat employee training (49 CFR 172, Subpart H)
• Emergency Response Guidebook (ERG) available to drivers
• Packaging certified to DOT standards</t>
  </si>
  <si>
    <t xml:space="preserve">DOT civil penalties up to $84,425 per day per violation. Criminal penalties for willful violations. Carrier refusal. Liability for transportation incidents.</t>
  </si>
  <si>
    <t xml:space="preserve">⚠  DISCLAIMER: This reference guide is provided for informational and audit-support purposes only. Regulatory citation amounts and requirements are subject to change. Always verify current requirements against official sources: OSHA (osha.gov), EPA (epa.gov), DOT (dot.gov). This document does not constitute legal advice.</t>
  </si>
  <si>
    <t xml:space="preserve">CORRECTIVE ACTION TRACKER — HazCom Storage Area Audit</t>
  </si>
  <si>
    <t xml:space="preserve">Track open corrective actions from the Audit Log. Cross-reference Item # with the Audit Log tab. Update status as actions are completed.</t>
  </si>
  <si>
    <t xml:space="preserve">Item #
(from Log)</t>
  </si>
  <si>
    <t xml:space="preserve">Finding Summary</t>
  </si>
  <si>
    <t xml:space="preserve">Action Status</t>
  </si>
  <si>
    <t xml:space="preserve">Date Closed /
Verified By</t>
  </si>
  <si>
    <t xml:space="preserve">STATUS LEGEND</t>
  </si>
  <si>
    <t xml:space="preserve">Open</t>
  </si>
  <si>
    <t xml:space="preserve">Finding identified; corrective action has not started.</t>
  </si>
  <si>
    <t xml:space="preserve">In Progress</t>
  </si>
  <si>
    <t xml:space="preserve">Corrective action has been initiated but is not yet complete.</t>
  </si>
  <si>
    <t xml:space="preserve">Completed</t>
  </si>
  <si>
    <t xml:space="preserve">Action taken; pending verification by EHS or supervisor.</t>
  </si>
  <si>
    <t xml:space="preserve">Verified</t>
  </si>
  <si>
    <t xml:space="preserve">Corrective action confirmed effective by EHS or authorized reviewer.</t>
  </si>
  <si>
    <t xml:space="preserve">Deferred</t>
  </si>
  <si>
    <t xml:space="preserve">Action postponed with documented justification and new due date.</t>
  </si>
  <si>
    <t xml:space="preserve">Cancelled</t>
  </si>
  <si>
    <t xml:space="preserve">Finding determined not applicable or requirement rescinded.</t>
  </si>
</sst>
</file>

<file path=xl/styles.xml><?xml version="1.0" encoding="utf-8"?>
<styleSheet xmlns="http://schemas.openxmlformats.org/spreadsheetml/2006/main">
  <numFmts count="3">
    <numFmt numFmtId="164" formatCode="General"/>
    <numFmt numFmtId="165" formatCode="General"/>
    <numFmt numFmtId="166" formatCode="0.0%"/>
  </numFmts>
  <fonts count="2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6"/>
      <color theme="1"/>
      <name val="Arial"/>
      <family val="0"/>
    </font>
    <font>
      <i val="true"/>
      <sz val="10"/>
      <color rgb="FFDDDDDD"/>
      <name val="Arial"/>
      <family val="0"/>
      <charset val="1"/>
    </font>
    <font>
      <b val="true"/>
      <sz val="10"/>
      <color rgb="FFFFFFFF"/>
      <name val="Arial"/>
      <family val="0"/>
      <charset val="1"/>
    </font>
    <font>
      <sz val="10"/>
      <name val="Arial"/>
      <family val="0"/>
      <charset val="1"/>
    </font>
    <font>
      <b val="true"/>
      <sz val="9"/>
      <color rgb="FFFFFFFF"/>
      <name val="Arial"/>
      <family val="0"/>
      <charset val="1"/>
    </font>
    <font>
      <sz val="9"/>
      <name val="Arial"/>
      <family val="0"/>
      <charset val="1"/>
    </font>
    <font>
      <u val="single"/>
      <sz val="8"/>
      <color rgb="FF1F497D"/>
      <name val="Arial"/>
      <family val="0"/>
      <charset val="1"/>
    </font>
    <font>
      <b val="true"/>
      <sz val="9"/>
      <name val="Arial"/>
      <family val="0"/>
      <charset val="1"/>
    </font>
    <font>
      <b val="true"/>
      <sz val="10"/>
      <name val="Arial"/>
      <family val="0"/>
      <charset val="1"/>
    </font>
    <font>
      <b val="true"/>
      <sz val="22"/>
      <color rgb="FFFFFFFF"/>
      <name val="Arial"/>
      <family val="0"/>
      <charset val="1"/>
    </font>
    <font>
      <b val="true"/>
      <sz val="9"/>
      <color rgb="FF9C0006"/>
      <name val="Arial"/>
      <family val="0"/>
      <charset val="1"/>
    </font>
    <font>
      <i val="true"/>
      <sz val="9"/>
      <name val="Arial"/>
      <family val="0"/>
      <charset val="1"/>
    </font>
    <font>
      <b val="true"/>
      <sz val="9"/>
      <color rgb="FFC55A11"/>
      <name val="Arial"/>
      <family val="0"/>
      <charset val="1"/>
    </font>
    <font>
      <b val="true"/>
      <sz val="9"/>
      <color rgb="FF375623"/>
      <name val="Arial"/>
      <family val="0"/>
      <charset val="1"/>
    </font>
    <font>
      <b val="true"/>
      <sz val="9"/>
      <color rgb="FF9C5700"/>
      <name val="Arial"/>
      <family val="0"/>
      <charset val="1"/>
    </font>
    <font>
      <b val="true"/>
      <sz val="9"/>
      <color rgb="FF17375E"/>
      <name val="Arial"/>
      <family val="0"/>
      <charset val="1"/>
    </font>
    <font>
      <b val="true"/>
      <sz val="9"/>
      <color rgb="FF7030A0"/>
      <name val="Arial"/>
      <family val="0"/>
      <charset val="1"/>
    </font>
    <font>
      <b val="true"/>
      <sz val="9"/>
      <color rgb="FF404040"/>
      <name val="Arial"/>
      <family val="0"/>
      <charset val="1"/>
    </font>
    <font>
      <b val="true"/>
      <sz val="14"/>
      <color rgb="FFFFFFFF"/>
      <name val="Arial"/>
      <family val="0"/>
      <charset val="1"/>
    </font>
    <font>
      <b val="true"/>
      <sz val="11"/>
      <color rgb="FFFFFFFF"/>
      <name val="Arial"/>
      <family val="0"/>
      <charset val="1"/>
    </font>
    <font>
      <b val="true"/>
      <sz val="13"/>
      <color rgb="FFFFFFFF"/>
      <name val="Arial"/>
      <family val="0"/>
      <charset val="1"/>
    </font>
    <font>
      <i val="true"/>
      <sz val="9"/>
      <color rgb="FFDDDDDD"/>
      <name val="Arial"/>
      <family val="0"/>
      <charset val="1"/>
    </font>
    <font>
      <sz val="8"/>
      <name val="Arial"/>
      <family val="0"/>
      <charset val="1"/>
    </font>
    <font>
      <i val="true"/>
      <sz val="8"/>
      <color rgb="FF9C5700"/>
      <name val="Arial"/>
      <family val="0"/>
      <charset val="1"/>
    </font>
  </fonts>
  <fills count="23">
    <fill>
      <patternFill patternType="none"/>
    </fill>
    <fill>
      <patternFill patternType="gray125"/>
    </fill>
    <fill>
      <patternFill patternType="solid">
        <fgColor rgb="FF1F3864"/>
        <bgColor rgb="FF17375E"/>
      </patternFill>
    </fill>
    <fill>
      <patternFill patternType="solid">
        <fgColor rgb="FFBF8F00"/>
        <bgColor rgb="FFED7D31"/>
      </patternFill>
    </fill>
    <fill>
      <patternFill patternType="solid">
        <fgColor rgb="FF17375E"/>
        <bgColor rgb="FF1F3864"/>
      </patternFill>
    </fill>
    <fill>
      <patternFill patternType="solid">
        <fgColor rgb="FF2E75B6"/>
        <bgColor rgb="FF008080"/>
      </patternFill>
    </fill>
    <fill>
      <patternFill patternType="solid">
        <fgColor rgb="FFDEEAF1"/>
        <bgColor rgb="FFE2EFDA"/>
      </patternFill>
    </fill>
    <fill>
      <patternFill patternType="solid">
        <fgColor rgb="FFFFFFFF"/>
        <bgColor rgb="FFFFFDE7"/>
      </patternFill>
    </fill>
    <fill>
      <patternFill patternType="solid">
        <fgColor rgb="FFFFFDE7"/>
        <bgColor rgb="FFFFFFFF"/>
      </patternFill>
    </fill>
    <fill>
      <patternFill patternType="solid">
        <fgColor rgb="FFBDD7EE"/>
        <bgColor rgb="FFDDDDDD"/>
      </patternFill>
    </fill>
    <fill>
      <patternFill patternType="solid">
        <fgColor rgb="FFFFF2CC"/>
        <bgColor rgb="FFFCE4D6"/>
      </patternFill>
    </fill>
    <fill>
      <patternFill patternType="solid">
        <fgColor rgb="FF404040"/>
        <bgColor rgb="FF375623"/>
      </patternFill>
    </fill>
    <fill>
      <patternFill patternType="solid">
        <fgColor rgb="FFF2F2F2"/>
        <bgColor rgb="FFFFFDE7"/>
      </patternFill>
    </fill>
    <fill>
      <patternFill patternType="solid">
        <fgColor rgb="FFFFD966"/>
        <bgColor rgb="FFFFEB9C"/>
      </patternFill>
    </fill>
    <fill>
      <patternFill patternType="solid">
        <fgColor rgb="FFE2EFDA"/>
        <bgColor rgb="FFDEEAF1"/>
      </patternFill>
    </fill>
    <fill>
      <patternFill patternType="solid">
        <fgColor rgb="FFC55A11"/>
        <bgColor rgb="FF9C5700"/>
      </patternFill>
    </fill>
    <fill>
      <patternFill patternType="solid">
        <fgColor rgb="FF9C0006"/>
        <bgColor rgb="FF800000"/>
      </patternFill>
    </fill>
    <fill>
      <patternFill patternType="solid">
        <fgColor rgb="FFED7D31"/>
        <bgColor rgb="FFFF8080"/>
      </patternFill>
    </fill>
    <fill>
      <patternFill patternType="solid">
        <fgColor rgb="FF375623"/>
        <bgColor rgb="FF404040"/>
      </patternFill>
    </fill>
    <fill>
      <patternFill patternType="solid">
        <fgColor rgb="FFFFC7CE"/>
        <bgColor rgb="FFFCE4D6"/>
      </patternFill>
    </fill>
    <fill>
      <patternFill patternType="solid">
        <fgColor rgb="FFFCE4D6"/>
        <bgColor rgb="FFFFF2CC"/>
      </patternFill>
    </fill>
    <fill>
      <patternFill patternType="solid">
        <fgColor rgb="FFFFEB9C"/>
        <bgColor rgb="FFFFF2CC"/>
      </patternFill>
    </fill>
    <fill>
      <patternFill patternType="solid">
        <fgColor rgb="FFE2CFFF"/>
        <bgColor rgb="FFDDDDDD"/>
      </patternFill>
    </fill>
  </fills>
  <borders count="4">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medium">
        <color rgb="FF404040"/>
      </left>
      <right style="medium">
        <color rgb="FF404040"/>
      </right>
      <top style="medium">
        <color rgb="FF404040"/>
      </top>
      <bottom style="medium">
        <color rgb="FF404040"/>
      </bottom>
      <diagonal/>
    </border>
    <border diagonalUp="false" diagonalDown="false">
      <left style="thin">
        <color rgb="FFAAAAAA"/>
      </left>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true" indent="0" shrinkToFit="false"/>
      <protection locked="true" hidden="false"/>
    </xf>
    <xf numFmtId="164" fontId="5" fillId="3" borderId="0" xfId="0" applyFont="true" applyBorder="false" applyAlignment="true" applyProtection="true">
      <alignment horizontal="center" vertical="center" textRotation="0" wrapText="false" indent="0" shrinkToFit="false"/>
      <protection locked="true" hidden="false"/>
    </xf>
    <xf numFmtId="164" fontId="6" fillId="4" borderId="0" xfId="0" applyFont="true" applyBorder="true" applyAlignment="true" applyProtection="true">
      <alignment horizontal="center" vertical="center" textRotation="0" wrapText="true" indent="0" shrinkToFit="false"/>
      <protection locked="true" hidden="false"/>
    </xf>
    <xf numFmtId="164" fontId="7" fillId="5" borderId="1" xfId="0" applyFont="true" applyBorder="true" applyAlignment="true" applyProtection="true">
      <alignment horizontal="left" vertical="center" textRotation="0" wrapText="true" indent="0" shrinkToFit="false"/>
      <protection locked="true" hidden="false"/>
    </xf>
    <xf numFmtId="164" fontId="8" fillId="6" borderId="1" xfId="0" applyFont="true" applyBorder="true" applyAlignment="true" applyProtection="true">
      <alignment horizontal="left"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9" fillId="3" borderId="1" xfId="0" applyFont="true" applyBorder="true" applyAlignment="true" applyProtection="true">
      <alignment horizontal="center" vertical="center" textRotation="0" wrapText="true" indent="0" shrinkToFit="false"/>
      <protection locked="true" hidden="false"/>
    </xf>
    <xf numFmtId="164" fontId="10" fillId="7" borderId="1" xfId="0" applyFont="true" applyBorder="true" applyAlignment="true" applyProtection="true">
      <alignment horizontal="center" vertical="center" textRotation="0" wrapText="true" indent="0" shrinkToFit="false"/>
      <protection locked="true" hidden="false"/>
    </xf>
    <xf numFmtId="164" fontId="10" fillId="7" borderId="1" xfId="0" applyFont="true" applyBorder="true" applyAlignment="true" applyProtection="true">
      <alignment horizontal="left" vertical="center" textRotation="0" wrapText="true" indent="0" shrinkToFit="false"/>
      <protection locked="true" hidden="false"/>
    </xf>
    <xf numFmtId="164" fontId="10" fillId="8" borderId="1" xfId="0" applyFont="true" applyBorder="true" applyAlignment="true" applyProtection="true">
      <alignment horizontal="left" vertical="center" textRotation="0" wrapText="true" indent="0" shrinkToFit="false"/>
      <protection locked="true" hidden="false"/>
    </xf>
    <xf numFmtId="164" fontId="11" fillId="8" borderId="1" xfId="0" applyFont="true" applyBorder="true" applyAlignment="true" applyProtection="true">
      <alignment horizontal="left" vertical="center" textRotation="0" wrapText="true" indent="0" shrinkToFit="false"/>
      <protection locked="true" hidden="false"/>
    </xf>
    <xf numFmtId="164" fontId="10" fillId="9" borderId="1" xfId="0" applyFont="true" applyBorder="true" applyAlignment="true" applyProtection="true">
      <alignment horizontal="center" vertical="center" textRotation="0" wrapText="true" indent="0" shrinkToFit="false"/>
      <protection locked="true" hidden="false"/>
    </xf>
    <xf numFmtId="164" fontId="10" fillId="9" borderId="1" xfId="0" applyFont="true" applyBorder="true" applyAlignment="true" applyProtection="true">
      <alignment horizontal="left" vertical="center" textRotation="0" wrapText="true" indent="0" shrinkToFit="false"/>
      <protection locked="true" hidden="false"/>
    </xf>
    <xf numFmtId="164" fontId="10" fillId="10" borderId="1" xfId="0" applyFont="true" applyBorder="true" applyAlignment="true" applyProtection="true">
      <alignment horizontal="left" vertical="center" textRotation="0" wrapText="true" indent="0" shrinkToFit="false"/>
      <protection locked="true" hidden="false"/>
    </xf>
    <xf numFmtId="164" fontId="11" fillId="10" borderId="1" xfId="0" applyFont="true" applyBorder="true" applyAlignment="true" applyProtection="true">
      <alignment horizontal="left" vertical="center" textRotation="0" wrapText="true" indent="0" shrinkToFit="false"/>
      <protection locked="true" hidden="false"/>
    </xf>
    <xf numFmtId="164" fontId="7" fillId="2" borderId="0" xfId="0" applyFont="true" applyBorder="true" applyAlignment="true" applyProtection="true">
      <alignment horizontal="center" vertical="center" textRotation="0" wrapText="true" indent="0" shrinkToFit="false"/>
      <protection locked="true" hidden="false"/>
    </xf>
    <xf numFmtId="164" fontId="9" fillId="5" borderId="1"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4" fontId="9" fillId="11" borderId="1" xfId="0" applyFont="true" applyBorder="true" applyAlignment="true" applyProtection="true">
      <alignment horizontal="center" vertical="center" textRotation="0" wrapText="true" indent="0" shrinkToFit="false"/>
      <protection locked="true" hidden="false"/>
    </xf>
    <xf numFmtId="164" fontId="12" fillId="12" borderId="1" xfId="0" applyFont="true" applyBorder="true" applyAlignment="true" applyProtection="true">
      <alignment horizontal="center" vertical="center" textRotation="0" wrapText="true" indent="0" shrinkToFit="false"/>
      <protection locked="true" hidden="false"/>
    </xf>
    <xf numFmtId="165" fontId="13" fillId="13" borderId="1" xfId="0" applyFont="true" applyBorder="true" applyAlignment="true" applyProtection="true">
      <alignment horizontal="center" vertical="center" textRotation="0" wrapText="true" indent="0" shrinkToFit="false"/>
      <protection locked="true" hidden="false"/>
    </xf>
    <xf numFmtId="165" fontId="13" fillId="14" borderId="1" xfId="0" applyFont="true" applyBorder="true" applyAlignment="true" applyProtection="true">
      <alignment horizontal="center" vertical="center" textRotation="0" wrapText="true" indent="0" shrinkToFit="false"/>
      <protection locked="true" hidden="false"/>
    </xf>
    <xf numFmtId="165" fontId="13" fillId="6" borderId="1" xfId="0" applyFont="true" applyBorder="true" applyAlignment="true" applyProtection="true">
      <alignment horizontal="center" vertical="center" textRotation="0" wrapText="true" indent="0" shrinkToFit="false"/>
      <protection locked="true" hidden="false"/>
    </xf>
    <xf numFmtId="165" fontId="13" fillId="10" borderId="1" xfId="0" applyFont="true" applyBorder="true" applyAlignment="true" applyProtection="true">
      <alignment horizontal="center" vertical="center" textRotation="0" wrapText="true" indent="0" shrinkToFit="false"/>
      <protection locked="true" hidden="false"/>
    </xf>
    <xf numFmtId="164" fontId="13" fillId="12" borderId="1" xfId="0" applyFont="true" applyBorder="true" applyAlignment="true" applyProtection="true">
      <alignment horizontal="general" vertical="bottom" textRotation="0" wrapText="false" indent="0" shrinkToFit="false"/>
      <protection locked="true" hidden="false"/>
    </xf>
    <xf numFmtId="164" fontId="0" fillId="7" borderId="1" xfId="0" applyFont="false" applyBorder="true" applyAlignment="true" applyProtection="true">
      <alignment horizontal="general" vertical="bottom" textRotation="0" wrapText="false" indent="0" shrinkToFit="false"/>
      <protection locked="true" hidden="false"/>
    </xf>
    <xf numFmtId="164" fontId="9" fillId="5" borderId="2" xfId="0" applyFont="true" applyBorder="true" applyAlignment="true" applyProtection="true">
      <alignment horizontal="center" vertical="center" textRotation="0" wrapText="true" indent="0" shrinkToFit="false"/>
      <protection locked="true" hidden="false"/>
    </xf>
    <xf numFmtId="164" fontId="9" fillId="15" borderId="2" xfId="0" applyFont="true" applyBorder="true" applyAlignment="true" applyProtection="true">
      <alignment horizontal="center" vertical="center" textRotation="0" wrapText="true" indent="0" shrinkToFit="false"/>
      <protection locked="true" hidden="false"/>
    </xf>
    <xf numFmtId="164" fontId="9" fillId="16" borderId="2" xfId="0" applyFont="true" applyBorder="true" applyAlignment="true" applyProtection="true">
      <alignment horizontal="center" vertical="center" textRotation="0" wrapText="true" indent="0" shrinkToFit="false"/>
      <protection locked="true" hidden="false"/>
    </xf>
    <xf numFmtId="164" fontId="9" fillId="17" borderId="2" xfId="0" applyFont="true" applyBorder="true" applyAlignment="true" applyProtection="true">
      <alignment horizontal="center" vertical="center" textRotation="0" wrapText="true" indent="0" shrinkToFit="false"/>
      <protection locked="true" hidden="false"/>
    </xf>
    <xf numFmtId="164" fontId="9" fillId="18" borderId="2" xfId="0" applyFont="true" applyBorder="true" applyAlignment="true" applyProtection="true">
      <alignment horizontal="center" vertical="center" textRotation="0" wrapText="true" indent="0" shrinkToFit="false"/>
      <protection locked="true" hidden="false"/>
    </xf>
    <xf numFmtId="165" fontId="14" fillId="5" borderId="2" xfId="0" applyFont="true" applyBorder="true" applyAlignment="true" applyProtection="true">
      <alignment horizontal="center" vertical="center" textRotation="0" wrapText="true" indent="0" shrinkToFit="false"/>
      <protection locked="true" hidden="false"/>
    </xf>
    <xf numFmtId="165" fontId="14" fillId="15" borderId="2" xfId="0" applyFont="true" applyBorder="true" applyAlignment="true" applyProtection="true">
      <alignment horizontal="center" vertical="center" textRotation="0" wrapText="true" indent="0" shrinkToFit="false"/>
      <protection locked="true" hidden="false"/>
    </xf>
    <xf numFmtId="165" fontId="14" fillId="16" borderId="2" xfId="0" applyFont="true" applyBorder="true" applyAlignment="true" applyProtection="true">
      <alignment horizontal="center" vertical="center" textRotation="0" wrapText="true" indent="0" shrinkToFit="false"/>
      <protection locked="true" hidden="false"/>
    </xf>
    <xf numFmtId="165" fontId="14" fillId="17" borderId="2" xfId="0" applyFont="true" applyBorder="true" applyAlignment="true" applyProtection="true">
      <alignment horizontal="center" vertical="center" textRotation="0" wrapText="true" indent="0" shrinkToFit="false"/>
      <protection locked="true" hidden="false"/>
    </xf>
    <xf numFmtId="165" fontId="14" fillId="18" borderId="2" xfId="0" applyFont="true" applyBorder="true" applyAlignment="true" applyProtection="true">
      <alignment horizontal="center" vertical="center" textRotation="0" wrapText="true" indent="0" shrinkToFit="false"/>
      <protection locked="true" hidden="false"/>
    </xf>
    <xf numFmtId="164" fontId="7" fillId="5" borderId="1" xfId="0" applyFont="true" applyBorder="true" applyAlignment="true" applyProtection="true">
      <alignment horizontal="center" vertical="center" textRotation="0" wrapText="tru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4" fontId="15" fillId="19" borderId="1" xfId="0" applyFont="true" applyBorder="true" applyAlignment="true" applyProtection="true">
      <alignment horizontal="left" vertical="center" textRotation="0" wrapText="true" indent="0" shrinkToFit="false"/>
      <protection locked="true" hidden="false"/>
    </xf>
    <xf numFmtId="165" fontId="13" fillId="19" borderId="1" xfId="0" applyFont="true" applyBorder="true" applyAlignment="true" applyProtection="true">
      <alignment horizontal="center" vertical="center" textRotation="0" wrapText="true" indent="0" shrinkToFit="false"/>
      <protection locked="true" hidden="false"/>
    </xf>
    <xf numFmtId="166" fontId="0" fillId="19" borderId="1" xfId="0" applyFont="false" applyBorder="true" applyAlignment="true" applyProtection="true">
      <alignment horizontal="center" vertical="center" textRotation="0" wrapText="true" indent="0" shrinkToFit="false"/>
      <protection locked="true" hidden="false"/>
    </xf>
    <xf numFmtId="164" fontId="16" fillId="19" borderId="1" xfId="0" applyFont="true" applyBorder="true" applyAlignment="true" applyProtection="true">
      <alignment horizontal="left" vertical="center" textRotation="0" wrapText="true" indent="0" shrinkToFit="false"/>
      <protection locked="true" hidden="false"/>
    </xf>
    <xf numFmtId="164" fontId="0" fillId="19" borderId="1" xfId="0" applyFont="true" applyBorder="true" applyAlignment="true" applyProtection="true">
      <alignment horizontal="left" vertical="center" textRotation="0" wrapText="true" indent="0" shrinkToFit="false"/>
      <protection locked="true" hidden="false"/>
    </xf>
    <xf numFmtId="164" fontId="17" fillId="20" borderId="1" xfId="0" applyFont="true" applyBorder="true" applyAlignment="true" applyProtection="true">
      <alignment horizontal="left" vertical="center" textRotation="0" wrapText="true" indent="0" shrinkToFit="false"/>
      <protection locked="true" hidden="false"/>
    </xf>
    <xf numFmtId="165" fontId="13" fillId="20" borderId="1" xfId="0" applyFont="true" applyBorder="true" applyAlignment="true" applyProtection="true">
      <alignment horizontal="center" vertical="center" textRotation="0" wrapText="true" indent="0" shrinkToFit="false"/>
      <protection locked="true" hidden="false"/>
    </xf>
    <xf numFmtId="166" fontId="0" fillId="20" borderId="1" xfId="0" applyFont="false" applyBorder="true" applyAlignment="true" applyProtection="true">
      <alignment horizontal="center" vertical="center" textRotation="0" wrapText="true" indent="0" shrinkToFit="false"/>
      <protection locked="true" hidden="false"/>
    </xf>
    <xf numFmtId="164" fontId="16" fillId="20" borderId="1" xfId="0" applyFont="true" applyBorder="true" applyAlignment="true" applyProtection="true">
      <alignment horizontal="left" vertical="center" textRotation="0" wrapText="true" indent="0" shrinkToFit="false"/>
      <protection locked="true" hidden="false"/>
    </xf>
    <xf numFmtId="164" fontId="0" fillId="20" borderId="1" xfId="0" applyFont="true" applyBorder="true" applyAlignment="true" applyProtection="true">
      <alignment horizontal="left" vertical="center" textRotation="0" wrapText="true" indent="0" shrinkToFit="false"/>
      <protection locked="true" hidden="false"/>
    </xf>
    <xf numFmtId="164" fontId="18" fillId="14" borderId="1" xfId="0" applyFont="true" applyBorder="true" applyAlignment="true" applyProtection="true">
      <alignment horizontal="left" vertical="center" textRotation="0" wrapText="true" indent="0" shrinkToFit="false"/>
      <protection locked="true" hidden="false"/>
    </xf>
    <xf numFmtId="166" fontId="0" fillId="14" borderId="1" xfId="0" applyFont="false" applyBorder="true" applyAlignment="true" applyProtection="true">
      <alignment horizontal="center" vertical="center" textRotation="0" wrapText="true" indent="0" shrinkToFit="false"/>
      <protection locked="true" hidden="false"/>
    </xf>
    <xf numFmtId="164" fontId="16" fillId="14" borderId="1" xfId="0" applyFont="true" applyBorder="true" applyAlignment="true" applyProtection="true">
      <alignment horizontal="left" vertical="center" textRotation="0" wrapText="true" indent="0" shrinkToFit="false"/>
      <protection locked="true" hidden="false"/>
    </xf>
    <xf numFmtId="164" fontId="19" fillId="21" borderId="1" xfId="0" applyFont="true" applyBorder="true" applyAlignment="true" applyProtection="true">
      <alignment horizontal="left" vertical="center" textRotation="0" wrapText="true" indent="0" shrinkToFit="false"/>
      <protection locked="true" hidden="false"/>
    </xf>
    <xf numFmtId="165" fontId="13" fillId="21" borderId="1" xfId="0" applyFont="true" applyBorder="true" applyAlignment="true" applyProtection="true">
      <alignment horizontal="center" vertical="center" textRotation="0" wrapText="true" indent="0" shrinkToFit="false"/>
      <protection locked="true" hidden="false"/>
    </xf>
    <xf numFmtId="166" fontId="0" fillId="21" borderId="1" xfId="0" applyFont="false" applyBorder="true" applyAlignment="true" applyProtection="true">
      <alignment horizontal="center" vertical="center" textRotation="0" wrapText="true" indent="0" shrinkToFit="false"/>
      <protection locked="true" hidden="false"/>
    </xf>
    <xf numFmtId="164" fontId="16" fillId="21" borderId="1" xfId="0" applyFont="true" applyBorder="true" applyAlignment="true" applyProtection="true">
      <alignment horizontal="left" vertical="center" textRotation="0" wrapText="true" indent="0" shrinkToFit="false"/>
      <protection locked="true" hidden="false"/>
    </xf>
    <xf numFmtId="164" fontId="0" fillId="21" borderId="1" xfId="0" applyFont="true" applyBorder="true" applyAlignment="true" applyProtection="true">
      <alignment horizontal="left" vertical="center" textRotation="0" wrapText="true" indent="0" shrinkToFit="false"/>
      <protection locked="true" hidden="false"/>
    </xf>
    <xf numFmtId="164" fontId="0" fillId="14" borderId="1" xfId="0" applyFont="true" applyBorder="true" applyAlignment="true" applyProtection="true">
      <alignment horizontal="left" vertical="center" textRotation="0" wrapText="true" indent="0" shrinkToFit="false"/>
      <protection locked="true" hidden="false"/>
    </xf>
    <xf numFmtId="164" fontId="20" fillId="6" borderId="1" xfId="0" applyFont="true" applyBorder="true" applyAlignment="true" applyProtection="true">
      <alignment horizontal="left" vertical="center" textRotation="0" wrapText="true" indent="0" shrinkToFit="false"/>
      <protection locked="true" hidden="false"/>
    </xf>
    <xf numFmtId="166" fontId="0" fillId="6" borderId="1" xfId="0" applyFont="false" applyBorder="true" applyAlignment="true" applyProtection="true">
      <alignment horizontal="center" vertical="center" textRotation="0" wrapText="true" indent="0" shrinkToFit="false"/>
      <protection locked="true" hidden="false"/>
    </xf>
    <xf numFmtId="164" fontId="16" fillId="6" borderId="1" xfId="0" applyFont="true" applyBorder="true" applyAlignment="true" applyProtection="true">
      <alignment horizontal="left" vertical="center" textRotation="0" wrapText="true" indent="0" shrinkToFit="false"/>
      <protection locked="true" hidden="false"/>
    </xf>
    <xf numFmtId="164" fontId="21" fillId="22" borderId="1" xfId="0" applyFont="true" applyBorder="true" applyAlignment="true" applyProtection="true">
      <alignment horizontal="left" vertical="center" textRotation="0" wrapText="true" indent="0" shrinkToFit="false"/>
      <protection locked="true" hidden="false"/>
    </xf>
    <xf numFmtId="165" fontId="13" fillId="22" borderId="1" xfId="0" applyFont="true" applyBorder="true" applyAlignment="true" applyProtection="true">
      <alignment horizontal="center" vertical="center" textRotation="0" wrapText="true" indent="0" shrinkToFit="false"/>
      <protection locked="true" hidden="false"/>
    </xf>
    <xf numFmtId="166" fontId="0" fillId="22" borderId="1" xfId="0" applyFont="false" applyBorder="true" applyAlignment="true" applyProtection="true">
      <alignment horizontal="center" vertical="center" textRotation="0" wrapText="true" indent="0" shrinkToFit="false"/>
      <protection locked="true" hidden="false"/>
    </xf>
    <xf numFmtId="164" fontId="16" fillId="22" borderId="1" xfId="0" applyFont="true" applyBorder="true" applyAlignment="true" applyProtection="true">
      <alignment horizontal="left" vertical="center" textRotation="0" wrapText="true" indent="0" shrinkToFit="false"/>
      <protection locked="true" hidden="false"/>
    </xf>
    <xf numFmtId="164" fontId="0" fillId="22" borderId="1" xfId="0" applyFont="true" applyBorder="true" applyAlignment="true" applyProtection="true">
      <alignment horizontal="left" vertical="center" textRotation="0" wrapText="true" indent="0" shrinkToFit="false"/>
      <protection locked="true" hidden="false"/>
    </xf>
    <xf numFmtId="164" fontId="22" fillId="12" borderId="1" xfId="0" applyFont="true" applyBorder="true" applyAlignment="true" applyProtection="true">
      <alignment horizontal="left" vertical="center" textRotation="0" wrapText="true" indent="0" shrinkToFit="false"/>
      <protection locked="true" hidden="false"/>
    </xf>
    <xf numFmtId="165" fontId="13" fillId="12" borderId="1" xfId="0" applyFont="true" applyBorder="true" applyAlignment="true" applyProtection="true">
      <alignment horizontal="center" vertical="center" textRotation="0" wrapText="true" indent="0" shrinkToFit="false"/>
      <protection locked="true" hidden="false"/>
    </xf>
    <xf numFmtId="166" fontId="0" fillId="12" borderId="1" xfId="0" applyFont="false" applyBorder="true" applyAlignment="true" applyProtection="true">
      <alignment horizontal="center" vertical="center" textRotation="0" wrapText="true" indent="0" shrinkToFit="false"/>
      <protection locked="true" hidden="false"/>
    </xf>
    <xf numFmtId="164" fontId="16" fillId="12" borderId="1" xfId="0" applyFont="true" applyBorder="true" applyAlignment="true" applyProtection="true">
      <alignment horizontal="left" vertical="center" textRotation="0" wrapText="true" indent="0" shrinkToFit="false"/>
      <protection locked="true" hidden="false"/>
    </xf>
    <xf numFmtId="164" fontId="23" fillId="2" borderId="0" xfId="0" applyFont="true" applyBorder="true" applyAlignment="true" applyProtection="true">
      <alignment horizontal="center" vertical="center" textRotation="0" wrapText="true" indent="0" shrinkToFit="false"/>
      <protection locked="true" hidden="false"/>
    </xf>
    <xf numFmtId="164" fontId="24" fillId="5" borderId="1" xfId="0" applyFont="true" applyBorder="true" applyAlignment="true" applyProtection="true">
      <alignment horizontal="left" vertical="center" textRotation="0" wrapText="true" indent="0" shrinkToFit="false"/>
      <protection locked="true" hidden="false"/>
    </xf>
    <xf numFmtId="164" fontId="10" fillId="6" borderId="1" xfId="0" applyFont="true" applyBorder="true" applyAlignment="true" applyProtection="true">
      <alignment horizontal="left" vertical="center" textRotation="0" wrapText="true" indent="0" shrinkToFit="false"/>
      <protection locked="true" hidden="false"/>
    </xf>
    <xf numFmtId="164" fontId="24" fillId="15" borderId="1" xfId="0" applyFont="true" applyBorder="true" applyAlignment="true" applyProtection="true">
      <alignment horizontal="left" vertical="center" textRotation="0" wrapText="true" indent="0" shrinkToFit="false"/>
      <protection locked="true" hidden="false"/>
    </xf>
    <xf numFmtId="164" fontId="10" fillId="19" borderId="1" xfId="0" applyFont="true" applyBorder="true" applyAlignment="true" applyProtection="true">
      <alignment horizontal="left" vertical="center" textRotation="0" wrapText="true" indent="0" shrinkToFit="false"/>
      <protection locked="true" hidden="false"/>
    </xf>
    <xf numFmtId="164" fontId="10" fillId="20" borderId="1" xfId="0" applyFont="true" applyBorder="true" applyAlignment="true" applyProtection="true">
      <alignment horizontal="left" vertical="center" textRotation="0" wrapText="true" indent="0" shrinkToFit="false"/>
      <protection locked="true" hidden="false"/>
    </xf>
    <xf numFmtId="164" fontId="10" fillId="21" borderId="1" xfId="0" applyFont="true" applyBorder="true" applyAlignment="true" applyProtection="true">
      <alignment horizontal="left" vertical="center" textRotation="0" wrapText="true" indent="0" shrinkToFit="false"/>
      <protection locked="true" hidden="false"/>
    </xf>
    <xf numFmtId="164" fontId="10" fillId="14" borderId="1" xfId="0" applyFont="true" applyBorder="true" applyAlignment="true" applyProtection="true">
      <alignment horizontal="left" vertical="center" textRotation="0" wrapText="true" indent="0" shrinkToFit="false"/>
      <protection locked="true" hidden="false"/>
    </xf>
    <xf numFmtId="164" fontId="10" fillId="22" borderId="1" xfId="0" applyFont="true" applyBorder="true" applyAlignment="true" applyProtection="true">
      <alignment horizontal="left" vertical="center" textRotation="0" wrapText="true" indent="0" shrinkToFit="false"/>
      <protection locked="true" hidden="false"/>
    </xf>
    <xf numFmtId="164" fontId="24" fillId="2" borderId="1" xfId="0" applyFont="true" applyBorder="true" applyAlignment="true" applyProtection="true">
      <alignment horizontal="left" vertical="center" textRotation="0" wrapText="true" indent="0" shrinkToFit="false"/>
      <protection locked="true" hidden="false"/>
    </xf>
    <xf numFmtId="164" fontId="10" fillId="12" borderId="1" xfId="0" applyFont="true" applyBorder="true" applyAlignment="true" applyProtection="true">
      <alignment horizontal="left" vertical="center" textRotation="0" wrapText="true" indent="0" shrinkToFit="false"/>
      <protection locked="true" hidden="false"/>
    </xf>
    <xf numFmtId="164" fontId="24" fillId="4" borderId="1" xfId="0" applyFont="true" applyBorder="true" applyAlignment="true" applyProtection="true">
      <alignment horizontal="left" vertical="center" textRotation="0" wrapText="true" indent="0" shrinkToFit="false"/>
      <protection locked="true" hidden="false"/>
    </xf>
    <xf numFmtId="164" fontId="12" fillId="6" borderId="1" xfId="0" applyFont="true" applyBorder="true" applyAlignment="true" applyProtection="true">
      <alignment horizontal="left" vertical="center" textRotation="0" wrapText="true" indent="0" shrinkToFit="false"/>
      <protection locked="true" hidden="false"/>
    </xf>
    <xf numFmtId="164" fontId="12" fillId="7" borderId="1" xfId="0" applyFont="true" applyBorder="true" applyAlignment="true" applyProtection="true">
      <alignment horizontal="left" vertical="center" textRotation="0" wrapText="true" indent="0" shrinkToFit="false"/>
      <protection locked="true" hidden="false"/>
    </xf>
    <xf numFmtId="164" fontId="24" fillId="3" borderId="3" xfId="0" applyFont="true" applyBorder="true" applyAlignment="true" applyProtection="true">
      <alignment horizontal="left" vertical="center" textRotation="0" wrapText="true" indent="0" shrinkToFit="false"/>
      <protection locked="true" hidden="false"/>
    </xf>
    <xf numFmtId="164" fontId="12" fillId="10" borderId="1" xfId="0" applyFont="true" applyBorder="true" applyAlignment="true" applyProtection="true">
      <alignment horizontal="left" vertical="top" textRotation="0" wrapText="true" indent="0" shrinkToFit="false"/>
      <protection locked="true" hidden="false"/>
    </xf>
    <xf numFmtId="164" fontId="10" fillId="10" borderId="3" xfId="0" applyFont="true" applyBorder="true" applyAlignment="true" applyProtection="true">
      <alignment horizontal="left" vertical="top" textRotation="0" wrapText="true" indent="0" shrinkToFit="false"/>
      <protection locked="true" hidden="false"/>
    </xf>
    <xf numFmtId="164" fontId="12" fillId="8" borderId="1" xfId="0" applyFont="true" applyBorder="true" applyAlignment="true" applyProtection="true">
      <alignment horizontal="left" vertical="top" textRotation="0" wrapText="true" indent="0" shrinkToFit="false"/>
      <protection locked="true" hidden="false"/>
    </xf>
    <xf numFmtId="164" fontId="10" fillId="8" borderId="3" xfId="0" applyFont="true" applyBorder="true" applyAlignment="true" applyProtection="true">
      <alignment horizontal="left" vertical="top" textRotation="0" wrapText="true" indent="0" shrinkToFit="false"/>
      <protection locked="true" hidden="false"/>
    </xf>
    <xf numFmtId="164" fontId="25" fillId="2" borderId="0" xfId="0" applyFont="true" applyBorder="true" applyAlignment="true" applyProtection="true">
      <alignment horizontal="center" vertical="center" textRotation="0" wrapText="true" indent="0" shrinkToFit="false"/>
      <protection locked="true" hidden="false"/>
    </xf>
    <xf numFmtId="164" fontId="26" fillId="4" borderId="0" xfId="0" applyFont="true" applyBorder="true" applyAlignment="true" applyProtection="true">
      <alignment horizontal="left" vertical="center" textRotation="0" wrapText="true" indent="0" shrinkToFit="false"/>
      <protection locked="true" hidden="false"/>
    </xf>
    <xf numFmtId="164" fontId="7" fillId="5" borderId="0" xfId="0" applyFont="true" applyBorder="true" applyAlignment="true" applyProtection="true">
      <alignment horizontal="center" vertical="center" textRotation="0" wrapText="true" indent="0" shrinkToFit="false"/>
      <protection locked="true" hidden="false"/>
    </xf>
    <xf numFmtId="164" fontId="27" fillId="6" borderId="1" xfId="0" applyFont="true" applyBorder="true" applyAlignment="true" applyProtection="true">
      <alignment horizontal="left" vertical="top" textRotation="0" wrapText="true" indent="0" shrinkToFit="false"/>
      <protection locked="true" hidden="false"/>
    </xf>
    <xf numFmtId="164" fontId="27" fillId="7" borderId="1" xfId="0" applyFont="true" applyBorder="true" applyAlignment="true" applyProtection="true">
      <alignment horizontal="left" vertical="top" textRotation="0" wrapText="true" indent="0" shrinkToFit="false"/>
      <protection locked="true" hidden="false"/>
    </xf>
    <xf numFmtId="164" fontId="7" fillId="18" borderId="0" xfId="0" applyFont="true" applyBorder="true" applyAlignment="true" applyProtection="true">
      <alignment horizontal="center" vertical="center" textRotation="0" wrapText="true" indent="0" shrinkToFit="false"/>
      <protection locked="true" hidden="false"/>
    </xf>
    <xf numFmtId="164" fontId="27" fillId="14" borderId="1" xfId="0" applyFont="true" applyBorder="true" applyAlignment="true" applyProtection="true">
      <alignment horizontal="left" vertical="top" textRotation="0" wrapText="true" indent="0" shrinkToFit="false"/>
      <protection locked="true" hidden="false"/>
    </xf>
    <xf numFmtId="164" fontId="7" fillId="17" borderId="0" xfId="0" applyFont="true" applyBorder="true" applyAlignment="true" applyProtection="true">
      <alignment horizontal="center" vertical="center" textRotation="0" wrapText="true" indent="0" shrinkToFit="false"/>
      <protection locked="true" hidden="false"/>
    </xf>
    <xf numFmtId="164" fontId="28" fillId="21" borderId="1" xfId="0" applyFont="true" applyBorder="true" applyAlignment="true" applyProtection="true">
      <alignment horizontal="left" vertical="center" textRotation="0" wrapText="true" indent="0" shrinkToFit="false"/>
      <protection locked="true" hidden="false"/>
    </xf>
    <xf numFmtId="164" fontId="9" fillId="4" borderId="0" xfId="0" applyFont="true" applyBorder="true" applyAlignment="true" applyProtection="true">
      <alignment horizontal="center" vertical="center" textRotation="0" wrapText="true" indent="0" shrinkToFit="false"/>
      <protection locked="true" hidden="false"/>
    </xf>
    <xf numFmtId="164" fontId="19" fillId="13" borderId="1" xfId="0" applyFont="true" applyBorder="true" applyAlignment="true" applyProtection="true">
      <alignment horizontal="left" vertical="center" textRotation="0" wrapText="true" indent="0" shrinkToFit="false"/>
      <protection locked="true" hidden="false"/>
    </xf>
    <xf numFmtId="164" fontId="10" fillId="13" borderId="1"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2CC"/>
      <rgbColor rgb="FFFF00FF"/>
      <rgbColor rgb="FF00FFFF"/>
      <rgbColor rgb="FF9C0006"/>
      <rgbColor rgb="FF008000"/>
      <rgbColor rgb="FF000080"/>
      <rgbColor rgb="FF808000"/>
      <rgbColor rgb="FF800080"/>
      <rgbColor rgb="FF008080"/>
      <rgbColor rgb="FFDDDDDD"/>
      <rgbColor rgb="FF808080"/>
      <rgbColor rgb="FF9999FF"/>
      <rgbColor rgb="FF7030A0"/>
      <rgbColor rgb="FFFFFDE7"/>
      <rgbColor rgb="FFDEEAF1"/>
      <rgbColor rgb="FF660066"/>
      <rgbColor rgb="FFFF8080"/>
      <rgbColor rgb="FF1F497D"/>
      <rgbColor rgb="FFE2CFFF"/>
      <rgbColor rgb="FF000080"/>
      <rgbColor rgb="FFFF00FF"/>
      <rgbColor rgb="FFFFFF00"/>
      <rgbColor rgb="FF00FFFF"/>
      <rgbColor rgb="FF800080"/>
      <rgbColor rgb="FF800000"/>
      <rgbColor rgb="FF008080"/>
      <rgbColor rgb="FF0000FF"/>
      <rgbColor rgb="FF00CCFF"/>
      <rgbColor rgb="FFF2F2F2"/>
      <rgbColor rgb="FFE2EFDA"/>
      <rgbColor rgb="FFFFEB9C"/>
      <rgbColor rgb="FFBDD7EE"/>
      <rgbColor rgb="FFFCE4D6"/>
      <rgbColor rgb="FFCC99FF"/>
      <rgbColor rgb="FFFFC7CE"/>
      <rgbColor rgb="FF2E75B6"/>
      <rgbColor rgb="FF33CCCC"/>
      <rgbColor rgb="FF99CC00"/>
      <rgbColor rgb="FFFFD966"/>
      <rgbColor rgb="FFBF8F00"/>
      <rgbColor rgb="FFED7D31"/>
      <rgbColor rgb="FF666699"/>
      <rgbColor rgb="FFAAAAAA"/>
      <rgbColor rgb="FF17375E"/>
      <rgbColor rgb="FF339966"/>
      <rgbColor rgb="FF003300"/>
      <rgbColor rgb="FF375623"/>
      <rgbColor rgb="FF9C5700"/>
      <rgbColor rgb="FFC55A11"/>
      <rgbColor rgb="FF1F3864"/>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V64"/>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pane xSplit="0" ySplit="9" topLeftCell="A16" activePane="bottomLeft" state="frozen"/>
      <selection pane="topLeft" activeCell="D1" activeCellId="0" sqref="D1"/>
      <selection pane="bottomLeft" activeCell="Z1" activeCellId="0" sqref="Z1"/>
    </sheetView>
  </sheetViews>
  <sheetFormatPr defaultColWidth="8.68359375" defaultRowHeight="15" zeroHeight="false" outlineLevelRow="0" outlineLevelCol="0"/>
  <cols>
    <col collapsed="false" customWidth="true" hidden="false" outlineLevel="0" max="1" min="1" style="1" width="7"/>
    <col collapsed="false" customWidth="true" hidden="false" outlineLevel="0" max="2" min="2" style="1" width="18"/>
    <col collapsed="false" customWidth="true" hidden="false" outlineLevel="0" max="3" min="3" style="1" width="16"/>
    <col collapsed="false" customWidth="true" hidden="false" outlineLevel="0" max="4" min="4" style="1" width="13"/>
    <col collapsed="false" customWidth="true" hidden="false" outlineLevel="0" max="5" min="5" style="1" width="16"/>
    <col collapsed="false" customWidth="true" hidden="false" outlineLevel="0" max="6" min="6" style="1" width="22"/>
    <col collapsed="false" customWidth="true" hidden="false" outlineLevel="0" max="7" min="7" style="1" width="30"/>
    <col collapsed="false" customWidth="true" hidden="false" outlineLevel="0" max="8" min="8" style="1" width="12"/>
    <col collapsed="false" customWidth="true" hidden="false" outlineLevel="0" max="9" min="9" style="1" width="15"/>
    <col collapsed="false" customWidth="true" hidden="false" outlineLevel="0" max="10" min="10" style="1" width="18"/>
    <col collapsed="false" customWidth="true" hidden="false" outlineLevel="0" max="11" min="11" style="1" width="22"/>
    <col collapsed="false" customWidth="true" hidden="false" outlineLevel="0" max="12" min="12" style="1" width="28"/>
    <col collapsed="false" customWidth="true" hidden="false" outlineLevel="0" max="13" min="13" style="1" width="17"/>
    <col collapsed="false" customWidth="true" hidden="false" outlineLevel="0" max="15" min="14" style="1" width="12"/>
    <col collapsed="false" customWidth="true" hidden="false" outlineLevel="0" max="16" min="16" style="1" width="15"/>
    <col collapsed="false" customWidth="true" hidden="false" outlineLevel="0" max="17" min="17" style="1" width="10"/>
    <col collapsed="false" customWidth="true" hidden="false" outlineLevel="0" max="18" min="18" style="1" width="28"/>
    <col collapsed="false" customWidth="true" hidden="false" outlineLevel="0" max="19" min="19" style="1" width="10"/>
    <col collapsed="false" customWidth="true" hidden="false" outlineLevel="0" max="20" min="20" style="1" width="32"/>
    <col collapsed="false" customWidth="true" hidden="false" outlineLevel="0" max="21" min="21" style="1" width="36"/>
    <col collapsed="false" customWidth="true" hidden="false" outlineLevel="0" max="22" min="22" style="1" width="18"/>
  </cols>
  <sheetData>
    <row r="1" customFormat="false" ht="31.5" hidden="false" customHeight="true" outlineLevel="0" collapsed="false">
      <c r="A1" s="2" t="s">
        <v>0</v>
      </c>
      <c r="B1" s="2"/>
      <c r="C1" s="2"/>
      <c r="D1" s="2"/>
      <c r="E1" s="2"/>
      <c r="F1" s="2"/>
      <c r="G1" s="2"/>
      <c r="H1" s="2"/>
      <c r="I1" s="2"/>
      <c r="J1" s="2"/>
      <c r="K1" s="2"/>
      <c r="L1" s="2"/>
      <c r="M1" s="2"/>
      <c r="N1" s="2"/>
      <c r="O1" s="2"/>
      <c r="P1" s="2"/>
      <c r="Q1" s="2"/>
      <c r="R1" s="2"/>
      <c r="S1" s="3" t="s">
        <v>1</v>
      </c>
      <c r="T1" s="3"/>
      <c r="U1" s="3"/>
      <c r="V1" s="3"/>
    </row>
    <row r="2" customFormat="false" ht="7.5" hidden="false" customHeight="true" outlineLevel="0" collapsed="false">
      <c r="A2" s="2"/>
      <c r="B2" s="2"/>
      <c r="C2" s="2"/>
      <c r="D2" s="2"/>
      <c r="E2" s="2"/>
      <c r="F2" s="2"/>
      <c r="G2" s="2"/>
      <c r="H2" s="2"/>
      <c r="I2" s="2"/>
      <c r="J2" s="2"/>
      <c r="K2" s="2"/>
      <c r="L2" s="2"/>
      <c r="M2" s="2"/>
      <c r="N2" s="2"/>
      <c r="O2" s="2"/>
      <c r="P2" s="2"/>
      <c r="Q2" s="2"/>
      <c r="R2" s="2"/>
      <c r="S2" s="3"/>
      <c r="T2" s="3"/>
      <c r="U2" s="3"/>
      <c r="V2" s="3"/>
    </row>
    <row r="3" customFormat="false" ht="18" hidden="false" customHeight="true" outlineLevel="0" collapsed="false">
      <c r="A3" s="4" t="s">
        <v>2</v>
      </c>
      <c r="B3" s="4"/>
      <c r="C3" s="4"/>
      <c r="D3" s="4"/>
      <c r="E3" s="4"/>
      <c r="F3" s="4"/>
      <c r="G3" s="4"/>
      <c r="H3" s="4"/>
      <c r="I3" s="4"/>
      <c r="J3" s="4"/>
      <c r="K3" s="4"/>
      <c r="L3" s="4"/>
      <c r="M3" s="4"/>
      <c r="N3" s="4"/>
      <c r="O3" s="4"/>
      <c r="P3" s="4"/>
      <c r="Q3" s="4"/>
      <c r="R3" s="4"/>
      <c r="S3" s="3"/>
      <c r="T3" s="3"/>
      <c r="U3" s="3"/>
      <c r="V3" s="3"/>
    </row>
    <row r="4" customFormat="false" ht="18" hidden="false" customHeight="true" outlineLevel="0" collapsed="false">
      <c r="A4" s="5" t="s">
        <v>3</v>
      </c>
      <c r="C4" s="6" t="s">
        <v>4</v>
      </c>
      <c r="D4" s="6"/>
      <c r="E4" s="6"/>
      <c r="G4" s="5" t="s">
        <v>5</v>
      </c>
      <c r="I4" s="6"/>
      <c r="J4" s="6"/>
    </row>
    <row r="5" customFormat="false" ht="18" hidden="false" customHeight="true" outlineLevel="0" collapsed="false">
      <c r="A5" s="5" t="s">
        <v>6</v>
      </c>
      <c r="C5" s="6" t="s">
        <v>7</v>
      </c>
      <c r="D5" s="6"/>
      <c r="E5" s="6"/>
      <c r="G5" s="5" t="s">
        <v>8</v>
      </c>
      <c r="I5" s="6"/>
      <c r="J5" s="6"/>
    </row>
    <row r="6" customFormat="false" ht="18" hidden="false" customHeight="true" outlineLevel="0" collapsed="false">
      <c r="A6" s="5" t="s">
        <v>9</v>
      </c>
      <c r="C6" s="6" t="s">
        <v>10</v>
      </c>
      <c r="D6" s="6"/>
      <c r="E6" s="6"/>
      <c r="G6" s="5" t="s">
        <v>11</v>
      </c>
      <c r="I6" s="6" t="s">
        <v>12</v>
      </c>
      <c r="J6" s="6"/>
      <c r="K6" s="6"/>
    </row>
    <row r="7" customFormat="false" ht="18" hidden="false" customHeight="true" outlineLevel="0" collapsed="false">
      <c r="A7" s="5" t="s">
        <v>13</v>
      </c>
      <c r="C7" s="6" t="s">
        <v>14</v>
      </c>
      <c r="D7" s="6"/>
      <c r="G7" s="5" t="s">
        <v>15</v>
      </c>
      <c r="I7" s="6"/>
      <c r="J7" s="6"/>
      <c r="K7" s="6"/>
    </row>
    <row r="8" customFormat="false" ht="6" hidden="false" customHeight="true" outlineLevel="0" collapsed="false"/>
    <row r="9" customFormat="false" ht="36" hidden="false" customHeight="true" outlineLevel="0" collapsed="false">
      <c r="A9" s="7" t="s">
        <v>16</v>
      </c>
      <c r="B9" s="7" t="s">
        <v>17</v>
      </c>
      <c r="C9" s="7" t="s">
        <v>18</v>
      </c>
      <c r="D9" s="7" t="s">
        <v>19</v>
      </c>
      <c r="E9" s="7" t="s">
        <v>20</v>
      </c>
      <c r="F9" s="7" t="s">
        <v>21</v>
      </c>
      <c r="G9" s="7" t="s">
        <v>22</v>
      </c>
      <c r="H9" s="7" t="s">
        <v>23</v>
      </c>
      <c r="I9" s="7" t="s">
        <v>24</v>
      </c>
      <c r="J9" s="7" t="s">
        <v>25</v>
      </c>
      <c r="K9" s="7" t="s">
        <v>26</v>
      </c>
      <c r="L9" s="7" t="s">
        <v>27</v>
      </c>
      <c r="M9" s="7" t="s">
        <v>28</v>
      </c>
      <c r="N9" s="7" t="s">
        <v>29</v>
      </c>
      <c r="O9" s="7" t="s">
        <v>30</v>
      </c>
      <c r="P9" s="7" t="s">
        <v>31</v>
      </c>
      <c r="Q9" s="7" t="s">
        <v>32</v>
      </c>
      <c r="R9" s="7" t="s">
        <v>33</v>
      </c>
      <c r="S9" s="8" t="s">
        <v>34</v>
      </c>
      <c r="T9" s="8" t="s">
        <v>35</v>
      </c>
      <c r="U9" s="8" t="s">
        <v>36</v>
      </c>
      <c r="V9" s="8" t="s">
        <v>37</v>
      </c>
    </row>
    <row r="10" customFormat="false" ht="18" hidden="false" customHeight="true" outlineLevel="0" collapsed="false">
      <c r="A10" s="9" t="n">
        <v>1</v>
      </c>
      <c r="B10" s="10"/>
      <c r="C10" s="10"/>
      <c r="D10" s="10"/>
      <c r="E10" s="10"/>
      <c r="F10" s="10"/>
      <c r="G10" s="10"/>
      <c r="H10" s="10"/>
      <c r="I10" s="10"/>
      <c r="J10" s="10"/>
      <c r="K10" s="10"/>
      <c r="L10" s="10"/>
      <c r="M10" s="10"/>
      <c r="N10" s="10"/>
      <c r="O10" s="10"/>
      <c r="P10" s="10"/>
      <c r="Q10" s="10"/>
      <c r="R10" s="10"/>
      <c r="S10" s="11"/>
      <c r="T10" s="11"/>
      <c r="U10" s="12"/>
      <c r="V10" s="11"/>
    </row>
    <row r="11" customFormat="false" ht="18" hidden="false" customHeight="true" outlineLevel="0" collapsed="false">
      <c r="A11" s="13" t="n">
        <v>2</v>
      </c>
      <c r="B11" s="14"/>
      <c r="C11" s="14"/>
      <c r="D11" s="14"/>
      <c r="E11" s="14"/>
      <c r="F11" s="14"/>
      <c r="G11" s="14"/>
      <c r="H11" s="14"/>
      <c r="I11" s="14"/>
      <c r="J11" s="14"/>
      <c r="K11" s="14"/>
      <c r="L11" s="14"/>
      <c r="M11" s="14"/>
      <c r="N11" s="14"/>
      <c r="O11" s="14"/>
      <c r="P11" s="14"/>
      <c r="Q11" s="14"/>
      <c r="R11" s="14"/>
      <c r="S11" s="15"/>
      <c r="T11" s="15"/>
      <c r="U11" s="16"/>
      <c r="V11" s="15"/>
    </row>
    <row r="12" customFormat="false" ht="18" hidden="false" customHeight="true" outlineLevel="0" collapsed="false">
      <c r="A12" s="9" t="n">
        <v>3</v>
      </c>
      <c r="B12" s="10"/>
      <c r="C12" s="10"/>
      <c r="D12" s="10"/>
      <c r="E12" s="10"/>
      <c r="F12" s="10"/>
      <c r="G12" s="10"/>
      <c r="H12" s="10"/>
      <c r="I12" s="10"/>
      <c r="J12" s="10"/>
      <c r="K12" s="10"/>
      <c r="L12" s="10"/>
      <c r="M12" s="10"/>
      <c r="N12" s="10"/>
      <c r="O12" s="10"/>
      <c r="P12" s="10"/>
      <c r="Q12" s="10"/>
      <c r="R12" s="10"/>
      <c r="S12" s="11"/>
      <c r="T12" s="11"/>
      <c r="U12" s="12"/>
      <c r="V12" s="11"/>
    </row>
    <row r="13" customFormat="false" ht="18" hidden="false" customHeight="true" outlineLevel="0" collapsed="false">
      <c r="A13" s="13" t="n">
        <v>4</v>
      </c>
      <c r="B13" s="14"/>
      <c r="C13" s="14"/>
      <c r="D13" s="14"/>
      <c r="E13" s="14"/>
      <c r="F13" s="14"/>
      <c r="G13" s="14"/>
      <c r="H13" s="14"/>
      <c r="I13" s="14"/>
      <c r="J13" s="14"/>
      <c r="K13" s="14"/>
      <c r="L13" s="14"/>
      <c r="M13" s="14"/>
      <c r="N13" s="14"/>
      <c r="O13" s="14"/>
      <c r="P13" s="14"/>
      <c r="Q13" s="14"/>
      <c r="R13" s="14"/>
      <c r="S13" s="15"/>
      <c r="T13" s="15"/>
      <c r="U13" s="16"/>
      <c r="V13" s="15"/>
    </row>
    <row r="14" customFormat="false" ht="18" hidden="false" customHeight="true" outlineLevel="0" collapsed="false">
      <c r="A14" s="9" t="n">
        <v>5</v>
      </c>
      <c r="B14" s="10"/>
      <c r="C14" s="10"/>
      <c r="D14" s="10"/>
      <c r="E14" s="10"/>
      <c r="F14" s="10"/>
      <c r="G14" s="10"/>
      <c r="H14" s="10"/>
      <c r="I14" s="10"/>
      <c r="J14" s="10"/>
      <c r="K14" s="10"/>
      <c r="L14" s="10"/>
      <c r="M14" s="10"/>
      <c r="N14" s="10"/>
      <c r="O14" s="10"/>
      <c r="P14" s="10"/>
      <c r="Q14" s="10"/>
      <c r="R14" s="10"/>
      <c r="S14" s="11"/>
      <c r="T14" s="11"/>
      <c r="U14" s="12"/>
      <c r="V14" s="11"/>
    </row>
    <row r="15" customFormat="false" ht="18" hidden="false" customHeight="true" outlineLevel="0" collapsed="false">
      <c r="A15" s="13" t="n">
        <v>6</v>
      </c>
      <c r="B15" s="14"/>
      <c r="C15" s="14"/>
      <c r="D15" s="14"/>
      <c r="E15" s="14"/>
      <c r="F15" s="14"/>
      <c r="G15" s="14"/>
      <c r="H15" s="14"/>
      <c r="I15" s="14"/>
      <c r="J15" s="14"/>
      <c r="K15" s="14"/>
      <c r="L15" s="14"/>
      <c r="M15" s="14"/>
      <c r="N15" s="14"/>
      <c r="O15" s="14"/>
      <c r="P15" s="14"/>
      <c r="Q15" s="14"/>
      <c r="R15" s="14"/>
      <c r="S15" s="15"/>
      <c r="T15" s="15"/>
      <c r="U15" s="16"/>
      <c r="V15" s="15"/>
    </row>
    <row r="16" customFormat="false" ht="18" hidden="false" customHeight="true" outlineLevel="0" collapsed="false">
      <c r="A16" s="9" t="n">
        <v>7</v>
      </c>
      <c r="B16" s="10"/>
      <c r="C16" s="10"/>
      <c r="D16" s="10"/>
      <c r="E16" s="10"/>
      <c r="F16" s="10"/>
      <c r="G16" s="10"/>
      <c r="H16" s="10"/>
      <c r="I16" s="10"/>
      <c r="J16" s="10"/>
      <c r="K16" s="10"/>
      <c r="L16" s="10"/>
      <c r="M16" s="10"/>
      <c r="N16" s="10"/>
      <c r="O16" s="10"/>
      <c r="P16" s="10"/>
      <c r="Q16" s="10"/>
      <c r="R16" s="10"/>
      <c r="S16" s="11"/>
      <c r="T16" s="11"/>
      <c r="U16" s="12"/>
      <c r="V16" s="11"/>
    </row>
    <row r="17" customFormat="false" ht="18" hidden="false" customHeight="true" outlineLevel="0" collapsed="false">
      <c r="A17" s="13" t="n">
        <v>8</v>
      </c>
      <c r="B17" s="14"/>
      <c r="C17" s="14"/>
      <c r="D17" s="14"/>
      <c r="E17" s="14"/>
      <c r="F17" s="14"/>
      <c r="G17" s="14"/>
      <c r="H17" s="14"/>
      <c r="I17" s="14"/>
      <c r="J17" s="14"/>
      <c r="K17" s="14"/>
      <c r="L17" s="14"/>
      <c r="M17" s="14"/>
      <c r="N17" s="14"/>
      <c r="O17" s="14"/>
      <c r="P17" s="14"/>
      <c r="Q17" s="14"/>
      <c r="R17" s="14"/>
      <c r="S17" s="15"/>
      <c r="T17" s="15"/>
      <c r="U17" s="16"/>
      <c r="V17" s="15"/>
    </row>
    <row r="18" customFormat="false" ht="18" hidden="false" customHeight="true" outlineLevel="0" collapsed="false">
      <c r="A18" s="9" t="n">
        <v>9</v>
      </c>
      <c r="B18" s="10"/>
      <c r="C18" s="10"/>
      <c r="D18" s="10"/>
      <c r="E18" s="10"/>
      <c r="F18" s="10"/>
      <c r="G18" s="10"/>
      <c r="H18" s="10"/>
      <c r="I18" s="10"/>
      <c r="J18" s="10"/>
      <c r="K18" s="10"/>
      <c r="L18" s="10"/>
      <c r="M18" s="10"/>
      <c r="N18" s="10"/>
      <c r="O18" s="10"/>
      <c r="P18" s="10"/>
      <c r="Q18" s="10"/>
      <c r="R18" s="10"/>
      <c r="S18" s="11"/>
      <c r="T18" s="11"/>
      <c r="U18" s="12"/>
      <c r="V18" s="11"/>
    </row>
    <row r="19" customFormat="false" ht="18" hidden="false" customHeight="true" outlineLevel="0" collapsed="false">
      <c r="A19" s="13" t="n">
        <v>10</v>
      </c>
      <c r="B19" s="14"/>
      <c r="C19" s="14"/>
      <c r="D19" s="14"/>
      <c r="E19" s="14"/>
      <c r="F19" s="14"/>
      <c r="G19" s="14"/>
      <c r="H19" s="14"/>
      <c r="I19" s="14"/>
      <c r="J19" s="14"/>
      <c r="K19" s="14"/>
      <c r="L19" s="14"/>
      <c r="M19" s="14"/>
      <c r="N19" s="14"/>
      <c r="O19" s="14"/>
      <c r="P19" s="14"/>
      <c r="Q19" s="14"/>
      <c r="R19" s="14"/>
      <c r="S19" s="15"/>
      <c r="T19" s="15"/>
      <c r="U19" s="16"/>
      <c r="V19" s="15"/>
    </row>
    <row r="20" customFormat="false" ht="18" hidden="false" customHeight="true" outlineLevel="0" collapsed="false">
      <c r="A20" s="9" t="n">
        <v>11</v>
      </c>
      <c r="B20" s="10"/>
      <c r="C20" s="10"/>
      <c r="D20" s="10"/>
      <c r="E20" s="10"/>
      <c r="F20" s="10"/>
      <c r="G20" s="10"/>
      <c r="H20" s="10"/>
      <c r="I20" s="10"/>
      <c r="J20" s="10"/>
      <c r="K20" s="10"/>
      <c r="L20" s="10"/>
      <c r="M20" s="10"/>
      <c r="N20" s="10"/>
      <c r="O20" s="10"/>
      <c r="P20" s="10"/>
      <c r="Q20" s="10"/>
      <c r="R20" s="10"/>
      <c r="S20" s="11"/>
      <c r="T20" s="11"/>
      <c r="U20" s="12"/>
      <c r="V20" s="11"/>
    </row>
    <row r="21" customFormat="false" ht="18" hidden="false" customHeight="true" outlineLevel="0" collapsed="false">
      <c r="A21" s="13" t="n">
        <v>12</v>
      </c>
      <c r="B21" s="14"/>
      <c r="C21" s="14"/>
      <c r="D21" s="14"/>
      <c r="E21" s="14"/>
      <c r="F21" s="14"/>
      <c r="G21" s="14"/>
      <c r="H21" s="14"/>
      <c r="I21" s="14"/>
      <c r="J21" s="14"/>
      <c r="K21" s="14"/>
      <c r="L21" s="14"/>
      <c r="M21" s="14"/>
      <c r="N21" s="14"/>
      <c r="O21" s="14"/>
      <c r="P21" s="14"/>
      <c r="Q21" s="14"/>
      <c r="R21" s="14"/>
      <c r="S21" s="15"/>
      <c r="T21" s="15"/>
      <c r="U21" s="16"/>
      <c r="V21" s="15"/>
    </row>
    <row r="22" customFormat="false" ht="18" hidden="false" customHeight="true" outlineLevel="0" collapsed="false">
      <c r="A22" s="9" t="n">
        <v>13</v>
      </c>
      <c r="B22" s="10"/>
      <c r="C22" s="10"/>
      <c r="D22" s="10"/>
      <c r="E22" s="10"/>
      <c r="F22" s="10"/>
      <c r="G22" s="10"/>
      <c r="H22" s="10"/>
      <c r="I22" s="10"/>
      <c r="J22" s="10"/>
      <c r="K22" s="10"/>
      <c r="L22" s="10"/>
      <c r="M22" s="10"/>
      <c r="N22" s="10"/>
      <c r="O22" s="10"/>
      <c r="P22" s="10"/>
      <c r="Q22" s="10"/>
      <c r="R22" s="10"/>
      <c r="S22" s="11"/>
      <c r="T22" s="11"/>
      <c r="U22" s="12"/>
      <c r="V22" s="11"/>
    </row>
    <row r="23" customFormat="false" ht="18" hidden="false" customHeight="true" outlineLevel="0" collapsed="false">
      <c r="A23" s="13" t="n">
        <v>14</v>
      </c>
      <c r="B23" s="14"/>
      <c r="C23" s="14"/>
      <c r="D23" s="14"/>
      <c r="E23" s="14"/>
      <c r="F23" s="14"/>
      <c r="G23" s="14"/>
      <c r="H23" s="14"/>
      <c r="I23" s="14"/>
      <c r="J23" s="14"/>
      <c r="K23" s="14"/>
      <c r="L23" s="14"/>
      <c r="M23" s="14"/>
      <c r="N23" s="14"/>
      <c r="O23" s="14"/>
      <c r="P23" s="14"/>
      <c r="Q23" s="14"/>
      <c r="R23" s="14"/>
      <c r="S23" s="15"/>
      <c r="T23" s="15"/>
      <c r="U23" s="16"/>
      <c r="V23" s="15"/>
    </row>
    <row r="24" customFormat="false" ht="18" hidden="false" customHeight="true" outlineLevel="0" collapsed="false">
      <c r="A24" s="9" t="n">
        <v>15</v>
      </c>
      <c r="B24" s="10"/>
      <c r="C24" s="10"/>
      <c r="D24" s="10"/>
      <c r="E24" s="10"/>
      <c r="F24" s="10"/>
      <c r="G24" s="10"/>
      <c r="H24" s="10"/>
      <c r="I24" s="10"/>
      <c r="J24" s="10"/>
      <c r="K24" s="10"/>
      <c r="L24" s="10"/>
      <c r="M24" s="10"/>
      <c r="N24" s="10"/>
      <c r="O24" s="10"/>
      <c r="P24" s="10"/>
      <c r="Q24" s="10"/>
      <c r="R24" s="10"/>
      <c r="S24" s="11"/>
      <c r="T24" s="11"/>
      <c r="U24" s="12"/>
      <c r="V24" s="11"/>
    </row>
    <row r="25" customFormat="false" ht="18" hidden="false" customHeight="true" outlineLevel="0" collapsed="false">
      <c r="A25" s="13" t="n">
        <v>16</v>
      </c>
      <c r="B25" s="14"/>
      <c r="C25" s="14"/>
      <c r="D25" s="14"/>
      <c r="E25" s="14"/>
      <c r="F25" s="14"/>
      <c r="G25" s="14"/>
      <c r="H25" s="14"/>
      <c r="I25" s="14"/>
      <c r="J25" s="14"/>
      <c r="K25" s="14"/>
      <c r="L25" s="14"/>
      <c r="M25" s="14"/>
      <c r="N25" s="14"/>
      <c r="O25" s="14"/>
      <c r="P25" s="14"/>
      <c r="Q25" s="14"/>
      <c r="R25" s="14"/>
      <c r="S25" s="15"/>
      <c r="T25" s="15"/>
      <c r="U25" s="16"/>
      <c r="V25" s="15"/>
    </row>
    <row r="26" customFormat="false" ht="18" hidden="false" customHeight="true" outlineLevel="0" collapsed="false">
      <c r="A26" s="9" t="n">
        <v>17</v>
      </c>
      <c r="B26" s="10"/>
      <c r="C26" s="10"/>
      <c r="D26" s="10"/>
      <c r="E26" s="10"/>
      <c r="F26" s="10"/>
      <c r="G26" s="10"/>
      <c r="H26" s="10"/>
      <c r="I26" s="10"/>
      <c r="J26" s="10"/>
      <c r="K26" s="10"/>
      <c r="L26" s="10"/>
      <c r="M26" s="10"/>
      <c r="N26" s="10"/>
      <c r="O26" s="10"/>
      <c r="P26" s="10"/>
      <c r="Q26" s="10"/>
      <c r="R26" s="10"/>
      <c r="S26" s="11"/>
      <c r="T26" s="11"/>
      <c r="U26" s="12"/>
      <c r="V26" s="11"/>
    </row>
    <row r="27" customFormat="false" ht="18" hidden="false" customHeight="true" outlineLevel="0" collapsed="false">
      <c r="A27" s="13" t="n">
        <v>18</v>
      </c>
      <c r="B27" s="14"/>
      <c r="C27" s="14"/>
      <c r="D27" s="14"/>
      <c r="E27" s="14"/>
      <c r="F27" s="14"/>
      <c r="G27" s="14"/>
      <c r="H27" s="14"/>
      <c r="I27" s="14"/>
      <c r="J27" s="14"/>
      <c r="K27" s="14"/>
      <c r="L27" s="14"/>
      <c r="M27" s="14"/>
      <c r="N27" s="14"/>
      <c r="O27" s="14"/>
      <c r="P27" s="14"/>
      <c r="Q27" s="14"/>
      <c r="R27" s="14"/>
      <c r="S27" s="15"/>
      <c r="T27" s="15"/>
      <c r="U27" s="16"/>
      <c r="V27" s="15"/>
    </row>
    <row r="28" customFormat="false" ht="18" hidden="false" customHeight="true" outlineLevel="0" collapsed="false">
      <c r="A28" s="9" t="n">
        <v>19</v>
      </c>
      <c r="B28" s="10"/>
      <c r="C28" s="10"/>
      <c r="D28" s="10"/>
      <c r="E28" s="10"/>
      <c r="F28" s="10"/>
      <c r="G28" s="10"/>
      <c r="H28" s="10"/>
      <c r="I28" s="10"/>
      <c r="J28" s="10"/>
      <c r="K28" s="10"/>
      <c r="L28" s="10"/>
      <c r="M28" s="10"/>
      <c r="N28" s="10"/>
      <c r="O28" s="10"/>
      <c r="P28" s="10"/>
      <c r="Q28" s="10"/>
      <c r="R28" s="10"/>
      <c r="S28" s="11"/>
      <c r="T28" s="11"/>
      <c r="U28" s="12"/>
      <c r="V28" s="11"/>
    </row>
    <row r="29" customFormat="false" ht="18" hidden="false" customHeight="true" outlineLevel="0" collapsed="false">
      <c r="A29" s="13" t="n">
        <v>20</v>
      </c>
      <c r="B29" s="14"/>
      <c r="C29" s="14"/>
      <c r="D29" s="14"/>
      <c r="E29" s="14"/>
      <c r="F29" s="14"/>
      <c r="G29" s="14"/>
      <c r="H29" s="14"/>
      <c r="I29" s="14"/>
      <c r="J29" s="14"/>
      <c r="K29" s="14"/>
      <c r="L29" s="14"/>
      <c r="M29" s="14"/>
      <c r="N29" s="14"/>
      <c r="O29" s="14"/>
      <c r="P29" s="14"/>
      <c r="Q29" s="14"/>
      <c r="R29" s="14"/>
      <c r="S29" s="15"/>
      <c r="T29" s="15"/>
      <c r="U29" s="16"/>
      <c r="V29" s="15"/>
    </row>
    <row r="30" customFormat="false" ht="18" hidden="false" customHeight="true" outlineLevel="0" collapsed="false">
      <c r="A30" s="9" t="n">
        <v>21</v>
      </c>
      <c r="B30" s="10"/>
      <c r="C30" s="10"/>
      <c r="D30" s="10"/>
      <c r="E30" s="10"/>
      <c r="F30" s="10"/>
      <c r="G30" s="10"/>
      <c r="H30" s="10"/>
      <c r="I30" s="10"/>
      <c r="J30" s="10"/>
      <c r="K30" s="10"/>
      <c r="L30" s="10"/>
      <c r="M30" s="10"/>
      <c r="N30" s="10"/>
      <c r="O30" s="10"/>
      <c r="P30" s="10"/>
      <c r="Q30" s="10"/>
      <c r="R30" s="10"/>
      <c r="S30" s="11"/>
      <c r="T30" s="11"/>
      <c r="U30" s="12"/>
      <c r="V30" s="11"/>
    </row>
    <row r="31" customFormat="false" ht="18" hidden="false" customHeight="true" outlineLevel="0" collapsed="false">
      <c r="A31" s="13" t="n">
        <v>22</v>
      </c>
      <c r="B31" s="14"/>
      <c r="C31" s="14"/>
      <c r="D31" s="14"/>
      <c r="E31" s="14"/>
      <c r="F31" s="14"/>
      <c r="G31" s="14"/>
      <c r="H31" s="14"/>
      <c r="I31" s="14"/>
      <c r="J31" s="14"/>
      <c r="K31" s="14"/>
      <c r="L31" s="14"/>
      <c r="M31" s="14"/>
      <c r="N31" s="14"/>
      <c r="O31" s="14"/>
      <c r="P31" s="14"/>
      <c r="Q31" s="14"/>
      <c r="R31" s="14"/>
      <c r="S31" s="15"/>
      <c r="T31" s="15"/>
      <c r="U31" s="16"/>
      <c r="V31" s="15"/>
    </row>
    <row r="32" customFormat="false" ht="18" hidden="false" customHeight="true" outlineLevel="0" collapsed="false">
      <c r="A32" s="9" t="n">
        <v>23</v>
      </c>
      <c r="B32" s="10"/>
      <c r="C32" s="10"/>
      <c r="D32" s="10"/>
      <c r="E32" s="10"/>
      <c r="F32" s="10"/>
      <c r="G32" s="10"/>
      <c r="H32" s="10"/>
      <c r="I32" s="10"/>
      <c r="J32" s="10"/>
      <c r="K32" s="10"/>
      <c r="L32" s="10"/>
      <c r="M32" s="10"/>
      <c r="N32" s="10"/>
      <c r="O32" s="10"/>
      <c r="P32" s="10"/>
      <c r="Q32" s="10"/>
      <c r="R32" s="10"/>
      <c r="S32" s="11"/>
      <c r="T32" s="11"/>
      <c r="U32" s="12"/>
      <c r="V32" s="11"/>
    </row>
    <row r="33" customFormat="false" ht="18" hidden="false" customHeight="true" outlineLevel="0" collapsed="false">
      <c r="A33" s="13" t="n">
        <v>24</v>
      </c>
      <c r="B33" s="14"/>
      <c r="C33" s="14"/>
      <c r="D33" s="14"/>
      <c r="E33" s="14"/>
      <c r="F33" s="14"/>
      <c r="G33" s="14"/>
      <c r="H33" s="14"/>
      <c r="I33" s="14"/>
      <c r="J33" s="14"/>
      <c r="K33" s="14"/>
      <c r="L33" s="14"/>
      <c r="M33" s="14"/>
      <c r="N33" s="14"/>
      <c r="O33" s="14"/>
      <c r="P33" s="14"/>
      <c r="Q33" s="14"/>
      <c r="R33" s="14"/>
      <c r="S33" s="15"/>
      <c r="T33" s="15"/>
      <c r="U33" s="16"/>
      <c r="V33" s="15"/>
    </row>
    <row r="34" customFormat="false" ht="18" hidden="false" customHeight="true" outlineLevel="0" collapsed="false">
      <c r="A34" s="9" t="n">
        <v>25</v>
      </c>
      <c r="B34" s="10"/>
      <c r="C34" s="10"/>
      <c r="D34" s="10"/>
      <c r="E34" s="10"/>
      <c r="F34" s="10"/>
      <c r="G34" s="10"/>
      <c r="H34" s="10"/>
      <c r="I34" s="10"/>
      <c r="J34" s="10"/>
      <c r="K34" s="10"/>
      <c r="L34" s="10"/>
      <c r="M34" s="10"/>
      <c r="N34" s="10"/>
      <c r="O34" s="10"/>
      <c r="P34" s="10"/>
      <c r="Q34" s="10"/>
      <c r="R34" s="10"/>
      <c r="S34" s="11"/>
      <c r="T34" s="11"/>
      <c r="U34" s="12"/>
      <c r="V34" s="11"/>
    </row>
    <row r="35" customFormat="false" ht="18" hidden="false" customHeight="true" outlineLevel="0" collapsed="false">
      <c r="A35" s="13" t="n">
        <v>26</v>
      </c>
      <c r="B35" s="14"/>
      <c r="C35" s="14"/>
      <c r="D35" s="14"/>
      <c r="E35" s="14"/>
      <c r="F35" s="14"/>
      <c r="G35" s="14"/>
      <c r="H35" s="14"/>
      <c r="I35" s="14"/>
      <c r="J35" s="14"/>
      <c r="K35" s="14"/>
      <c r="L35" s="14"/>
      <c r="M35" s="14"/>
      <c r="N35" s="14"/>
      <c r="O35" s="14"/>
      <c r="P35" s="14"/>
      <c r="Q35" s="14"/>
      <c r="R35" s="14"/>
      <c r="S35" s="15"/>
      <c r="T35" s="15"/>
      <c r="U35" s="16"/>
      <c r="V35" s="15"/>
    </row>
    <row r="36" customFormat="false" ht="18" hidden="false" customHeight="true" outlineLevel="0" collapsed="false">
      <c r="A36" s="9" t="n">
        <v>27</v>
      </c>
      <c r="B36" s="10"/>
      <c r="C36" s="10"/>
      <c r="D36" s="10"/>
      <c r="E36" s="10"/>
      <c r="F36" s="10"/>
      <c r="G36" s="10"/>
      <c r="H36" s="10"/>
      <c r="I36" s="10"/>
      <c r="J36" s="10"/>
      <c r="K36" s="10"/>
      <c r="L36" s="10"/>
      <c r="M36" s="10"/>
      <c r="N36" s="10"/>
      <c r="O36" s="10"/>
      <c r="P36" s="10"/>
      <c r="Q36" s="10"/>
      <c r="R36" s="10"/>
      <c r="S36" s="11"/>
      <c r="T36" s="11"/>
      <c r="U36" s="12"/>
      <c r="V36" s="11"/>
    </row>
    <row r="37" customFormat="false" ht="18" hidden="false" customHeight="true" outlineLevel="0" collapsed="false">
      <c r="A37" s="13" t="n">
        <v>28</v>
      </c>
      <c r="B37" s="14"/>
      <c r="C37" s="14"/>
      <c r="D37" s="14"/>
      <c r="E37" s="14"/>
      <c r="F37" s="14"/>
      <c r="G37" s="14"/>
      <c r="H37" s="14"/>
      <c r="I37" s="14"/>
      <c r="J37" s="14"/>
      <c r="K37" s="14"/>
      <c r="L37" s="14"/>
      <c r="M37" s="14"/>
      <c r="N37" s="14"/>
      <c r="O37" s="14"/>
      <c r="P37" s="14"/>
      <c r="Q37" s="14"/>
      <c r="R37" s="14"/>
      <c r="S37" s="15"/>
      <c r="T37" s="15"/>
      <c r="U37" s="16"/>
      <c r="V37" s="15"/>
    </row>
    <row r="38" customFormat="false" ht="18" hidden="false" customHeight="true" outlineLevel="0" collapsed="false">
      <c r="A38" s="9" t="n">
        <v>29</v>
      </c>
      <c r="B38" s="10"/>
      <c r="C38" s="10"/>
      <c r="D38" s="10"/>
      <c r="E38" s="10"/>
      <c r="F38" s="10"/>
      <c r="G38" s="10"/>
      <c r="H38" s="10"/>
      <c r="I38" s="10"/>
      <c r="J38" s="10"/>
      <c r="K38" s="10"/>
      <c r="L38" s="10"/>
      <c r="M38" s="10"/>
      <c r="N38" s="10"/>
      <c r="O38" s="10"/>
      <c r="P38" s="10"/>
      <c r="Q38" s="10"/>
      <c r="R38" s="10"/>
      <c r="S38" s="11"/>
      <c r="T38" s="11"/>
      <c r="U38" s="12"/>
      <c r="V38" s="11"/>
    </row>
    <row r="39" customFormat="false" ht="18" hidden="false" customHeight="true" outlineLevel="0" collapsed="false">
      <c r="A39" s="13" t="n">
        <v>30</v>
      </c>
      <c r="B39" s="14"/>
      <c r="C39" s="14"/>
      <c r="D39" s="14"/>
      <c r="E39" s="14"/>
      <c r="F39" s="14"/>
      <c r="G39" s="14"/>
      <c r="H39" s="14"/>
      <c r="I39" s="14"/>
      <c r="J39" s="14"/>
      <c r="K39" s="14"/>
      <c r="L39" s="14"/>
      <c r="M39" s="14"/>
      <c r="N39" s="14"/>
      <c r="O39" s="14"/>
      <c r="P39" s="14"/>
      <c r="Q39" s="14"/>
      <c r="R39" s="14"/>
      <c r="S39" s="15"/>
      <c r="T39" s="15"/>
      <c r="U39" s="16"/>
      <c r="V39" s="15"/>
    </row>
    <row r="40" customFormat="false" ht="18" hidden="false" customHeight="true" outlineLevel="0" collapsed="false">
      <c r="A40" s="9" t="n">
        <v>31</v>
      </c>
      <c r="B40" s="10"/>
      <c r="C40" s="10"/>
      <c r="D40" s="10"/>
      <c r="E40" s="10"/>
      <c r="F40" s="10"/>
      <c r="G40" s="10"/>
      <c r="H40" s="10"/>
      <c r="I40" s="10"/>
      <c r="J40" s="10"/>
      <c r="K40" s="10"/>
      <c r="L40" s="10"/>
      <c r="M40" s="10"/>
      <c r="N40" s="10"/>
      <c r="O40" s="10"/>
      <c r="P40" s="10"/>
      <c r="Q40" s="10"/>
      <c r="R40" s="10"/>
      <c r="S40" s="11"/>
      <c r="T40" s="11"/>
      <c r="U40" s="12"/>
      <c r="V40" s="11"/>
    </row>
    <row r="41" customFormat="false" ht="18" hidden="false" customHeight="true" outlineLevel="0" collapsed="false">
      <c r="A41" s="13" t="n">
        <v>32</v>
      </c>
      <c r="B41" s="14"/>
      <c r="C41" s="14"/>
      <c r="D41" s="14"/>
      <c r="E41" s="14"/>
      <c r="F41" s="14"/>
      <c r="G41" s="14"/>
      <c r="H41" s="14"/>
      <c r="I41" s="14"/>
      <c r="J41" s="14"/>
      <c r="K41" s="14"/>
      <c r="L41" s="14"/>
      <c r="M41" s="14"/>
      <c r="N41" s="14"/>
      <c r="O41" s="14"/>
      <c r="P41" s="14"/>
      <c r="Q41" s="14"/>
      <c r="R41" s="14"/>
      <c r="S41" s="15"/>
      <c r="T41" s="15"/>
      <c r="U41" s="16"/>
      <c r="V41" s="15"/>
    </row>
    <row r="42" customFormat="false" ht="18" hidden="false" customHeight="true" outlineLevel="0" collapsed="false">
      <c r="A42" s="9" t="n">
        <v>33</v>
      </c>
      <c r="B42" s="10"/>
      <c r="C42" s="10"/>
      <c r="D42" s="10"/>
      <c r="E42" s="10"/>
      <c r="F42" s="10"/>
      <c r="G42" s="10"/>
      <c r="H42" s="10"/>
      <c r="I42" s="10"/>
      <c r="J42" s="10"/>
      <c r="K42" s="10"/>
      <c r="L42" s="10"/>
      <c r="M42" s="10"/>
      <c r="N42" s="10"/>
      <c r="O42" s="10"/>
      <c r="P42" s="10"/>
      <c r="Q42" s="10"/>
      <c r="R42" s="10"/>
      <c r="S42" s="11"/>
      <c r="T42" s="11"/>
      <c r="U42" s="12"/>
      <c r="V42" s="11"/>
    </row>
    <row r="43" customFormat="false" ht="18" hidden="false" customHeight="true" outlineLevel="0" collapsed="false">
      <c r="A43" s="13" t="n">
        <v>34</v>
      </c>
      <c r="B43" s="14"/>
      <c r="C43" s="14"/>
      <c r="D43" s="14"/>
      <c r="E43" s="14"/>
      <c r="F43" s="14"/>
      <c r="G43" s="14"/>
      <c r="H43" s="14"/>
      <c r="I43" s="14"/>
      <c r="J43" s="14"/>
      <c r="K43" s="14"/>
      <c r="L43" s="14"/>
      <c r="M43" s="14"/>
      <c r="N43" s="14"/>
      <c r="O43" s="14"/>
      <c r="P43" s="14"/>
      <c r="Q43" s="14"/>
      <c r="R43" s="14"/>
      <c r="S43" s="15"/>
      <c r="T43" s="15"/>
      <c r="U43" s="16"/>
      <c r="V43" s="15"/>
    </row>
    <row r="44" customFormat="false" ht="18" hidden="false" customHeight="true" outlineLevel="0" collapsed="false">
      <c r="A44" s="9" t="n">
        <v>35</v>
      </c>
      <c r="B44" s="10"/>
      <c r="C44" s="10"/>
      <c r="D44" s="10"/>
      <c r="E44" s="10"/>
      <c r="F44" s="10"/>
      <c r="G44" s="10"/>
      <c r="H44" s="10"/>
      <c r="I44" s="10"/>
      <c r="J44" s="10"/>
      <c r="K44" s="10"/>
      <c r="L44" s="10"/>
      <c r="M44" s="10"/>
      <c r="N44" s="10"/>
      <c r="O44" s="10"/>
      <c r="P44" s="10"/>
      <c r="Q44" s="10"/>
      <c r="R44" s="10"/>
      <c r="S44" s="11"/>
      <c r="T44" s="11"/>
      <c r="U44" s="12"/>
      <c r="V44" s="11"/>
    </row>
    <row r="45" customFormat="false" ht="18" hidden="false" customHeight="true" outlineLevel="0" collapsed="false">
      <c r="A45" s="13" t="n">
        <v>36</v>
      </c>
      <c r="B45" s="14"/>
      <c r="C45" s="14"/>
      <c r="D45" s="14"/>
      <c r="E45" s="14"/>
      <c r="F45" s="14"/>
      <c r="G45" s="14"/>
      <c r="H45" s="14"/>
      <c r="I45" s="14"/>
      <c r="J45" s="14"/>
      <c r="K45" s="14"/>
      <c r="L45" s="14"/>
      <c r="M45" s="14"/>
      <c r="N45" s="14"/>
      <c r="O45" s="14"/>
      <c r="P45" s="14"/>
      <c r="Q45" s="14"/>
      <c r="R45" s="14"/>
      <c r="S45" s="15"/>
      <c r="T45" s="15"/>
      <c r="U45" s="16"/>
      <c r="V45" s="15"/>
    </row>
    <row r="46" customFormat="false" ht="18" hidden="false" customHeight="true" outlineLevel="0" collapsed="false">
      <c r="A46" s="9" t="n">
        <v>37</v>
      </c>
      <c r="B46" s="10"/>
      <c r="C46" s="10"/>
      <c r="D46" s="10"/>
      <c r="E46" s="10"/>
      <c r="F46" s="10"/>
      <c r="G46" s="10"/>
      <c r="H46" s="10"/>
      <c r="I46" s="10"/>
      <c r="J46" s="10"/>
      <c r="K46" s="10"/>
      <c r="L46" s="10"/>
      <c r="M46" s="10"/>
      <c r="N46" s="10"/>
      <c r="O46" s="10"/>
      <c r="P46" s="10"/>
      <c r="Q46" s="10"/>
      <c r="R46" s="10"/>
      <c r="S46" s="11"/>
      <c r="T46" s="11"/>
      <c r="U46" s="12"/>
      <c r="V46" s="11"/>
    </row>
    <row r="47" customFormat="false" ht="18" hidden="false" customHeight="true" outlineLevel="0" collapsed="false">
      <c r="A47" s="13" t="n">
        <v>38</v>
      </c>
      <c r="B47" s="14"/>
      <c r="C47" s="14"/>
      <c r="D47" s="14"/>
      <c r="E47" s="14"/>
      <c r="F47" s="14"/>
      <c r="G47" s="14"/>
      <c r="H47" s="14"/>
      <c r="I47" s="14"/>
      <c r="J47" s="14"/>
      <c r="K47" s="14"/>
      <c r="L47" s="14"/>
      <c r="M47" s="14"/>
      <c r="N47" s="14"/>
      <c r="O47" s="14"/>
      <c r="P47" s="14"/>
      <c r="Q47" s="14"/>
      <c r="R47" s="14"/>
      <c r="S47" s="15"/>
      <c r="T47" s="15"/>
      <c r="U47" s="16"/>
      <c r="V47" s="15"/>
    </row>
    <row r="48" customFormat="false" ht="18" hidden="false" customHeight="true" outlineLevel="0" collapsed="false">
      <c r="A48" s="9" t="n">
        <v>39</v>
      </c>
      <c r="B48" s="10"/>
      <c r="C48" s="10"/>
      <c r="D48" s="10"/>
      <c r="E48" s="10"/>
      <c r="F48" s="10"/>
      <c r="G48" s="10"/>
      <c r="H48" s="10"/>
      <c r="I48" s="10"/>
      <c r="J48" s="10"/>
      <c r="K48" s="10"/>
      <c r="L48" s="10"/>
      <c r="M48" s="10"/>
      <c r="N48" s="10"/>
      <c r="O48" s="10"/>
      <c r="P48" s="10"/>
      <c r="Q48" s="10"/>
      <c r="R48" s="10"/>
      <c r="S48" s="11"/>
      <c r="T48" s="11"/>
      <c r="U48" s="12"/>
      <c r="V48" s="11"/>
    </row>
    <row r="49" customFormat="false" ht="18" hidden="false" customHeight="true" outlineLevel="0" collapsed="false">
      <c r="A49" s="13" t="n">
        <v>40</v>
      </c>
      <c r="B49" s="14"/>
      <c r="C49" s="14"/>
      <c r="D49" s="14"/>
      <c r="E49" s="14"/>
      <c r="F49" s="14"/>
      <c r="G49" s="14"/>
      <c r="H49" s="14"/>
      <c r="I49" s="14"/>
      <c r="J49" s="14"/>
      <c r="K49" s="14"/>
      <c r="L49" s="14"/>
      <c r="M49" s="14"/>
      <c r="N49" s="14"/>
      <c r="O49" s="14"/>
      <c r="P49" s="14"/>
      <c r="Q49" s="14"/>
      <c r="R49" s="14"/>
      <c r="S49" s="15"/>
      <c r="T49" s="15"/>
      <c r="U49" s="16"/>
      <c r="V49" s="15"/>
    </row>
    <row r="50" customFormat="false" ht="18" hidden="false" customHeight="true" outlineLevel="0" collapsed="false">
      <c r="A50" s="9" t="n">
        <v>41</v>
      </c>
      <c r="B50" s="10"/>
      <c r="C50" s="10"/>
      <c r="D50" s="10"/>
      <c r="E50" s="10"/>
      <c r="F50" s="10"/>
      <c r="G50" s="10"/>
      <c r="H50" s="10"/>
      <c r="I50" s="10"/>
      <c r="J50" s="10"/>
      <c r="K50" s="10"/>
      <c r="L50" s="10"/>
      <c r="M50" s="10"/>
      <c r="N50" s="10"/>
      <c r="O50" s="10"/>
      <c r="P50" s="10"/>
      <c r="Q50" s="10"/>
      <c r="R50" s="10"/>
      <c r="S50" s="11"/>
      <c r="T50" s="11"/>
      <c r="U50" s="12"/>
      <c r="V50" s="11"/>
    </row>
    <row r="51" customFormat="false" ht="18" hidden="false" customHeight="true" outlineLevel="0" collapsed="false">
      <c r="A51" s="13" t="n">
        <v>42</v>
      </c>
      <c r="B51" s="14"/>
      <c r="C51" s="14"/>
      <c r="D51" s="14"/>
      <c r="E51" s="14"/>
      <c r="F51" s="14"/>
      <c r="G51" s="14"/>
      <c r="H51" s="14"/>
      <c r="I51" s="14"/>
      <c r="J51" s="14"/>
      <c r="K51" s="14"/>
      <c r="L51" s="14"/>
      <c r="M51" s="14"/>
      <c r="N51" s="14"/>
      <c r="O51" s="14"/>
      <c r="P51" s="14"/>
      <c r="Q51" s="14"/>
      <c r="R51" s="14"/>
      <c r="S51" s="15"/>
      <c r="T51" s="15"/>
      <c r="U51" s="16"/>
      <c r="V51" s="15"/>
    </row>
    <row r="52" customFormat="false" ht="18" hidden="false" customHeight="true" outlineLevel="0" collapsed="false">
      <c r="A52" s="9" t="n">
        <v>43</v>
      </c>
      <c r="B52" s="10"/>
      <c r="C52" s="10"/>
      <c r="D52" s="10"/>
      <c r="E52" s="10"/>
      <c r="F52" s="10"/>
      <c r="G52" s="10"/>
      <c r="H52" s="10"/>
      <c r="I52" s="10"/>
      <c r="J52" s="10"/>
      <c r="K52" s="10"/>
      <c r="L52" s="10"/>
      <c r="M52" s="10"/>
      <c r="N52" s="10"/>
      <c r="O52" s="10"/>
      <c r="P52" s="10"/>
      <c r="Q52" s="10"/>
      <c r="R52" s="10"/>
      <c r="S52" s="11"/>
      <c r="T52" s="11"/>
      <c r="U52" s="12"/>
      <c r="V52" s="11"/>
    </row>
    <row r="53" customFormat="false" ht="18" hidden="false" customHeight="true" outlineLevel="0" collapsed="false">
      <c r="A53" s="13" t="n">
        <v>44</v>
      </c>
      <c r="B53" s="14"/>
      <c r="C53" s="14"/>
      <c r="D53" s="14"/>
      <c r="E53" s="14"/>
      <c r="F53" s="14"/>
      <c r="G53" s="14"/>
      <c r="H53" s="14"/>
      <c r="I53" s="14"/>
      <c r="J53" s="14"/>
      <c r="K53" s="14"/>
      <c r="L53" s="14"/>
      <c r="M53" s="14"/>
      <c r="N53" s="14"/>
      <c r="O53" s="14"/>
      <c r="P53" s="14"/>
      <c r="Q53" s="14"/>
      <c r="R53" s="14"/>
      <c r="S53" s="15"/>
      <c r="T53" s="15"/>
      <c r="U53" s="16"/>
      <c r="V53" s="15"/>
    </row>
    <row r="54" customFormat="false" ht="18" hidden="false" customHeight="true" outlineLevel="0" collapsed="false">
      <c r="A54" s="9" t="n">
        <v>45</v>
      </c>
      <c r="B54" s="10"/>
      <c r="C54" s="10"/>
      <c r="D54" s="10"/>
      <c r="E54" s="10"/>
      <c r="F54" s="10"/>
      <c r="G54" s="10"/>
      <c r="H54" s="10"/>
      <c r="I54" s="10"/>
      <c r="J54" s="10"/>
      <c r="K54" s="10"/>
      <c r="L54" s="10"/>
      <c r="M54" s="10"/>
      <c r="N54" s="10"/>
      <c r="O54" s="10"/>
      <c r="P54" s="10"/>
      <c r="Q54" s="10"/>
      <c r="R54" s="10"/>
      <c r="S54" s="11"/>
      <c r="T54" s="11"/>
      <c r="U54" s="12"/>
      <c r="V54" s="11"/>
    </row>
    <row r="55" customFormat="false" ht="18" hidden="false" customHeight="true" outlineLevel="0" collapsed="false">
      <c r="A55" s="13" t="n">
        <v>46</v>
      </c>
      <c r="B55" s="14"/>
      <c r="C55" s="14"/>
      <c r="D55" s="14"/>
      <c r="E55" s="14"/>
      <c r="F55" s="14"/>
      <c r="G55" s="14"/>
      <c r="H55" s="14"/>
      <c r="I55" s="14"/>
      <c r="J55" s="14"/>
      <c r="K55" s="14"/>
      <c r="L55" s="14"/>
      <c r="M55" s="14"/>
      <c r="N55" s="14"/>
      <c r="O55" s="14"/>
      <c r="P55" s="14"/>
      <c r="Q55" s="14"/>
      <c r="R55" s="14"/>
      <c r="S55" s="15"/>
      <c r="T55" s="15"/>
      <c r="U55" s="16"/>
      <c r="V55" s="15"/>
    </row>
    <row r="56" customFormat="false" ht="18" hidden="false" customHeight="true" outlineLevel="0" collapsed="false">
      <c r="A56" s="9" t="n">
        <v>47</v>
      </c>
      <c r="B56" s="10"/>
      <c r="C56" s="10"/>
      <c r="D56" s="10"/>
      <c r="E56" s="10"/>
      <c r="F56" s="10"/>
      <c r="G56" s="10"/>
      <c r="H56" s="10"/>
      <c r="I56" s="10"/>
      <c r="J56" s="10"/>
      <c r="K56" s="10"/>
      <c r="L56" s="10"/>
      <c r="M56" s="10"/>
      <c r="N56" s="10"/>
      <c r="O56" s="10"/>
      <c r="P56" s="10"/>
      <c r="Q56" s="10"/>
      <c r="R56" s="10"/>
      <c r="S56" s="11"/>
      <c r="T56" s="11"/>
      <c r="U56" s="12"/>
      <c r="V56" s="11"/>
    </row>
    <row r="57" customFormat="false" ht="18" hidden="false" customHeight="true" outlineLevel="0" collapsed="false">
      <c r="A57" s="13" t="n">
        <v>48</v>
      </c>
      <c r="B57" s="14"/>
      <c r="C57" s="14"/>
      <c r="D57" s="14"/>
      <c r="E57" s="14"/>
      <c r="F57" s="14"/>
      <c r="G57" s="14"/>
      <c r="H57" s="14"/>
      <c r="I57" s="14"/>
      <c r="J57" s="14"/>
      <c r="K57" s="14"/>
      <c r="L57" s="14"/>
      <c r="M57" s="14"/>
      <c r="N57" s="14"/>
      <c r="O57" s="14"/>
      <c r="P57" s="14"/>
      <c r="Q57" s="14"/>
      <c r="R57" s="14"/>
      <c r="S57" s="15"/>
      <c r="T57" s="15"/>
      <c r="U57" s="16"/>
      <c r="V57" s="15"/>
    </row>
    <row r="58" customFormat="false" ht="18" hidden="false" customHeight="true" outlineLevel="0" collapsed="false">
      <c r="A58" s="9" t="n">
        <v>49</v>
      </c>
      <c r="B58" s="10"/>
      <c r="C58" s="10"/>
      <c r="D58" s="10"/>
      <c r="E58" s="10"/>
      <c r="F58" s="10"/>
      <c r="G58" s="10"/>
      <c r="H58" s="10"/>
      <c r="I58" s="10"/>
      <c r="J58" s="10"/>
      <c r="K58" s="10"/>
      <c r="L58" s="10"/>
      <c r="M58" s="10"/>
      <c r="N58" s="10"/>
      <c r="O58" s="10"/>
      <c r="P58" s="10"/>
      <c r="Q58" s="10"/>
      <c r="R58" s="10"/>
      <c r="S58" s="11"/>
      <c r="T58" s="11"/>
      <c r="U58" s="12"/>
      <c r="V58" s="11"/>
    </row>
    <row r="59" customFormat="false" ht="18" hidden="false" customHeight="true" outlineLevel="0" collapsed="false">
      <c r="A59" s="13" t="n">
        <v>50</v>
      </c>
      <c r="B59" s="14"/>
      <c r="C59" s="14"/>
      <c r="D59" s="14"/>
      <c r="E59" s="14"/>
      <c r="F59" s="14"/>
      <c r="G59" s="14"/>
      <c r="H59" s="14"/>
      <c r="I59" s="14"/>
      <c r="J59" s="14"/>
      <c r="K59" s="14"/>
      <c r="L59" s="14"/>
      <c r="M59" s="14"/>
      <c r="N59" s="14"/>
      <c r="O59" s="14"/>
      <c r="P59" s="14"/>
      <c r="Q59" s="14"/>
      <c r="R59" s="14"/>
      <c r="S59" s="15"/>
      <c r="T59" s="15"/>
      <c r="U59" s="16"/>
      <c r="V59" s="15"/>
    </row>
    <row r="60" customFormat="false" ht="6" hidden="false" customHeight="true" outlineLevel="0" collapsed="false"/>
    <row r="61" customFormat="false" ht="21.75" hidden="false" customHeight="true" outlineLevel="0" collapsed="false">
      <c r="A61" s="17" t="s">
        <v>38</v>
      </c>
      <c r="B61" s="17"/>
      <c r="C61" s="17"/>
      <c r="D61" s="17"/>
      <c r="E61" s="17"/>
      <c r="F61" s="17"/>
      <c r="G61" s="17"/>
      <c r="H61" s="18" t="s">
        <v>39</v>
      </c>
      <c r="I61" s="18" t="s">
        <v>40</v>
      </c>
      <c r="J61" s="18" t="s">
        <v>41</v>
      </c>
      <c r="K61" s="18" t="s">
        <v>42</v>
      </c>
      <c r="L61" s="18" t="s">
        <v>43</v>
      </c>
      <c r="M61" s="19" t="s">
        <v>44</v>
      </c>
      <c r="N61" s="19" t="s">
        <v>45</v>
      </c>
      <c r="O61" s="19" t="s">
        <v>46</v>
      </c>
      <c r="P61" s="19" t="s">
        <v>47</v>
      </c>
      <c r="Q61" s="19" t="s">
        <v>48</v>
      </c>
      <c r="R61" s="20" t="s">
        <v>49</v>
      </c>
      <c r="S61" s="8" t="s">
        <v>50</v>
      </c>
      <c r="T61" s="8" t="s">
        <v>51</v>
      </c>
      <c r="U61" s="8" t="s">
        <v>52</v>
      </c>
      <c r="V61" s="8" t="s">
        <v>53</v>
      </c>
    </row>
    <row r="62" customFormat="false" ht="18" hidden="false" customHeight="true" outlineLevel="0" collapsed="false">
      <c r="A62" s="21" t="s">
        <v>54</v>
      </c>
      <c r="B62" s="21"/>
      <c r="C62" s="21"/>
      <c r="D62" s="21"/>
      <c r="E62" s="21"/>
      <c r="F62" s="21"/>
      <c r="G62" s="21"/>
      <c r="H62" s="22" t="n">
        <f aca="false">COUNTIF(H10:H59,"Critical")</f>
        <v>0</v>
      </c>
      <c r="I62" s="22" t="n">
        <f aca="false">COUNTIF(H10:H59,"High")</f>
        <v>0</v>
      </c>
      <c r="J62" s="22" t="n">
        <f aca="false">COUNTIF(H10:H59,"Medium")</f>
        <v>0</v>
      </c>
      <c r="K62" s="22" t="n">
        <f aca="false">COUNTIF(H10:H59,"Low")</f>
        <v>0</v>
      </c>
      <c r="L62" s="22" t="n">
        <f aca="false">COUNTIF(H10:H59,"Observation")</f>
        <v>0</v>
      </c>
      <c r="M62" s="23" t="n">
        <f aca="false">COUNTIF(I10:I59,"Non-Compliant")</f>
        <v>0</v>
      </c>
      <c r="N62" s="23" t="n">
        <f aca="false">COUNTIF(I10:I59,"Compliant")</f>
        <v>0</v>
      </c>
      <c r="O62" s="23" t="n">
        <f aca="false">COUNTIF(I10:I59,"Partial")</f>
        <v>0</v>
      </c>
      <c r="P62" s="23" t="n">
        <f aca="false">COUNTIF(I10:I59,"Pending Review")</f>
        <v>0</v>
      </c>
      <c r="Q62" s="23" t="n">
        <f aca="false">COUNTIF(I10:I59,"N/A")</f>
        <v>0</v>
      </c>
      <c r="R62" s="24" t="n">
        <f aca="false">COUNTA(B10:B59)</f>
        <v>0</v>
      </c>
      <c r="S62" s="25" t="n">
        <f aca="false">COUNTIF(S10:S59,"Yes")</f>
        <v>0</v>
      </c>
      <c r="T62" s="25" t="n">
        <f aca="false">COUNTIF(S10:S59,"Partial")</f>
        <v>0</v>
      </c>
      <c r="U62" s="25" t="n">
        <f aca="false">COUNTA(U10:U59)</f>
        <v>0</v>
      </c>
      <c r="V62" s="25" t="n">
        <f aca="false">COUNTA(V10:V59)</f>
        <v>0</v>
      </c>
    </row>
    <row r="63" customFormat="false" ht="18" hidden="false" customHeight="true" outlineLevel="0" collapsed="false"/>
    <row r="64" customFormat="false" ht="18" hidden="false" customHeight="true" outlineLevel="0" collapsed="false">
      <c r="A64" s="26" t="s">
        <v>55</v>
      </c>
      <c r="B64" s="26"/>
      <c r="C64" s="26"/>
      <c r="D64" s="26"/>
      <c r="E64" s="26"/>
      <c r="F64" s="27"/>
      <c r="G64" s="27"/>
      <c r="H64" s="27"/>
      <c r="I64" s="27"/>
      <c r="J64" s="27"/>
      <c r="K64" s="26" t="s">
        <v>56</v>
      </c>
      <c r="L64" s="26"/>
      <c r="M64" s="26"/>
      <c r="N64" s="26"/>
      <c r="O64" s="26"/>
      <c r="P64" s="27"/>
      <c r="Q64" s="27"/>
      <c r="R64" s="27"/>
    </row>
  </sheetData>
  <mergeCells count="17">
    <mergeCell ref="A1:R2"/>
    <mergeCell ref="S1:V3"/>
    <mergeCell ref="A3:R3"/>
    <mergeCell ref="C4:E4"/>
    <mergeCell ref="I4:J4"/>
    <mergeCell ref="C5:E5"/>
    <mergeCell ref="I5:J5"/>
    <mergeCell ref="C6:E6"/>
    <mergeCell ref="I6:K6"/>
    <mergeCell ref="C7:D7"/>
    <mergeCell ref="I7:K7"/>
    <mergeCell ref="A61:G61"/>
    <mergeCell ref="A62:G62"/>
    <mergeCell ref="A64:E64"/>
    <mergeCell ref="F64:J64"/>
    <mergeCell ref="K64:O64"/>
    <mergeCell ref="P64:R64"/>
  </mergeCells>
  <dataValidations count="5">
    <dataValidation allowBlank="true" error="Choose from list" errorStyle="stop" errorTitle="Invalid Entry" operator="between" showDropDown="false" showErrorMessage="true" showInputMessage="false" sqref="H10:H59" type="list">
      <formula1>"Critical,High,Medium,Low,Observation"</formula1>
      <formula2>0</formula2>
    </dataValidation>
    <dataValidation allowBlank="true" errorStyle="stop" operator="between" showDropDown="false" showErrorMessage="false" showInputMessage="false" sqref="I10:I59" type="list">
      <formula1>"Non-Compliant,Compliant,Partial,Pending Review,N/A"</formula1>
      <formula2>0</formula2>
    </dataValidation>
    <dataValidation allowBlank="true" errorStyle="stop" operator="between" showDropDown="false" showErrorMessage="false" showInputMessage="false" sqref="E10:E59" type="list">
      <formula1>"Flammable,Corrosive,Toxic,Oxidizer,Compressed Gas,Reactive,Carcinogen,Irritant,Environmental Hazard,Other"</formula1>
      <formula2>0</formula2>
    </dataValidation>
    <dataValidation allowBlank="true" errorStyle="stop" operator="between" showDropDown="false" showErrorMessage="false" showInputMessage="false" sqref="K10:K59" type="list">
      <formula1>"Missing signage,Damaged / faded sign,Wrong sign posted,Blocked / obscured,No SDS available,Training gap,Improper storage,Other"</formula1>
      <formula2>0</formula2>
    </dataValidation>
    <dataValidation allowBlank="true" error="Choose from list" errorStyle="stop" errorTitle="Invalid Entry" operator="between" showDropDown="false" showErrorMessage="true" showInputMessage="false" sqref="S10:S59" type="list">
      <formula1>"Yes,No,Partial,Unknown"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zeroHeight="false" outlineLevelRow="0" outlineLevelCol="0"/>
  <cols>
    <col collapsed="false" customWidth="true" hidden="false" outlineLevel="0" max="1" min="1" style="1" width="20"/>
    <col collapsed="false" customWidth="true" hidden="false" outlineLevel="0" max="3" min="2" style="1" width="10"/>
    <col collapsed="false" customWidth="true" hidden="false" outlineLevel="0" max="4" min="4" style="1" width="28"/>
    <col collapsed="false" customWidth="true" hidden="false" outlineLevel="0" max="5" min="5" style="1" width="22"/>
    <col collapsed="false" customWidth="true" hidden="false" outlineLevel="0" max="6" min="6" style="1" width="5"/>
    <col collapsed="false" customWidth="true" hidden="false" outlineLevel="0" max="7" min="7" style="1" width="20"/>
    <col collapsed="false" customWidth="true" hidden="false" outlineLevel="0" max="8" min="8" style="1" width="10"/>
    <col collapsed="false" customWidth="true" hidden="false" outlineLevel="0" max="9" min="9" style="1" width="12"/>
    <col collapsed="false" customWidth="true" hidden="false" outlineLevel="0" max="10" min="10" style="1" width="30"/>
  </cols>
  <sheetData>
    <row r="1" customFormat="false" ht="31.5" hidden="false" customHeight="true" outlineLevel="0" collapsed="false">
      <c r="A1" s="2" t="s">
        <v>57</v>
      </c>
      <c r="B1" s="2"/>
      <c r="C1" s="2"/>
      <c r="D1" s="2"/>
      <c r="E1" s="2"/>
      <c r="F1" s="2"/>
      <c r="G1" s="2"/>
      <c r="H1" s="2"/>
      <c r="I1" s="2"/>
      <c r="J1" s="2"/>
    </row>
    <row r="2" customFormat="false" ht="15" hidden="false" customHeight="false" outlineLevel="0" collapsed="false">
      <c r="A2" s="2"/>
      <c r="B2" s="2"/>
      <c r="C2" s="2"/>
      <c r="D2" s="2"/>
      <c r="E2" s="2"/>
      <c r="F2" s="2"/>
      <c r="G2" s="2"/>
      <c r="H2" s="2"/>
      <c r="I2" s="2"/>
      <c r="J2" s="2"/>
    </row>
    <row r="3" customFormat="false" ht="15.75" hidden="false" customHeight="true" outlineLevel="0" collapsed="false">
      <c r="A3" s="4" t="s">
        <v>58</v>
      </c>
      <c r="B3" s="4"/>
      <c r="C3" s="4"/>
      <c r="D3" s="4"/>
      <c r="E3" s="4"/>
      <c r="F3" s="4"/>
      <c r="G3" s="4"/>
      <c r="H3" s="4"/>
      <c r="I3" s="4"/>
      <c r="J3" s="4"/>
    </row>
    <row r="5" customFormat="false" ht="21.75" hidden="false" customHeight="true" outlineLevel="0" collapsed="false">
      <c r="A5" s="28" t="s">
        <v>59</v>
      </c>
      <c r="B5" s="28"/>
      <c r="C5" s="29" t="s">
        <v>60</v>
      </c>
      <c r="D5" s="29"/>
      <c r="E5" s="30" t="s">
        <v>61</v>
      </c>
      <c r="F5" s="30"/>
      <c r="G5" s="31" t="s">
        <v>62</v>
      </c>
      <c r="H5" s="31"/>
      <c r="I5" s="32" t="s">
        <v>63</v>
      </c>
      <c r="J5" s="32"/>
    </row>
    <row r="6" customFormat="false" ht="42" hidden="false" customHeight="true" outlineLevel="0" collapsed="false">
      <c r="A6" s="33" t="n">
        <f aca="false">'Audit Log'!R62</f>
        <v>0</v>
      </c>
      <c r="B6" s="33"/>
      <c r="C6" s="34" t="n">
        <f aca="false">COUNTIF('Audit Log'!I10:I59,"Non-Compliant")</f>
        <v>0</v>
      </c>
      <c r="D6" s="34"/>
      <c r="E6" s="35" t="n">
        <f aca="false">COUNTIF('Audit Log'!H10:H59,"Critical")</f>
        <v>0</v>
      </c>
      <c r="F6" s="35"/>
      <c r="G6" s="36" t="n">
        <f aca="false">SUMPRODUCT(('Audit Log'!I10:I59&lt;&gt;"")*('Audit Log'!I10:I59&lt;&gt;"Compliant")*('Audit Log'!I10:I59&lt;&gt;"N/A")*('Audit Log'!O10:O59=""))</f>
        <v>0</v>
      </c>
      <c r="H6" s="36"/>
      <c r="I6" s="37" t="n">
        <f aca="false">COUNTIF('Audit Log'!I10:I59,"Compliant")</f>
        <v>0</v>
      </c>
      <c r="J6" s="37"/>
    </row>
    <row r="7" customFormat="false" ht="9.75" hidden="false" customHeight="true" outlineLevel="0" collapsed="false"/>
    <row r="8" customFormat="false" ht="15" hidden="false" customHeight="true" outlineLevel="0" collapsed="false">
      <c r="A8" s="38" t="s">
        <v>64</v>
      </c>
      <c r="B8" s="38"/>
      <c r="C8" s="38"/>
      <c r="D8" s="38"/>
      <c r="E8" s="38"/>
      <c r="G8" s="39" t="s">
        <v>65</v>
      </c>
      <c r="H8" s="39"/>
      <c r="I8" s="39"/>
      <c r="J8" s="39"/>
    </row>
    <row r="9" customFormat="false" ht="15" hidden="false" customHeight="false" outlineLevel="0" collapsed="false">
      <c r="A9" s="19" t="s">
        <v>66</v>
      </c>
      <c r="B9" s="19" t="s">
        <v>67</v>
      </c>
      <c r="C9" s="19" t="s">
        <v>68</v>
      </c>
      <c r="D9" s="19" t="s">
        <v>69</v>
      </c>
      <c r="E9" s="19" t="s">
        <v>70</v>
      </c>
      <c r="G9" s="19" t="s">
        <v>71</v>
      </c>
      <c r="H9" s="19" t="s">
        <v>67</v>
      </c>
      <c r="I9" s="19" t="s">
        <v>68</v>
      </c>
      <c r="J9" s="19" t="s">
        <v>72</v>
      </c>
    </row>
    <row r="10" customFormat="false" ht="18" hidden="false" customHeight="true" outlineLevel="0" collapsed="false">
      <c r="A10" s="40" t="s">
        <v>39</v>
      </c>
      <c r="B10" s="41" t="n">
        <f aca="false">COUNTIF('Audit Log'!H$10:H$59,"Critical")</f>
        <v>0</v>
      </c>
      <c r="C10" s="42" t="str">
        <f aca="false">IF('Audit Log'!R62=0,"—",B10/'Audit Log'!R62)</f>
        <v>—</v>
      </c>
      <c r="D10" s="43" t="s">
        <v>73</v>
      </c>
      <c r="E10" s="44" t="s">
        <v>74</v>
      </c>
      <c r="G10" s="40" t="s">
        <v>44</v>
      </c>
      <c r="H10" s="41" t="n">
        <f aca="false">COUNTIF('Audit Log'!I$10:I$59,"Non-Compliant")</f>
        <v>0</v>
      </c>
      <c r="I10" s="42" t="str">
        <f aca="false">IF('Audit Log'!R62=0,"—",H10/'Audit Log'!R62)</f>
        <v>—</v>
      </c>
      <c r="J10" s="43" t="s">
        <v>75</v>
      </c>
    </row>
    <row r="11" customFormat="false" ht="18" hidden="false" customHeight="true" outlineLevel="0" collapsed="false">
      <c r="A11" s="45" t="s">
        <v>40</v>
      </c>
      <c r="B11" s="46" t="n">
        <f aca="false">COUNTIF('Audit Log'!H$10:H$59,"High")</f>
        <v>0</v>
      </c>
      <c r="C11" s="47" t="str">
        <f aca="false">IF('Audit Log'!R62=0,"—",B11/'Audit Log'!R62)</f>
        <v>—</v>
      </c>
      <c r="D11" s="48" t="s">
        <v>76</v>
      </c>
      <c r="E11" s="49" t="s">
        <v>77</v>
      </c>
      <c r="G11" s="50" t="s">
        <v>45</v>
      </c>
      <c r="H11" s="23" t="n">
        <f aca="false">COUNTIF('Audit Log'!I$10:I$59,"Compliant")</f>
        <v>0</v>
      </c>
      <c r="I11" s="51" t="str">
        <f aca="false">IF('Audit Log'!R62=0,"—",H11/'Audit Log'!R62)</f>
        <v>—</v>
      </c>
      <c r="J11" s="52" t="s">
        <v>78</v>
      </c>
    </row>
    <row r="12" customFormat="false" ht="18" hidden="false" customHeight="true" outlineLevel="0" collapsed="false">
      <c r="A12" s="53" t="s">
        <v>41</v>
      </c>
      <c r="B12" s="54" t="n">
        <f aca="false">COUNTIF('Audit Log'!H$10:H$59,"Medium")</f>
        <v>0</v>
      </c>
      <c r="C12" s="55" t="str">
        <f aca="false">IF('Audit Log'!R62=0,"—",B12/'Audit Log'!R62)</f>
        <v>—</v>
      </c>
      <c r="D12" s="56" t="s">
        <v>79</v>
      </c>
      <c r="E12" s="57" t="s">
        <v>80</v>
      </c>
      <c r="G12" s="53" t="s">
        <v>46</v>
      </c>
      <c r="H12" s="54" t="n">
        <f aca="false">COUNTIF('Audit Log'!I$10:I$59,"Partial")</f>
        <v>0</v>
      </c>
      <c r="I12" s="55" t="str">
        <f aca="false">IF('Audit Log'!R62=0,"—",H12/'Audit Log'!R62)</f>
        <v>—</v>
      </c>
      <c r="J12" s="56" t="s">
        <v>81</v>
      </c>
    </row>
    <row r="13" customFormat="false" ht="18" hidden="false" customHeight="true" outlineLevel="0" collapsed="false">
      <c r="A13" s="50" t="s">
        <v>42</v>
      </c>
      <c r="B13" s="23" t="n">
        <f aca="false">COUNTIF('Audit Log'!H$10:H$59,"Low")</f>
        <v>0</v>
      </c>
      <c r="C13" s="51" t="str">
        <f aca="false">IF('Audit Log'!R62=0,"—",B13/'Audit Log'!R62)</f>
        <v>—</v>
      </c>
      <c r="D13" s="52" t="s">
        <v>82</v>
      </c>
      <c r="E13" s="58" t="s">
        <v>83</v>
      </c>
      <c r="G13" s="59" t="s">
        <v>47</v>
      </c>
      <c r="H13" s="24" t="n">
        <f aca="false">COUNTIF('Audit Log'!I$10:I$59,"Pending Review")</f>
        <v>0</v>
      </c>
      <c r="I13" s="60" t="str">
        <f aca="false">IF('Audit Log'!R62=0,"—",H13/'Audit Log'!R62)</f>
        <v>—</v>
      </c>
      <c r="J13" s="61" t="s">
        <v>84</v>
      </c>
    </row>
    <row r="14" customFormat="false" ht="18" hidden="false" customHeight="true" outlineLevel="0" collapsed="false">
      <c r="A14" s="62" t="s">
        <v>43</v>
      </c>
      <c r="B14" s="63" t="n">
        <f aca="false">COUNTIF('Audit Log'!H$10:H$59,"Observation")</f>
        <v>0</v>
      </c>
      <c r="C14" s="64" t="str">
        <f aca="false">IF('Audit Log'!R62=0,"—",B14/'Audit Log'!R62)</f>
        <v>—</v>
      </c>
      <c r="D14" s="65" t="s">
        <v>85</v>
      </c>
      <c r="E14" s="66" t="s">
        <v>86</v>
      </c>
      <c r="G14" s="67" t="s">
        <v>48</v>
      </c>
      <c r="H14" s="68" t="n">
        <f aca="false">COUNTIF('Audit Log'!I$10:I$59,"N/A")</f>
        <v>0</v>
      </c>
      <c r="I14" s="69" t="str">
        <f aca="false">IF('Audit Log'!R62=0,"—",H14/'Audit Log'!R62)</f>
        <v>—</v>
      </c>
      <c r="J14" s="70" t="s">
        <v>87</v>
      </c>
    </row>
    <row r="16" customFormat="false" ht="6" hidden="false" customHeight="true" outlineLevel="0" collapsed="false"/>
    <row r="17" customFormat="false" ht="19.5" hidden="false" customHeight="true" outlineLevel="0" collapsed="false">
      <c r="A17" s="26" t="s">
        <v>55</v>
      </c>
      <c r="B17" s="26"/>
      <c r="C17" s="26"/>
      <c r="D17" s="27"/>
      <c r="E17" s="27"/>
      <c r="G17" s="26" t="s">
        <v>88</v>
      </c>
      <c r="H17" s="26"/>
      <c r="I17" s="27"/>
      <c r="J17" s="27"/>
    </row>
    <row r="18" customFormat="false" ht="19.5" hidden="false" customHeight="true" outlineLevel="0" collapsed="false">
      <c r="A18" s="26" t="s">
        <v>89</v>
      </c>
      <c r="B18" s="26"/>
      <c r="C18" s="26"/>
      <c r="D18" s="27"/>
      <c r="E18" s="27"/>
      <c r="G18" s="26" t="s">
        <v>89</v>
      </c>
      <c r="H18" s="26"/>
      <c r="I18" s="27"/>
      <c r="J18" s="27"/>
    </row>
  </sheetData>
  <mergeCells count="22">
    <mergeCell ref="A1:J2"/>
    <mergeCell ref="A3:J3"/>
    <mergeCell ref="A5:B5"/>
    <mergeCell ref="C5:D5"/>
    <mergeCell ref="E5:F5"/>
    <mergeCell ref="G5:H5"/>
    <mergeCell ref="I5:J5"/>
    <mergeCell ref="A6:B6"/>
    <mergeCell ref="C6:D6"/>
    <mergeCell ref="E6:F6"/>
    <mergeCell ref="G6:H6"/>
    <mergeCell ref="I6:J6"/>
    <mergeCell ref="A8:E8"/>
    <mergeCell ref="G8:J8"/>
    <mergeCell ref="A17:C17"/>
    <mergeCell ref="D17:E17"/>
    <mergeCell ref="G17:H17"/>
    <mergeCell ref="I17:J17"/>
    <mergeCell ref="A18:C18"/>
    <mergeCell ref="D18:E18"/>
    <mergeCell ref="G18:H18"/>
    <mergeCell ref="I18:J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zeroHeight="false" outlineLevelRow="0" outlineLevelCol="0"/>
  <cols>
    <col collapsed="false" customWidth="true" hidden="false" outlineLevel="0" max="1" min="1" style="1" width="22"/>
    <col collapsed="false" customWidth="true" hidden="false" outlineLevel="0" max="2" min="2" style="1" width="70"/>
  </cols>
  <sheetData>
    <row r="1" customFormat="false" ht="31.5" hidden="false" customHeight="true" outlineLevel="0" collapsed="false">
      <c r="A1" s="71" t="s">
        <v>90</v>
      </c>
      <c r="B1" s="71"/>
      <c r="C1" s="71"/>
      <c r="D1" s="71"/>
      <c r="E1" s="71"/>
      <c r="F1" s="71"/>
      <c r="G1" s="71"/>
    </row>
    <row r="2" customFormat="false" ht="7.5" hidden="false" customHeight="true" outlineLevel="0" collapsed="false">
      <c r="A2" s="71"/>
      <c r="B2" s="71"/>
      <c r="C2" s="71"/>
      <c r="D2" s="71"/>
      <c r="E2" s="71"/>
      <c r="F2" s="71"/>
      <c r="G2" s="71"/>
    </row>
    <row r="3" customFormat="false" ht="19.5" hidden="false" customHeight="true" outlineLevel="0" collapsed="false">
      <c r="A3" s="72" t="s">
        <v>91</v>
      </c>
      <c r="B3" s="72"/>
      <c r="C3" s="72"/>
      <c r="D3" s="72"/>
      <c r="E3" s="72"/>
      <c r="F3" s="72"/>
      <c r="G3" s="72"/>
    </row>
    <row r="4" customFormat="false" ht="30" hidden="false" customHeight="true" outlineLevel="0" collapsed="false">
      <c r="A4" s="73" t="s">
        <v>92</v>
      </c>
      <c r="B4" s="73"/>
      <c r="C4" s="73"/>
      <c r="D4" s="73"/>
      <c r="E4" s="73"/>
      <c r="F4" s="73"/>
      <c r="G4" s="73"/>
    </row>
    <row r="5" customFormat="false" ht="30" hidden="false" customHeight="true" outlineLevel="0" collapsed="false">
      <c r="A5" s="10" t="s">
        <v>93</v>
      </c>
      <c r="B5" s="10"/>
      <c r="C5" s="10"/>
      <c r="D5" s="10"/>
      <c r="E5" s="10"/>
      <c r="F5" s="10"/>
      <c r="G5" s="10"/>
    </row>
    <row r="6" customFormat="false" ht="30" hidden="false" customHeight="true" outlineLevel="0" collapsed="false">
      <c r="A6" s="73" t="s">
        <v>94</v>
      </c>
      <c r="B6" s="73"/>
      <c r="C6" s="73"/>
      <c r="D6" s="73"/>
      <c r="E6" s="73"/>
      <c r="F6" s="73"/>
      <c r="G6" s="73"/>
    </row>
    <row r="7" customFormat="false" ht="30" hidden="false" customHeight="true" outlineLevel="0" collapsed="false">
      <c r="A7" s="10" t="s">
        <v>95</v>
      </c>
      <c r="B7" s="10"/>
      <c r="C7" s="10"/>
      <c r="D7" s="10"/>
      <c r="E7" s="10"/>
      <c r="F7" s="10"/>
      <c r="G7" s="10"/>
    </row>
    <row r="8" customFormat="false" ht="30" hidden="false" customHeight="true" outlineLevel="0" collapsed="false">
      <c r="A8" s="73" t="s">
        <v>96</v>
      </c>
      <c r="B8" s="73"/>
      <c r="C8" s="73"/>
      <c r="D8" s="73"/>
      <c r="E8" s="73"/>
      <c r="F8" s="73"/>
      <c r="G8" s="73"/>
    </row>
    <row r="9" customFormat="false" ht="30" hidden="false" customHeight="true" outlineLevel="0" collapsed="false">
      <c r="A9" s="10" t="s">
        <v>97</v>
      </c>
      <c r="B9" s="10"/>
      <c r="C9" s="10"/>
      <c r="D9" s="10"/>
      <c r="E9" s="10"/>
      <c r="F9" s="10"/>
      <c r="G9" s="10"/>
    </row>
    <row r="10" customFormat="false" ht="30" hidden="false" customHeight="true" outlineLevel="0" collapsed="false">
      <c r="A10" s="73" t="s">
        <v>98</v>
      </c>
      <c r="B10" s="73"/>
      <c r="C10" s="73"/>
      <c r="D10" s="73"/>
      <c r="E10" s="73"/>
      <c r="F10" s="73"/>
      <c r="G10" s="73"/>
    </row>
    <row r="11" customFormat="false" ht="30" hidden="false" customHeight="true" outlineLevel="0" collapsed="false">
      <c r="A11" s="10" t="s">
        <v>99</v>
      </c>
      <c r="B11" s="10"/>
      <c r="C11" s="10"/>
      <c r="D11" s="10"/>
      <c r="E11" s="10"/>
      <c r="F11" s="10"/>
      <c r="G11" s="10"/>
    </row>
    <row r="13" customFormat="false" ht="19.5" hidden="false" customHeight="true" outlineLevel="0" collapsed="false">
      <c r="A13" s="74" t="s">
        <v>100</v>
      </c>
      <c r="B13" s="74"/>
      <c r="C13" s="74"/>
      <c r="D13" s="74"/>
      <c r="E13" s="74"/>
      <c r="F13" s="74"/>
      <c r="G13" s="74"/>
    </row>
    <row r="14" customFormat="false" ht="30" hidden="false" customHeight="true" outlineLevel="0" collapsed="false">
      <c r="A14" s="40" t="s">
        <v>101</v>
      </c>
      <c r="B14" s="75" t="s">
        <v>102</v>
      </c>
      <c r="C14" s="75"/>
      <c r="D14" s="75"/>
      <c r="E14" s="75"/>
      <c r="F14" s="75"/>
      <c r="G14" s="75"/>
    </row>
    <row r="15" customFormat="false" ht="30" hidden="false" customHeight="true" outlineLevel="0" collapsed="false">
      <c r="A15" s="45" t="s">
        <v>103</v>
      </c>
      <c r="B15" s="76" t="s">
        <v>104</v>
      </c>
      <c r="C15" s="76"/>
      <c r="D15" s="76"/>
      <c r="E15" s="76"/>
      <c r="F15" s="76"/>
      <c r="G15" s="76"/>
    </row>
    <row r="16" customFormat="false" ht="30" hidden="false" customHeight="true" outlineLevel="0" collapsed="false">
      <c r="A16" s="53" t="s">
        <v>105</v>
      </c>
      <c r="B16" s="77" t="s">
        <v>106</v>
      </c>
      <c r="C16" s="77"/>
      <c r="D16" s="77"/>
      <c r="E16" s="77"/>
      <c r="F16" s="77"/>
      <c r="G16" s="77"/>
    </row>
    <row r="17" customFormat="false" ht="30" hidden="false" customHeight="true" outlineLevel="0" collapsed="false">
      <c r="A17" s="50" t="s">
        <v>107</v>
      </c>
      <c r="B17" s="78" t="s">
        <v>108</v>
      </c>
      <c r="C17" s="78"/>
      <c r="D17" s="78"/>
      <c r="E17" s="78"/>
      <c r="F17" s="78"/>
      <c r="G17" s="78"/>
    </row>
    <row r="18" customFormat="false" ht="30" hidden="false" customHeight="true" outlineLevel="0" collapsed="false">
      <c r="A18" s="62" t="s">
        <v>109</v>
      </c>
      <c r="B18" s="79" t="s">
        <v>110</v>
      </c>
      <c r="C18" s="79"/>
      <c r="D18" s="79"/>
      <c r="E18" s="79"/>
      <c r="F18" s="79"/>
      <c r="G18" s="79"/>
    </row>
    <row r="20" customFormat="false" ht="19.5" hidden="false" customHeight="true" outlineLevel="0" collapsed="false">
      <c r="A20" s="80" t="s">
        <v>111</v>
      </c>
      <c r="B20" s="80"/>
      <c r="C20" s="80"/>
      <c r="D20" s="80"/>
      <c r="E20" s="80"/>
      <c r="F20" s="80"/>
      <c r="G20" s="80"/>
    </row>
    <row r="21" customFormat="false" ht="30" hidden="false" customHeight="true" outlineLevel="0" collapsed="false">
      <c r="A21" s="40" t="s">
        <v>112</v>
      </c>
      <c r="B21" s="75" t="s">
        <v>113</v>
      </c>
      <c r="C21" s="75"/>
      <c r="D21" s="75"/>
      <c r="E21" s="75"/>
      <c r="F21" s="75"/>
      <c r="G21" s="75"/>
    </row>
    <row r="22" customFormat="false" ht="30" hidden="false" customHeight="true" outlineLevel="0" collapsed="false">
      <c r="A22" s="50" t="s">
        <v>114</v>
      </c>
      <c r="B22" s="78" t="s">
        <v>115</v>
      </c>
      <c r="C22" s="78"/>
      <c r="D22" s="78"/>
      <c r="E22" s="78"/>
      <c r="F22" s="78"/>
      <c r="G22" s="78"/>
    </row>
    <row r="23" customFormat="false" ht="30" hidden="false" customHeight="true" outlineLevel="0" collapsed="false">
      <c r="A23" s="53" t="s">
        <v>116</v>
      </c>
      <c r="B23" s="77" t="s">
        <v>117</v>
      </c>
      <c r="C23" s="77"/>
      <c r="D23" s="77"/>
      <c r="E23" s="77"/>
      <c r="F23" s="77"/>
      <c r="G23" s="77"/>
    </row>
    <row r="24" customFormat="false" ht="30" hidden="false" customHeight="true" outlineLevel="0" collapsed="false">
      <c r="A24" s="59" t="s">
        <v>118</v>
      </c>
      <c r="B24" s="73" t="s">
        <v>119</v>
      </c>
      <c r="C24" s="73"/>
      <c r="D24" s="73"/>
      <c r="E24" s="73"/>
      <c r="F24" s="73"/>
      <c r="G24" s="73"/>
    </row>
    <row r="25" customFormat="false" ht="30" hidden="false" customHeight="true" outlineLevel="0" collapsed="false">
      <c r="A25" s="67" t="s">
        <v>48</v>
      </c>
      <c r="B25" s="81" t="s">
        <v>120</v>
      </c>
      <c r="C25" s="81"/>
      <c r="D25" s="81"/>
      <c r="E25" s="81"/>
      <c r="F25" s="81"/>
      <c r="G25" s="81"/>
    </row>
    <row r="27" customFormat="false" ht="19.5" hidden="false" customHeight="true" outlineLevel="0" collapsed="false">
      <c r="A27" s="82" t="s">
        <v>121</v>
      </c>
      <c r="B27" s="82"/>
      <c r="C27" s="82"/>
      <c r="D27" s="82"/>
      <c r="E27" s="82"/>
      <c r="F27" s="82"/>
      <c r="G27" s="82"/>
    </row>
    <row r="28" customFormat="false" ht="25.5" hidden="false" customHeight="true" outlineLevel="0" collapsed="false">
      <c r="A28" s="83" t="s">
        <v>122</v>
      </c>
      <c r="B28" s="73" t="s">
        <v>123</v>
      </c>
      <c r="C28" s="73"/>
      <c r="D28" s="73"/>
      <c r="E28" s="73"/>
      <c r="F28" s="73"/>
      <c r="G28" s="73"/>
    </row>
    <row r="29" customFormat="false" ht="25.5" hidden="false" customHeight="true" outlineLevel="0" collapsed="false">
      <c r="A29" s="84" t="s">
        <v>124</v>
      </c>
      <c r="B29" s="10" t="s">
        <v>125</v>
      </c>
      <c r="C29" s="10"/>
      <c r="D29" s="10"/>
      <c r="E29" s="10"/>
      <c r="F29" s="10"/>
      <c r="G29" s="10"/>
    </row>
    <row r="30" customFormat="false" ht="25.5" hidden="false" customHeight="true" outlineLevel="0" collapsed="false">
      <c r="A30" s="83" t="s">
        <v>126</v>
      </c>
      <c r="B30" s="73" t="s">
        <v>127</v>
      </c>
      <c r="C30" s="73"/>
      <c r="D30" s="73"/>
      <c r="E30" s="73"/>
      <c r="F30" s="73"/>
      <c r="G30" s="73"/>
    </row>
    <row r="31" customFormat="false" ht="25.5" hidden="false" customHeight="true" outlineLevel="0" collapsed="false">
      <c r="A31" s="84" t="s">
        <v>128</v>
      </c>
      <c r="B31" s="10" t="s">
        <v>129</v>
      </c>
      <c r="C31" s="10"/>
      <c r="D31" s="10"/>
      <c r="E31" s="10"/>
      <c r="F31" s="10"/>
      <c r="G31" s="10"/>
    </row>
    <row r="32" customFormat="false" ht="25.5" hidden="false" customHeight="true" outlineLevel="0" collapsed="false">
      <c r="A32" s="83" t="s">
        <v>130</v>
      </c>
      <c r="B32" s="73" t="s">
        <v>131</v>
      </c>
      <c r="C32" s="73"/>
      <c r="D32" s="73"/>
      <c r="E32" s="73"/>
      <c r="F32" s="73"/>
      <c r="G32" s="73"/>
    </row>
    <row r="33" customFormat="false" ht="25.5" hidden="false" customHeight="true" outlineLevel="0" collapsed="false">
      <c r="A33" s="84" t="s">
        <v>132</v>
      </c>
      <c r="B33" s="10" t="s">
        <v>133</v>
      </c>
      <c r="C33" s="10"/>
      <c r="D33" s="10"/>
      <c r="E33" s="10"/>
      <c r="F33" s="10"/>
      <c r="G33" s="10"/>
    </row>
    <row r="34" customFormat="false" ht="25.5" hidden="false" customHeight="true" outlineLevel="0" collapsed="false">
      <c r="A34" s="83" t="s">
        <v>134</v>
      </c>
      <c r="B34" s="73" t="s">
        <v>135</v>
      </c>
      <c r="C34" s="73"/>
      <c r="D34" s="73"/>
      <c r="E34" s="73"/>
      <c r="F34" s="73"/>
      <c r="G34" s="73"/>
    </row>
    <row r="35" customFormat="false" ht="25.5" hidden="false" customHeight="true" outlineLevel="0" collapsed="false">
      <c r="A35" s="84" t="s">
        <v>136</v>
      </c>
      <c r="B35" s="10" t="s">
        <v>137</v>
      </c>
      <c r="C35" s="10"/>
      <c r="D35" s="10"/>
      <c r="E35" s="10"/>
      <c r="F35" s="10"/>
      <c r="G35" s="10"/>
    </row>
    <row r="37" customFormat="false" ht="19.5" hidden="false" customHeight="true" outlineLevel="0" collapsed="false">
      <c r="A37" s="85" t="s">
        <v>138</v>
      </c>
      <c r="B37" s="85"/>
      <c r="C37" s="85"/>
      <c r="D37" s="85"/>
      <c r="E37" s="85"/>
      <c r="F37" s="85"/>
      <c r="G37" s="85"/>
    </row>
    <row r="38" customFormat="false" ht="79.5" hidden="false" customHeight="true" outlineLevel="0" collapsed="false">
      <c r="A38" s="86" t="s">
        <v>139</v>
      </c>
      <c r="B38" s="87" t="s">
        <v>140</v>
      </c>
      <c r="C38" s="87"/>
      <c r="D38" s="87"/>
      <c r="E38" s="87"/>
      <c r="F38" s="87"/>
      <c r="G38" s="87"/>
    </row>
    <row r="39" customFormat="false" ht="79.5" hidden="false" customHeight="true" outlineLevel="0" collapsed="false">
      <c r="A39" s="88" t="s">
        <v>141</v>
      </c>
      <c r="B39" s="89" t="s">
        <v>142</v>
      </c>
      <c r="C39" s="89"/>
      <c r="D39" s="89"/>
      <c r="E39" s="89"/>
      <c r="F39" s="89"/>
      <c r="G39" s="89"/>
    </row>
    <row r="40" customFormat="false" ht="79.5" hidden="false" customHeight="true" outlineLevel="0" collapsed="false">
      <c r="A40" s="86" t="s">
        <v>143</v>
      </c>
      <c r="B40" s="87" t="s">
        <v>144</v>
      </c>
      <c r="C40" s="87"/>
      <c r="D40" s="87"/>
      <c r="E40" s="87"/>
      <c r="F40" s="87"/>
      <c r="G40" s="87"/>
    </row>
    <row r="41" customFormat="false" ht="79.5" hidden="false" customHeight="true" outlineLevel="0" collapsed="false">
      <c r="A41" s="88" t="s">
        <v>145</v>
      </c>
      <c r="B41" s="89" t="s">
        <v>146</v>
      </c>
      <c r="C41" s="89"/>
      <c r="D41" s="89"/>
      <c r="E41" s="89"/>
      <c r="F41" s="89"/>
      <c r="G41" s="89"/>
    </row>
  </sheetData>
  <mergeCells count="36">
    <mergeCell ref="A1:G2"/>
    <mergeCell ref="A3:G3"/>
    <mergeCell ref="A4:G4"/>
    <mergeCell ref="A5:G5"/>
    <mergeCell ref="A6:G6"/>
    <mergeCell ref="A7:G7"/>
    <mergeCell ref="A8:G8"/>
    <mergeCell ref="A9:G9"/>
    <mergeCell ref="A10:G10"/>
    <mergeCell ref="A11:G11"/>
    <mergeCell ref="A13:G13"/>
    <mergeCell ref="B14:G14"/>
    <mergeCell ref="B15:G15"/>
    <mergeCell ref="B16:G16"/>
    <mergeCell ref="B17:G17"/>
    <mergeCell ref="B18:G18"/>
    <mergeCell ref="A20:G20"/>
    <mergeCell ref="B21:G21"/>
    <mergeCell ref="B22:G22"/>
    <mergeCell ref="B23:G23"/>
    <mergeCell ref="B24:G24"/>
    <mergeCell ref="B25:G25"/>
    <mergeCell ref="A27:G27"/>
    <mergeCell ref="B28:G28"/>
    <mergeCell ref="B29:G29"/>
    <mergeCell ref="B30:G30"/>
    <mergeCell ref="B31:G31"/>
    <mergeCell ref="B32:G32"/>
    <mergeCell ref="B33:G33"/>
    <mergeCell ref="B34:G34"/>
    <mergeCell ref="B35:G35"/>
    <mergeCell ref="A37:G37"/>
    <mergeCell ref="B38:G38"/>
    <mergeCell ref="B39:G39"/>
    <mergeCell ref="B40:G40"/>
    <mergeCell ref="B41:G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3" min="3" style="1" width="26"/>
    <col collapsed="false" customWidth="true" hidden="false" outlineLevel="0" max="4" min="4" style="1" width="52"/>
    <col collapsed="false" customWidth="true" hidden="false" outlineLevel="0" max="5" min="5" style="1" width="40"/>
    <col collapsed="false" customWidth="true" hidden="false" outlineLevel="0" max="6" min="6" style="1" width="34"/>
  </cols>
  <sheetData>
    <row r="1" customFormat="false" ht="31.5" hidden="false" customHeight="true" outlineLevel="0" collapsed="false">
      <c r="A1" s="90" t="s">
        <v>147</v>
      </c>
      <c r="B1" s="90"/>
      <c r="C1" s="90"/>
      <c r="D1" s="90"/>
      <c r="E1" s="90"/>
      <c r="F1" s="90"/>
    </row>
    <row r="2" customFormat="false" ht="15" hidden="false" customHeight="false" outlineLevel="0" collapsed="false">
      <c r="A2" s="90"/>
      <c r="B2" s="90"/>
      <c r="C2" s="90"/>
      <c r="D2" s="90"/>
      <c r="E2" s="90"/>
      <c r="F2" s="90"/>
    </row>
    <row r="3" customFormat="false" ht="21.75" hidden="false" customHeight="true" outlineLevel="0" collapsed="false">
      <c r="A3" s="91" t="s">
        <v>148</v>
      </c>
      <c r="B3" s="91"/>
      <c r="C3" s="91"/>
      <c r="D3" s="91"/>
      <c r="E3" s="91"/>
      <c r="F3" s="91"/>
    </row>
    <row r="4" customFormat="false" ht="24" hidden="false" customHeight="true" outlineLevel="0" collapsed="false">
      <c r="A4" s="7" t="s">
        <v>149</v>
      </c>
      <c r="B4" s="7" t="s">
        <v>150</v>
      </c>
      <c r="C4" s="7" t="s">
        <v>151</v>
      </c>
      <c r="D4" s="7" t="s">
        <v>152</v>
      </c>
      <c r="E4" s="7" t="s">
        <v>153</v>
      </c>
      <c r="F4" s="7" t="s">
        <v>154</v>
      </c>
    </row>
    <row r="5" customFormat="false" ht="19.5" hidden="false" customHeight="true" outlineLevel="0" collapsed="false">
      <c r="A5" s="92" t="s">
        <v>155</v>
      </c>
      <c r="B5" s="92"/>
      <c r="C5" s="92"/>
      <c r="D5" s="92"/>
      <c r="E5" s="92"/>
      <c r="F5" s="92"/>
    </row>
    <row r="6" customFormat="false" ht="90" hidden="false" customHeight="true" outlineLevel="0" collapsed="false">
      <c r="A6" s="93" t="s">
        <v>156</v>
      </c>
      <c r="B6" s="93" t="s">
        <v>157</v>
      </c>
      <c r="C6" s="93" t="s">
        <v>158</v>
      </c>
      <c r="D6" s="93" t="s">
        <v>159</v>
      </c>
      <c r="E6" s="93" t="s">
        <v>160</v>
      </c>
      <c r="F6" s="93" t="s">
        <v>161</v>
      </c>
    </row>
    <row r="7" customFormat="false" ht="90" hidden="false" customHeight="true" outlineLevel="0" collapsed="false">
      <c r="A7" s="94" t="s">
        <v>162</v>
      </c>
      <c r="B7" s="94" t="s">
        <v>163</v>
      </c>
      <c r="C7" s="94" t="s">
        <v>164</v>
      </c>
      <c r="D7" s="94" t="s">
        <v>165</v>
      </c>
      <c r="E7" s="94" t="s">
        <v>166</v>
      </c>
      <c r="F7" s="94" t="s">
        <v>167</v>
      </c>
    </row>
    <row r="8" customFormat="false" ht="90" hidden="false" customHeight="true" outlineLevel="0" collapsed="false">
      <c r="A8" s="93" t="s">
        <v>168</v>
      </c>
      <c r="B8" s="93" t="s">
        <v>163</v>
      </c>
      <c r="C8" s="93" t="s">
        <v>169</v>
      </c>
      <c r="D8" s="93" t="s">
        <v>170</v>
      </c>
      <c r="E8" s="93" t="s">
        <v>171</v>
      </c>
      <c r="F8" s="93" t="s">
        <v>172</v>
      </c>
    </row>
    <row r="9" customFormat="false" ht="90" hidden="false" customHeight="true" outlineLevel="0" collapsed="false">
      <c r="A9" s="94" t="s">
        <v>173</v>
      </c>
      <c r="B9" s="94" t="s">
        <v>163</v>
      </c>
      <c r="C9" s="94" t="s">
        <v>174</v>
      </c>
      <c r="D9" s="94" t="s">
        <v>175</v>
      </c>
      <c r="E9" s="94" t="s">
        <v>176</v>
      </c>
      <c r="F9" s="94" t="s">
        <v>177</v>
      </c>
    </row>
    <row r="10" customFormat="false" ht="19.5" hidden="false" customHeight="true" outlineLevel="0" collapsed="false">
      <c r="A10" s="95" t="s">
        <v>178</v>
      </c>
      <c r="B10" s="95"/>
      <c r="C10" s="95"/>
      <c r="D10" s="95"/>
      <c r="E10" s="95"/>
      <c r="F10" s="95"/>
    </row>
    <row r="11" customFormat="false" ht="90" hidden="false" customHeight="true" outlineLevel="0" collapsed="false">
      <c r="A11" s="96" t="s">
        <v>179</v>
      </c>
      <c r="B11" s="96" t="s">
        <v>180</v>
      </c>
      <c r="C11" s="96" t="s">
        <v>181</v>
      </c>
      <c r="D11" s="96" t="s">
        <v>182</v>
      </c>
      <c r="E11" s="96" t="s">
        <v>183</v>
      </c>
      <c r="F11" s="96" t="s">
        <v>184</v>
      </c>
    </row>
    <row r="12" customFormat="false" ht="90" hidden="false" customHeight="true" outlineLevel="0" collapsed="false">
      <c r="A12" s="94" t="s">
        <v>185</v>
      </c>
      <c r="B12" s="94" t="s">
        <v>186</v>
      </c>
      <c r="C12" s="94" t="s">
        <v>187</v>
      </c>
      <c r="D12" s="94" t="s">
        <v>188</v>
      </c>
      <c r="E12" s="94" t="s">
        <v>189</v>
      </c>
      <c r="F12" s="94" t="s">
        <v>190</v>
      </c>
    </row>
    <row r="13" customFormat="false" ht="19.5" hidden="false" customHeight="true" outlineLevel="0" collapsed="false">
      <c r="A13" s="97" t="s">
        <v>191</v>
      </c>
      <c r="B13" s="97"/>
      <c r="C13" s="97"/>
      <c r="D13" s="97"/>
      <c r="E13" s="97"/>
      <c r="F13" s="97"/>
    </row>
    <row r="14" customFormat="false" ht="90" hidden="false" customHeight="true" outlineLevel="0" collapsed="false">
      <c r="A14" s="93" t="s">
        <v>192</v>
      </c>
      <c r="B14" s="93" t="s">
        <v>193</v>
      </c>
      <c r="C14" s="93" t="s">
        <v>194</v>
      </c>
      <c r="D14" s="93" t="s">
        <v>195</v>
      </c>
      <c r="E14" s="93" t="s">
        <v>196</v>
      </c>
      <c r="F14" s="93" t="s">
        <v>197</v>
      </c>
    </row>
    <row r="16" customFormat="false" ht="6" hidden="false" customHeight="true" outlineLevel="0" collapsed="false"/>
    <row r="17" customFormat="false" ht="36" hidden="false" customHeight="true" outlineLevel="0" collapsed="false">
      <c r="A17" s="98" t="s">
        <v>198</v>
      </c>
      <c r="B17" s="98"/>
      <c r="C17" s="98"/>
      <c r="D17" s="98"/>
      <c r="E17" s="98"/>
      <c r="F17" s="98"/>
    </row>
  </sheetData>
  <mergeCells count="6">
    <mergeCell ref="A1:F2"/>
    <mergeCell ref="A3:F3"/>
    <mergeCell ref="A5:F5"/>
    <mergeCell ref="A10:F10"/>
    <mergeCell ref="A13:F13"/>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J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30"/>
    <col collapsed="false" customWidth="true" hidden="false" outlineLevel="0" max="4" min="4" style="1" width="18"/>
    <col collapsed="false" customWidth="true" hidden="false" outlineLevel="0" max="5" min="5" style="1" width="12"/>
    <col collapsed="false" customWidth="true" hidden="false" outlineLevel="0" max="6" min="6" style="1" width="30"/>
    <col collapsed="false" customWidth="true" hidden="false" outlineLevel="0" max="7" min="7" style="1" width="17"/>
    <col collapsed="false" customWidth="true" hidden="false" outlineLevel="0" max="8" min="8" style="1" width="13"/>
    <col collapsed="false" customWidth="true" hidden="false" outlineLevel="0" max="9" min="9" style="1" width="16"/>
    <col collapsed="false" customWidth="true" hidden="false" outlineLevel="0" max="10" min="10" style="1" width="20"/>
  </cols>
  <sheetData>
    <row r="1" customFormat="false" ht="30" hidden="false" customHeight="true" outlineLevel="0" collapsed="false">
      <c r="A1" s="71" t="s">
        <v>199</v>
      </c>
      <c r="B1" s="71"/>
      <c r="C1" s="71"/>
      <c r="D1" s="71"/>
      <c r="E1" s="71"/>
      <c r="F1" s="71"/>
      <c r="G1" s="71"/>
      <c r="H1" s="71"/>
      <c r="I1" s="71"/>
      <c r="J1" s="71"/>
    </row>
    <row r="2" customFormat="false" ht="15" hidden="false" customHeight="false" outlineLevel="0" collapsed="false">
      <c r="A2" s="71"/>
      <c r="B2" s="71"/>
      <c r="C2" s="71"/>
      <c r="D2" s="71"/>
      <c r="E2" s="71"/>
      <c r="F2" s="71"/>
      <c r="G2" s="71"/>
      <c r="H2" s="71"/>
      <c r="I2" s="71"/>
      <c r="J2" s="71"/>
    </row>
    <row r="3" customFormat="false" ht="18" hidden="false" customHeight="true" outlineLevel="0" collapsed="false">
      <c r="A3" s="91" t="s">
        <v>200</v>
      </c>
      <c r="B3" s="91"/>
      <c r="C3" s="91"/>
      <c r="D3" s="91"/>
      <c r="E3" s="91"/>
      <c r="F3" s="91"/>
      <c r="G3" s="91"/>
      <c r="H3" s="91"/>
      <c r="I3" s="91"/>
      <c r="J3" s="91"/>
    </row>
    <row r="4" customFormat="false" ht="36" hidden="false" customHeight="true" outlineLevel="0" collapsed="false">
      <c r="A4" s="7" t="s">
        <v>201</v>
      </c>
      <c r="B4" s="7" t="s">
        <v>17</v>
      </c>
      <c r="C4" s="7" t="s">
        <v>202</v>
      </c>
      <c r="D4" s="7" t="s">
        <v>25</v>
      </c>
      <c r="E4" s="7" t="s">
        <v>23</v>
      </c>
      <c r="F4" s="7" t="s">
        <v>27</v>
      </c>
      <c r="G4" s="7" t="s">
        <v>28</v>
      </c>
      <c r="H4" s="7" t="s">
        <v>29</v>
      </c>
      <c r="I4" s="7" t="s">
        <v>203</v>
      </c>
      <c r="J4" s="7" t="s">
        <v>204</v>
      </c>
    </row>
    <row r="5" customFormat="false" ht="18" hidden="false" customHeight="true" outlineLevel="0" collapsed="false">
      <c r="A5" s="10"/>
      <c r="B5" s="10"/>
      <c r="C5" s="10"/>
      <c r="D5" s="10"/>
      <c r="E5" s="10"/>
      <c r="F5" s="10"/>
      <c r="G5" s="10"/>
      <c r="H5" s="10"/>
      <c r="I5" s="10"/>
      <c r="J5" s="10"/>
    </row>
    <row r="6" customFormat="false" ht="18" hidden="false" customHeight="true" outlineLevel="0" collapsed="false">
      <c r="A6" s="14"/>
      <c r="B6" s="14"/>
      <c r="C6" s="14"/>
      <c r="D6" s="14"/>
      <c r="E6" s="14"/>
      <c r="F6" s="14"/>
      <c r="G6" s="14"/>
      <c r="H6" s="14"/>
      <c r="I6" s="14"/>
      <c r="J6" s="14"/>
    </row>
    <row r="7" customFormat="false" ht="18" hidden="false" customHeight="true" outlineLevel="0" collapsed="false">
      <c r="A7" s="10"/>
      <c r="B7" s="10"/>
      <c r="C7" s="10"/>
      <c r="D7" s="10"/>
      <c r="E7" s="10"/>
      <c r="F7" s="10"/>
      <c r="G7" s="10"/>
      <c r="H7" s="10"/>
      <c r="I7" s="10"/>
      <c r="J7" s="10"/>
    </row>
    <row r="8" customFormat="false" ht="18" hidden="false" customHeight="true" outlineLevel="0" collapsed="false">
      <c r="A8" s="14"/>
      <c r="B8" s="14"/>
      <c r="C8" s="14"/>
      <c r="D8" s="14"/>
      <c r="E8" s="14"/>
      <c r="F8" s="14"/>
      <c r="G8" s="14"/>
      <c r="H8" s="14"/>
      <c r="I8" s="14"/>
      <c r="J8" s="14"/>
    </row>
    <row r="9" customFormat="false" ht="18" hidden="false" customHeight="true" outlineLevel="0" collapsed="false">
      <c r="A9" s="10"/>
      <c r="B9" s="10"/>
      <c r="C9" s="10"/>
      <c r="D9" s="10"/>
      <c r="E9" s="10"/>
      <c r="F9" s="10"/>
      <c r="G9" s="10"/>
      <c r="H9" s="10"/>
      <c r="I9" s="10"/>
      <c r="J9" s="10"/>
    </row>
    <row r="10" customFormat="false" ht="18" hidden="false" customHeight="true" outlineLevel="0" collapsed="false">
      <c r="A10" s="14"/>
      <c r="B10" s="14"/>
      <c r="C10" s="14"/>
      <c r="D10" s="14"/>
      <c r="E10" s="14"/>
      <c r="F10" s="14"/>
      <c r="G10" s="14"/>
      <c r="H10" s="14"/>
      <c r="I10" s="14"/>
      <c r="J10" s="14"/>
    </row>
    <row r="11" customFormat="false" ht="18" hidden="false" customHeight="true" outlineLevel="0" collapsed="false">
      <c r="A11" s="10"/>
      <c r="B11" s="10"/>
      <c r="C11" s="10"/>
      <c r="D11" s="10"/>
      <c r="E11" s="10"/>
      <c r="F11" s="10"/>
      <c r="G11" s="10"/>
      <c r="H11" s="10"/>
      <c r="I11" s="10"/>
      <c r="J11" s="10"/>
    </row>
    <row r="12" customFormat="false" ht="18" hidden="false" customHeight="true" outlineLevel="0" collapsed="false">
      <c r="A12" s="14"/>
      <c r="B12" s="14"/>
      <c r="C12" s="14"/>
      <c r="D12" s="14"/>
      <c r="E12" s="14"/>
      <c r="F12" s="14"/>
      <c r="G12" s="14"/>
      <c r="H12" s="14"/>
      <c r="I12" s="14"/>
      <c r="J12" s="14"/>
    </row>
    <row r="13" customFormat="false" ht="18" hidden="false" customHeight="true" outlineLevel="0" collapsed="false">
      <c r="A13" s="10"/>
      <c r="B13" s="10"/>
      <c r="C13" s="10"/>
      <c r="D13" s="10"/>
      <c r="E13" s="10"/>
      <c r="F13" s="10"/>
      <c r="G13" s="10"/>
      <c r="H13" s="10"/>
      <c r="I13" s="10"/>
      <c r="J13" s="10"/>
    </row>
    <row r="14" customFormat="false" ht="18" hidden="false" customHeight="true" outlineLevel="0" collapsed="false">
      <c r="A14" s="14"/>
      <c r="B14" s="14"/>
      <c r="C14" s="14"/>
      <c r="D14" s="14"/>
      <c r="E14" s="14"/>
      <c r="F14" s="14"/>
      <c r="G14" s="14"/>
      <c r="H14" s="14"/>
      <c r="I14" s="14"/>
      <c r="J14" s="14"/>
    </row>
    <row r="15" customFormat="false" ht="18" hidden="false" customHeight="true" outlineLevel="0" collapsed="false">
      <c r="A15" s="10"/>
      <c r="B15" s="10"/>
      <c r="C15" s="10"/>
      <c r="D15" s="10"/>
      <c r="E15" s="10"/>
      <c r="F15" s="10"/>
      <c r="G15" s="10"/>
      <c r="H15" s="10"/>
      <c r="I15" s="10"/>
      <c r="J15" s="10"/>
    </row>
    <row r="16" customFormat="false" ht="18" hidden="false" customHeight="true" outlineLevel="0" collapsed="false">
      <c r="A16" s="14"/>
      <c r="B16" s="14"/>
      <c r="C16" s="14"/>
      <c r="D16" s="14"/>
      <c r="E16" s="14"/>
      <c r="F16" s="14"/>
      <c r="G16" s="14"/>
      <c r="H16" s="14"/>
      <c r="I16" s="14"/>
      <c r="J16" s="14"/>
    </row>
    <row r="17" customFormat="false" ht="18" hidden="false" customHeight="true" outlineLevel="0" collapsed="false">
      <c r="A17" s="10"/>
      <c r="B17" s="10"/>
      <c r="C17" s="10"/>
      <c r="D17" s="10"/>
      <c r="E17" s="10"/>
      <c r="F17" s="10"/>
      <c r="G17" s="10"/>
      <c r="H17" s="10"/>
      <c r="I17" s="10"/>
      <c r="J17" s="10"/>
    </row>
    <row r="18" customFormat="false" ht="18" hidden="false" customHeight="true" outlineLevel="0" collapsed="false">
      <c r="A18" s="14"/>
      <c r="B18" s="14"/>
      <c r="C18" s="14"/>
      <c r="D18" s="14"/>
      <c r="E18" s="14"/>
      <c r="F18" s="14"/>
      <c r="G18" s="14"/>
      <c r="H18" s="14"/>
      <c r="I18" s="14"/>
      <c r="J18" s="14"/>
    </row>
    <row r="19" customFormat="false" ht="18" hidden="false" customHeight="true" outlineLevel="0" collapsed="false">
      <c r="A19" s="10"/>
      <c r="B19" s="10"/>
      <c r="C19" s="10"/>
      <c r="D19" s="10"/>
      <c r="E19" s="10"/>
      <c r="F19" s="10"/>
      <c r="G19" s="10"/>
      <c r="H19" s="10"/>
      <c r="I19" s="10"/>
      <c r="J19" s="10"/>
    </row>
    <row r="20" customFormat="false" ht="18" hidden="false" customHeight="true" outlineLevel="0" collapsed="false">
      <c r="A20" s="14"/>
      <c r="B20" s="14"/>
      <c r="C20" s="14"/>
      <c r="D20" s="14"/>
      <c r="E20" s="14"/>
      <c r="F20" s="14"/>
      <c r="G20" s="14"/>
      <c r="H20" s="14"/>
      <c r="I20" s="14"/>
      <c r="J20" s="14"/>
    </row>
    <row r="21" customFormat="false" ht="18" hidden="false" customHeight="true" outlineLevel="0" collapsed="false">
      <c r="A21" s="10"/>
      <c r="B21" s="10"/>
      <c r="C21" s="10"/>
      <c r="D21" s="10"/>
      <c r="E21" s="10"/>
      <c r="F21" s="10"/>
      <c r="G21" s="10"/>
      <c r="H21" s="10"/>
      <c r="I21" s="10"/>
      <c r="J21" s="10"/>
    </row>
    <row r="22" customFormat="false" ht="18" hidden="false" customHeight="true" outlineLevel="0" collapsed="false">
      <c r="A22" s="14"/>
      <c r="B22" s="14"/>
      <c r="C22" s="14"/>
      <c r="D22" s="14"/>
      <c r="E22" s="14"/>
      <c r="F22" s="14"/>
      <c r="G22" s="14"/>
      <c r="H22" s="14"/>
      <c r="I22" s="14"/>
      <c r="J22" s="14"/>
    </row>
    <row r="23" customFormat="false" ht="18" hidden="false" customHeight="true" outlineLevel="0" collapsed="false">
      <c r="A23" s="10"/>
      <c r="B23" s="10"/>
      <c r="C23" s="10"/>
      <c r="D23" s="10"/>
      <c r="E23" s="10"/>
      <c r="F23" s="10"/>
      <c r="G23" s="10"/>
      <c r="H23" s="10"/>
      <c r="I23" s="10"/>
      <c r="J23" s="10"/>
    </row>
    <row r="24" customFormat="false" ht="18" hidden="false" customHeight="true" outlineLevel="0" collapsed="false">
      <c r="A24" s="14"/>
      <c r="B24" s="14"/>
      <c r="C24" s="14"/>
      <c r="D24" s="14"/>
      <c r="E24" s="14"/>
      <c r="F24" s="14"/>
      <c r="G24" s="14"/>
      <c r="H24" s="14"/>
      <c r="I24" s="14"/>
      <c r="J24" s="14"/>
    </row>
    <row r="25" customFormat="false" ht="18" hidden="false" customHeight="true" outlineLevel="0" collapsed="false">
      <c r="A25" s="10"/>
      <c r="B25" s="10"/>
      <c r="C25" s="10"/>
      <c r="D25" s="10"/>
      <c r="E25" s="10"/>
      <c r="F25" s="10"/>
      <c r="G25" s="10"/>
      <c r="H25" s="10"/>
      <c r="I25" s="10"/>
      <c r="J25" s="10"/>
    </row>
    <row r="26" customFormat="false" ht="18" hidden="false" customHeight="true" outlineLevel="0" collapsed="false">
      <c r="A26" s="14"/>
      <c r="B26" s="14"/>
      <c r="C26" s="14"/>
      <c r="D26" s="14"/>
      <c r="E26" s="14"/>
      <c r="F26" s="14"/>
      <c r="G26" s="14"/>
      <c r="H26" s="14"/>
      <c r="I26" s="14"/>
      <c r="J26" s="14"/>
    </row>
    <row r="27" customFormat="false" ht="18" hidden="false" customHeight="true" outlineLevel="0" collapsed="false">
      <c r="A27" s="10"/>
      <c r="B27" s="10"/>
      <c r="C27" s="10"/>
      <c r="D27" s="10"/>
      <c r="E27" s="10"/>
      <c r="F27" s="10"/>
      <c r="G27" s="10"/>
      <c r="H27" s="10"/>
      <c r="I27" s="10"/>
      <c r="J27" s="10"/>
    </row>
    <row r="28" customFormat="false" ht="18" hidden="false" customHeight="true" outlineLevel="0" collapsed="false">
      <c r="A28" s="14"/>
      <c r="B28" s="14"/>
      <c r="C28" s="14"/>
      <c r="D28" s="14"/>
      <c r="E28" s="14"/>
      <c r="F28" s="14"/>
      <c r="G28" s="14"/>
      <c r="H28" s="14"/>
      <c r="I28" s="14"/>
      <c r="J28" s="14"/>
    </row>
    <row r="29" customFormat="false" ht="18" hidden="false" customHeight="true" outlineLevel="0" collapsed="false">
      <c r="A29" s="10"/>
      <c r="B29" s="10"/>
      <c r="C29" s="10"/>
      <c r="D29" s="10"/>
      <c r="E29" s="10"/>
      <c r="F29" s="10"/>
      <c r="G29" s="10"/>
      <c r="H29" s="10"/>
      <c r="I29" s="10"/>
      <c r="J29" s="10"/>
    </row>
    <row r="30" customFormat="false" ht="18" hidden="false" customHeight="true" outlineLevel="0" collapsed="false">
      <c r="A30" s="14"/>
      <c r="B30" s="14"/>
      <c r="C30" s="14"/>
      <c r="D30" s="14"/>
      <c r="E30" s="14"/>
      <c r="F30" s="14"/>
      <c r="G30" s="14"/>
      <c r="H30" s="14"/>
      <c r="I30" s="14"/>
      <c r="J30" s="14"/>
    </row>
    <row r="31" customFormat="false" ht="18" hidden="false" customHeight="true" outlineLevel="0" collapsed="false">
      <c r="A31" s="10"/>
      <c r="B31" s="10"/>
      <c r="C31" s="10"/>
      <c r="D31" s="10"/>
      <c r="E31" s="10"/>
      <c r="F31" s="10"/>
      <c r="G31" s="10"/>
      <c r="H31" s="10"/>
      <c r="I31" s="10"/>
      <c r="J31" s="10"/>
    </row>
    <row r="32" customFormat="false" ht="18" hidden="false" customHeight="true" outlineLevel="0" collapsed="false">
      <c r="A32" s="14"/>
      <c r="B32" s="14"/>
      <c r="C32" s="14"/>
      <c r="D32" s="14"/>
      <c r="E32" s="14"/>
      <c r="F32" s="14"/>
      <c r="G32" s="14"/>
      <c r="H32" s="14"/>
      <c r="I32" s="14"/>
      <c r="J32" s="14"/>
    </row>
    <row r="33" customFormat="false" ht="18" hidden="false" customHeight="true" outlineLevel="0" collapsed="false">
      <c r="A33" s="10"/>
      <c r="B33" s="10"/>
      <c r="C33" s="10"/>
      <c r="D33" s="10"/>
      <c r="E33" s="10"/>
      <c r="F33" s="10"/>
      <c r="G33" s="10"/>
      <c r="H33" s="10"/>
      <c r="I33" s="10"/>
      <c r="J33" s="10"/>
    </row>
    <row r="34" customFormat="false" ht="18" hidden="false" customHeight="true" outlineLevel="0" collapsed="false">
      <c r="A34" s="14"/>
      <c r="B34" s="14"/>
      <c r="C34" s="14"/>
      <c r="D34" s="14"/>
      <c r="E34" s="14"/>
      <c r="F34" s="14"/>
      <c r="G34" s="14"/>
      <c r="H34" s="14"/>
      <c r="I34" s="14"/>
      <c r="J34" s="14"/>
    </row>
    <row r="35" customFormat="false" ht="18" hidden="false" customHeight="true" outlineLevel="0" collapsed="false">
      <c r="A35" s="10"/>
      <c r="B35" s="10"/>
      <c r="C35" s="10"/>
      <c r="D35" s="10"/>
      <c r="E35" s="10"/>
      <c r="F35" s="10"/>
      <c r="G35" s="10"/>
      <c r="H35" s="10"/>
      <c r="I35" s="10"/>
      <c r="J35" s="10"/>
    </row>
    <row r="36" customFormat="false" ht="18" hidden="false" customHeight="true" outlineLevel="0" collapsed="false">
      <c r="A36" s="14"/>
      <c r="B36" s="14"/>
      <c r="C36" s="14"/>
      <c r="D36" s="14"/>
      <c r="E36" s="14"/>
      <c r="F36" s="14"/>
      <c r="G36" s="14"/>
      <c r="H36" s="14"/>
      <c r="I36" s="14"/>
      <c r="J36" s="14"/>
    </row>
    <row r="37" customFormat="false" ht="18" hidden="false" customHeight="true" outlineLevel="0" collapsed="false">
      <c r="A37" s="10"/>
      <c r="B37" s="10"/>
      <c r="C37" s="10"/>
      <c r="D37" s="10"/>
      <c r="E37" s="10"/>
      <c r="F37" s="10"/>
      <c r="G37" s="10"/>
      <c r="H37" s="10"/>
      <c r="I37" s="10"/>
      <c r="J37" s="10"/>
    </row>
    <row r="38" customFormat="false" ht="18" hidden="false" customHeight="true" outlineLevel="0" collapsed="false">
      <c r="A38" s="14"/>
      <c r="B38" s="14"/>
      <c r="C38" s="14"/>
      <c r="D38" s="14"/>
      <c r="E38" s="14"/>
      <c r="F38" s="14"/>
      <c r="G38" s="14"/>
      <c r="H38" s="14"/>
      <c r="I38" s="14"/>
      <c r="J38" s="14"/>
    </row>
    <row r="39" customFormat="false" ht="18" hidden="false" customHeight="true" outlineLevel="0" collapsed="false">
      <c r="A39" s="10"/>
      <c r="B39" s="10"/>
      <c r="C39" s="10"/>
      <c r="D39" s="10"/>
      <c r="E39" s="10"/>
      <c r="F39" s="10"/>
      <c r="G39" s="10"/>
      <c r="H39" s="10"/>
      <c r="I39" s="10"/>
      <c r="J39" s="10"/>
    </row>
    <row r="40" customFormat="false" ht="18" hidden="false" customHeight="true" outlineLevel="0" collapsed="false">
      <c r="A40" s="14"/>
      <c r="B40" s="14"/>
      <c r="C40" s="14"/>
      <c r="D40" s="14"/>
      <c r="E40" s="14"/>
      <c r="F40" s="14"/>
      <c r="G40" s="14"/>
      <c r="H40" s="14"/>
      <c r="I40" s="14"/>
      <c r="J40" s="14"/>
    </row>
    <row r="41" customFormat="false" ht="18" hidden="false" customHeight="true" outlineLevel="0" collapsed="false">
      <c r="A41" s="10"/>
      <c r="B41" s="10"/>
      <c r="C41" s="10"/>
      <c r="D41" s="10"/>
      <c r="E41" s="10"/>
      <c r="F41" s="10"/>
      <c r="G41" s="10"/>
      <c r="H41" s="10"/>
      <c r="I41" s="10"/>
      <c r="J41" s="10"/>
    </row>
    <row r="42" customFormat="false" ht="18" hidden="false" customHeight="true" outlineLevel="0" collapsed="false">
      <c r="A42" s="14"/>
      <c r="B42" s="14"/>
      <c r="C42" s="14"/>
      <c r="D42" s="14"/>
      <c r="E42" s="14"/>
      <c r="F42" s="14"/>
      <c r="G42" s="14"/>
      <c r="H42" s="14"/>
      <c r="I42" s="14"/>
      <c r="J42" s="14"/>
    </row>
    <row r="43" customFormat="false" ht="18" hidden="false" customHeight="true" outlineLevel="0" collapsed="false">
      <c r="A43" s="10"/>
      <c r="B43" s="10"/>
      <c r="C43" s="10"/>
      <c r="D43" s="10"/>
      <c r="E43" s="10"/>
      <c r="F43" s="10"/>
      <c r="G43" s="10"/>
      <c r="H43" s="10"/>
      <c r="I43" s="10"/>
      <c r="J43" s="10"/>
    </row>
    <row r="44" customFormat="false" ht="18" hidden="false" customHeight="true" outlineLevel="0" collapsed="false">
      <c r="A44" s="14"/>
      <c r="B44" s="14"/>
      <c r="C44" s="14"/>
      <c r="D44" s="14"/>
      <c r="E44" s="14"/>
      <c r="F44" s="14"/>
      <c r="G44" s="14"/>
      <c r="H44" s="14"/>
      <c r="I44" s="14"/>
      <c r="J44" s="14"/>
    </row>
    <row r="45" customFormat="false" ht="18" hidden="false" customHeight="true" outlineLevel="0" collapsed="false">
      <c r="A45" s="10"/>
      <c r="B45" s="10"/>
      <c r="C45" s="10"/>
      <c r="D45" s="10"/>
      <c r="E45" s="10"/>
      <c r="F45" s="10"/>
      <c r="G45" s="10"/>
      <c r="H45" s="10"/>
      <c r="I45" s="10"/>
      <c r="J45" s="10"/>
    </row>
    <row r="46" customFormat="false" ht="18" hidden="false" customHeight="true" outlineLevel="0" collapsed="false">
      <c r="A46" s="14"/>
      <c r="B46" s="14"/>
      <c r="C46" s="14"/>
      <c r="D46" s="14"/>
      <c r="E46" s="14"/>
      <c r="F46" s="14"/>
      <c r="G46" s="14"/>
      <c r="H46" s="14"/>
      <c r="I46" s="14"/>
      <c r="J46" s="14"/>
    </row>
    <row r="47" customFormat="false" ht="18" hidden="false" customHeight="true" outlineLevel="0" collapsed="false">
      <c r="A47" s="10"/>
      <c r="B47" s="10"/>
      <c r="C47" s="10"/>
      <c r="D47" s="10"/>
      <c r="E47" s="10"/>
      <c r="F47" s="10"/>
      <c r="G47" s="10"/>
      <c r="H47" s="10"/>
      <c r="I47" s="10"/>
      <c r="J47" s="10"/>
    </row>
    <row r="48" customFormat="false" ht="18" hidden="false" customHeight="true" outlineLevel="0" collapsed="false">
      <c r="A48" s="14"/>
      <c r="B48" s="14"/>
      <c r="C48" s="14"/>
      <c r="D48" s="14"/>
      <c r="E48" s="14"/>
      <c r="F48" s="14"/>
      <c r="G48" s="14"/>
      <c r="H48" s="14"/>
      <c r="I48" s="14"/>
      <c r="J48" s="14"/>
    </row>
    <row r="49" customFormat="false" ht="18" hidden="false" customHeight="true" outlineLevel="0" collapsed="false">
      <c r="A49" s="10"/>
      <c r="B49" s="10"/>
      <c r="C49" s="10"/>
      <c r="D49" s="10"/>
      <c r="E49" s="10"/>
      <c r="F49" s="10"/>
      <c r="G49" s="10"/>
      <c r="H49" s="10"/>
      <c r="I49" s="10"/>
      <c r="J49" s="10"/>
    </row>
    <row r="50" customFormat="false" ht="18" hidden="false" customHeight="true" outlineLevel="0" collapsed="false">
      <c r="A50" s="14"/>
      <c r="B50" s="14"/>
      <c r="C50" s="14"/>
      <c r="D50" s="14"/>
      <c r="E50" s="14"/>
      <c r="F50" s="14"/>
      <c r="G50" s="14"/>
      <c r="H50" s="14"/>
      <c r="I50" s="14"/>
      <c r="J50" s="14"/>
    </row>
    <row r="51" customFormat="false" ht="18" hidden="false" customHeight="true" outlineLevel="0" collapsed="false">
      <c r="A51" s="10"/>
      <c r="B51" s="10"/>
      <c r="C51" s="10"/>
      <c r="D51" s="10"/>
      <c r="E51" s="10"/>
      <c r="F51" s="10"/>
      <c r="G51" s="10"/>
      <c r="H51" s="10"/>
      <c r="I51" s="10"/>
      <c r="J51" s="10"/>
    </row>
    <row r="52" customFormat="false" ht="18" hidden="false" customHeight="true" outlineLevel="0" collapsed="false">
      <c r="A52" s="14"/>
      <c r="B52" s="14"/>
      <c r="C52" s="14"/>
      <c r="D52" s="14"/>
      <c r="E52" s="14"/>
      <c r="F52" s="14"/>
      <c r="G52" s="14"/>
      <c r="H52" s="14"/>
      <c r="I52" s="14"/>
      <c r="J52" s="14"/>
    </row>
    <row r="53" customFormat="false" ht="18" hidden="false" customHeight="true" outlineLevel="0" collapsed="false">
      <c r="A53" s="10"/>
      <c r="B53" s="10"/>
      <c r="C53" s="10"/>
      <c r="D53" s="10"/>
      <c r="E53" s="10"/>
      <c r="F53" s="10"/>
      <c r="G53" s="10"/>
      <c r="H53" s="10"/>
      <c r="I53" s="10"/>
      <c r="J53" s="10"/>
    </row>
    <row r="54" customFormat="false" ht="18" hidden="false" customHeight="true" outlineLevel="0" collapsed="false">
      <c r="A54" s="14"/>
      <c r="B54" s="14"/>
      <c r="C54" s="14"/>
      <c r="D54" s="14"/>
      <c r="E54" s="14"/>
      <c r="F54" s="14"/>
      <c r="G54" s="14"/>
      <c r="H54" s="14"/>
      <c r="I54" s="14"/>
      <c r="J54" s="14"/>
    </row>
    <row r="56" customFormat="false" ht="7.5" hidden="false" customHeight="true" outlineLevel="0" collapsed="false"/>
    <row r="57" customFormat="false" ht="18" hidden="false" customHeight="true" outlineLevel="0" collapsed="false">
      <c r="A57" s="99" t="s">
        <v>205</v>
      </c>
      <c r="B57" s="99"/>
      <c r="C57" s="99"/>
      <c r="D57" s="99"/>
      <c r="E57" s="99"/>
      <c r="F57" s="99"/>
      <c r="G57" s="99"/>
      <c r="H57" s="99"/>
      <c r="I57" s="99"/>
      <c r="J57" s="99"/>
    </row>
    <row r="58" customFormat="false" ht="19.5" hidden="false" customHeight="true" outlineLevel="0" collapsed="false">
      <c r="A58" s="40" t="s">
        <v>206</v>
      </c>
      <c r="B58" s="75" t="s">
        <v>207</v>
      </c>
      <c r="C58" s="75"/>
      <c r="D58" s="75"/>
      <c r="E58" s="75"/>
      <c r="F58" s="75"/>
      <c r="G58" s="75"/>
      <c r="H58" s="75"/>
      <c r="I58" s="75"/>
      <c r="J58" s="75"/>
    </row>
    <row r="59" customFormat="false" ht="19.5" hidden="false" customHeight="true" outlineLevel="0" collapsed="false">
      <c r="A59" s="45" t="s">
        <v>208</v>
      </c>
      <c r="B59" s="76" t="s">
        <v>209</v>
      </c>
      <c r="C59" s="76"/>
      <c r="D59" s="76"/>
      <c r="E59" s="76"/>
      <c r="F59" s="76"/>
      <c r="G59" s="76"/>
      <c r="H59" s="76"/>
      <c r="I59" s="76"/>
      <c r="J59" s="76"/>
    </row>
    <row r="60" customFormat="false" ht="19.5" hidden="false" customHeight="true" outlineLevel="0" collapsed="false">
      <c r="A60" s="100" t="s">
        <v>210</v>
      </c>
      <c r="B60" s="101" t="s">
        <v>211</v>
      </c>
      <c r="C60" s="101"/>
      <c r="D60" s="101"/>
      <c r="E60" s="101"/>
      <c r="F60" s="101"/>
      <c r="G60" s="101"/>
      <c r="H60" s="101"/>
      <c r="I60" s="101"/>
      <c r="J60" s="101"/>
    </row>
    <row r="61" customFormat="false" ht="19.5" hidden="false" customHeight="true" outlineLevel="0" collapsed="false">
      <c r="A61" s="50" t="s">
        <v>212</v>
      </c>
      <c r="B61" s="78" t="s">
        <v>213</v>
      </c>
      <c r="C61" s="78"/>
      <c r="D61" s="78"/>
      <c r="E61" s="78"/>
      <c r="F61" s="78"/>
      <c r="G61" s="78"/>
      <c r="H61" s="78"/>
      <c r="I61" s="78"/>
      <c r="J61" s="78"/>
    </row>
    <row r="62" customFormat="false" ht="19.5" hidden="false" customHeight="true" outlineLevel="0" collapsed="false">
      <c r="A62" s="59" t="s">
        <v>214</v>
      </c>
      <c r="B62" s="73" t="s">
        <v>215</v>
      </c>
      <c r="C62" s="73"/>
      <c r="D62" s="73"/>
      <c r="E62" s="73"/>
      <c r="F62" s="73"/>
      <c r="G62" s="73"/>
      <c r="H62" s="73"/>
      <c r="I62" s="73"/>
      <c r="J62" s="73"/>
    </row>
    <row r="63" customFormat="false" ht="19.5" hidden="false" customHeight="true" outlineLevel="0" collapsed="false">
      <c r="A63" s="67" t="s">
        <v>216</v>
      </c>
      <c r="B63" s="81" t="s">
        <v>217</v>
      </c>
      <c r="C63" s="81"/>
      <c r="D63" s="81"/>
      <c r="E63" s="81"/>
      <c r="F63" s="81"/>
      <c r="G63" s="81"/>
      <c r="H63" s="81"/>
      <c r="I63" s="81"/>
      <c r="J63" s="81"/>
    </row>
  </sheetData>
  <mergeCells count="9">
    <mergeCell ref="A1:J2"/>
    <mergeCell ref="A3:J3"/>
    <mergeCell ref="A57:J57"/>
    <mergeCell ref="B58:J58"/>
    <mergeCell ref="B59:J59"/>
    <mergeCell ref="B60:J60"/>
    <mergeCell ref="B61:J61"/>
    <mergeCell ref="B62:J62"/>
    <mergeCell ref="B63:J63"/>
  </mergeCells>
  <dataValidations count="2">
    <dataValidation allowBlank="true" errorStyle="stop" operator="between" showDropDown="false" showErrorMessage="false" showInputMessage="false" sqref="I5:I54" type="list">
      <formula1>"Open,In Progress,Completed,Verified,Deferred,Cancelled"</formula1>
      <formula2>0</formula2>
    </dataValidation>
    <dataValidation allowBlank="true" errorStyle="stop" operator="between" showDropDown="false" showErrorMessage="false" showInputMessage="false" sqref="E5:E54" type="list">
      <formula1>"Critical,High,Medium,Low,Observation"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2026-06-12T15:43:13Z</dcterms:created>
  <dc:creator>openpyxl</dc:creator>
  <dc:description/>
  <dc:language>en-US</dc:language>
  <cp:lastModifiedBy/>
  <dcterms:modified xsi:type="dcterms:W3CDTF">2026-06-12T11:50:33Z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